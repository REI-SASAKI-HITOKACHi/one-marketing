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次" sheetId="1" state="visible" r:id="rId1"/>
    <sheet name="ダッシュボード" sheetId="2" state="visible" r:id="rId2"/>
    <sheet name="1月_売上顧客" sheetId="3" state="visible" r:id="rId3"/>
    <sheet name="2月_売上顧客" sheetId="4" state="visible" r:id="rId4"/>
    <sheet name="3月_売上顧客" sheetId="5" state="visible" r:id="rId5"/>
    <sheet name="4月_売上顧客" sheetId="6" state="visible" r:id="rId6"/>
    <sheet name="5月_売上顧客" sheetId="7" state="visible" r:id="rId7"/>
    <sheet name="6月_売上顧客" sheetId="8" state="visible" r:id="rId8"/>
    <sheet name="7月_売上顧客" sheetId="9" state="visible" r:id="rId9"/>
    <sheet name="8月_売上顧客" sheetId="10" state="visible" r:id="rId10"/>
    <sheet name="9月_売上顧客" sheetId="11" state="visible" r:id="rId11"/>
    <sheet name="10月_売上顧客" sheetId="12" state="visible" r:id="rId12"/>
    <sheet name="11月_売上顧客" sheetId="13" state="visible" r:id="rId13"/>
    <sheet name="12月_売上顧客" sheetId="14" state="visible" r:id="rId14"/>
    <sheet name="1月_支出成績" sheetId="15" state="visible" r:id="rId15"/>
    <sheet name="2月_支出成績" sheetId="16" state="visible" r:id="rId16"/>
    <sheet name="3月_支出成績" sheetId="17" state="visible" r:id="rId17"/>
    <sheet name="4月_支出成績" sheetId="18" state="visible" r:id="rId18"/>
    <sheet name="5月_支出成績" sheetId="19" state="visible" r:id="rId19"/>
    <sheet name="6月_支出成績" sheetId="20" state="visible" r:id="rId20"/>
    <sheet name="7月_支出成績" sheetId="21" state="visible" r:id="rId21"/>
    <sheet name="8月_支出成績" sheetId="22" state="visible" r:id="rId22"/>
    <sheet name="9月_支出成績" sheetId="23" state="visible" r:id="rId23"/>
    <sheet name="10月_支出成績" sheetId="24" state="visible" r:id="rId24"/>
    <sheet name="11月_支出成績" sheetId="25" state="visible" r:id="rId25"/>
    <sheet name="12月_支出成績" sheetId="26" state="visible" r:id="rId26"/>
    <sheet name="2027年計画" sheetId="27" state="visible" r:id="rId27"/>
    <sheet name="年間成績" sheetId="28" state="visible" r:id="rId28"/>
    <sheet name="ネット流入_週次" sheetId="29" state="visible" r:id="rId29"/>
    <sheet name="広告_段管理" sheetId="30" state="visible" r:id="rId30"/>
    <sheet name="提携先_パイプライン" sheetId="31" state="visible" r:id="rId31"/>
    <sheet name="協力業者_管理" sheetId="32" state="visible" r:id="rId32"/>
    <sheet name="Web予約受信" sheetId="33" state="visible" r:id="rId33"/>
    <sheet name="顧客管理台帳" sheetId="34" state="visible" r:id="rId34"/>
    <sheet name="再販リスト" sheetId="35" state="visible" r:id="rId35"/>
    <sheet name="分析_件数単価流入" sheetId="36" state="visible" r:id="rId36"/>
    <sheet name="分析_流入経路とLTV" sheetId="37" state="visible" r:id="rId37"/>
    <sheet name="見積ルール" sheetId="38" state="visible" r:id="rId38"/>
    <sheet name="TODO" sheetId="39" state="visible" r:id="rId39"/>
    <sheet name="勤怠管理" sheetId="40" state="visible" r:id="rId40"/>
    <sheet name="メモ・変更履歴" sheetId="41" state="visible" r:id="rId41"/>
    <sheet name="選択肢マスター" sheetId="42" state="visible" r:id="rId42"/>
  </sheets>
  <definedNames>
    <definedName name="_xlnm._FilterDatabase" localSheetId="2" hidden="1">'1月_売上顧客'!$A$3:$X$504</definedName>
    <definedName name="_xlnm._FilterDatabase" localSheetId="3" hidden="1">'2月_売上顧客'!$A$3:$X$504</definedName>
    <definedName name="_xlnm._FilterDatabase" localSheetId="4" hidden="1">'3月_売上顧客'!$A$3:$X$504</definedName>
    <definedName name="_xlnm._FilterDatabase" localSheetId="5" hidden="1">'4月_売上顧客'!$A$3:$X$504</definedName>
    <definedName name="_xlnm._FilterDatabase" localSheetId="6" hidden="1">'5月_売上顧客'!$A$3:$X$504</definedName>
    <definedName name="_xlnm._FilterDatabase" localSheetId="7" hidden="1">'6月_売上顧客'!$A$3:$X$504</definedName>
    <definedName name="_xlnm._FilterDatabase" localSheetId="8" hidden="1">'7月_売上顧客'!$A$3:$X$504</definedName>
    <definedName name="_xlnm._FilterDatabase" localSheetId="9" hidden="1">'8月_売上顧客'!$A$3:$X$504</definedName>
    <definedName name="_xlnm._FilterDatabase" localSheetId="10" hidden="1">'9月_売上顧客'!$A$3:$X$504</definedName>
    <definedName name="_xlnm._FilterDatabase" localSheetId="11" hidden="1">'10月_売上顧客'!$A$3:$X$504</definedName>
    <definedName name="_xlnm._FilterDatabase" localSheetId="12" hidden="1">'11月_売上顧客'!$A$3:$X$504</definedName>
    <definedName name="_xlnm._FilterDatabase" localSheetId="13" hidden="1">'12月_売上顧客'!$A$3:$X$504</definedName>
    <definedName name="_xlnm._FilterDatabase" localSheetId="30" hidden="1">'提携先_パイプライン'!$A$4:$M$104</definedName>
    <definedName name="_xlnm._FilterDatabase" localSheetId="32" hidden="1">'Web予約受信'!$A$4:$I$504</definedName>
    <definedName name="_xlnm._FilterDatabase" localSheetId="33" hidden="1">'顧客管理台帳'!$A$15:$AF$2015</definedName>
    <definedName name="_xlnm._FilterDatabase" localSheetId="34" hidden="1">'再販リスト'!$A$4:$N$1004</definedName>
    <definedName name="_xlnm._FilterDatabase" localSheetId="38" hidden="1">'TODO'!$A$4:$I$304</definedName>
    <definedName name="_xlnm._FilterDatabase" localSheetId="39" hidden="1">'勤怠管理'!$A$4:$J$1004</definedName>
  </definedNames>
  <calcPr calcId="124519" fullCalcOnLoad="1"/>
</workbook>
</file>

<file path=xl/styles.xml><?xml version="1.0" encoding="utf-8"?>
<styleSheet xmlns="http://schemas.openxmlformats.org/spreadsheetml/2006/main">
  <numFmts count="26">
    <numFmt numFmtId="164" formatCode="0.0%"/>
    <numFmt numFmtId="165" formatCode="0&quot;件&quot;"/>
    <numFmt numFmtId="166" formatCode="&quot;自社 &quot;0&quot;件&quot;"/>
    <numFmt numFmtId="167" formatCode="&quot;受注→施工 &quot;0&quot;日&quot;"/>
    <numFmt numFmtId="168" formatCode="&quot;本舗 &quot;0&quot;件&quot;"/>
    <numFmt numFmtId="169" formatCode="&quot;合計 &quot;0&quot;件&quot;"/>
    <numFmt numFmtId="170" formatCode="&quot;単価 &quot;#,##0"/>
    <numFmt numFmtId="171" formatCode="&quot;紹介 &quot;0&quot;件&quot;"/>
    <numFmt numFmtId="172" formatCode="&quot;自社単価 &quot;#,##0"/>
    <numFmt numFmtId="173" formatCode="&quot;本舗単価 &quot;#,##0"/>
    <numFmt numFmtId="174" formatCode="&quot;自社 &quot;#,##0"/>
    <numFmt numFmtId="175" formatCode="&quot;本舗 &quot;#,##0"/>
    <numFmt numFmtId="176" formatCode="&quot;合計 &quot;#,##0"/>
    <numFmt numFmtId="177" formatCode="&quot;④ &quot;0&quot;件&quot;"/>
    <numFmt numFmtId="178" formatCode="&quot;④売上 &quot;#,##0"/>
    <numFmt numFmtId="179" formatCode="yyyy/mm/dd"/>
    <numFmt numFmtId="180" formatCode="hh:mm"/>
    <numFmt numFmtId="181" formatCode="0&quot;台&quot;"/>
    <numFmt numFmtId="182" formatCode="0&quot;か月&quot;"/>
    <numFmt numFmtId="183" formatCode="yyyy-mm-dd"/>
    <numFmt numFmtId="184" formatCode="0&quot;月&quot;"/>
    <numFmt numFmtId="185" formatCode="0&quot;回&quot;"/>
    <numFmt numFmtId="186" formatCode="yyyy/mm/dd hh:mm"/>
    <numFmt numFmtId="187" formatCode="0&quot;名&quot;"/>
    <numFmt numFmtId="188" formatCode="&quot;¥&quot;#,##0"/>
    <numFmt numFmtId="189" formatCode="0.0"/>
  </numFmts>
  <fonts count="12">
    <font>
      <name val="Calibri"/>
      <family val="2"/>
      <color theme="1"/>
      <sz val="11"/>
      <scheme val="minor"/>
    </font>
    <font>
      <b val="1"/>
      <color rgb="00FFFFFF"/>
      <sz val="10"/>
    </font>
    <font>
      <b val="1"/>
      <color rgb="001F3864"/>
      <sz val="11"/>
    </font>
    <font>
      <color rgb="007F7F7F"/>
      <sz val="9"/>
    </font>
    <font>
      <b val="1"/>
      <sz val="10"/>
    </font>
    <font>
      <b val="1"/>
      <sz val="11"/>
    </font>
    <font>
      <sz val="10"/>
    </font>
    <font>
      <b val="1"/>
      <color rgb="001F3864"/>
      <sz val="14"/>
    </font>
    <font>
      <b val="1"/>
      <sz val="12"/>
    </font>
    <font>
      <b val="1"/>
      <sz val="14"/>
    </font>
    <font>
      <b val="1"/>
      <sz val="13"/>
    </font>
    <font>
      <color rgb="000563C1"/>
      <sz val="10"/>
      <u val="single"/>
    </font>
  </fonts>
  <fills count="8">
    <fill>
      <patternFill/>
    </fill>
    <fill>
      <patternFill patternType="gray125"/>
    </fill>
    <fill>
      <patternFill patternType="solid">
        <fgColor rgb="001F3864"/>
      </patternFill>
    </fill>
    <fill>
      <patternFill patternType="solid">
        <fgColor rgb="00FFF2CC"/>
      </patternFill>
    </fill>
    <fill>
      <patternFill patternType="solid">
        <fgColor rgb="00D9E2F3"/>
      </patternFill>
    </fill>
    <fill>
      <patternFill patternType="solid">
        <fgColor rgb="00E2EFDA"/>
      </patternFill>
    </fill>
    <fill>
      <patternFill patternType="solid">
        <fgColor rgb="00F2F2F2"/>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0">
    <xf numFmtId="0" fontId="0" fillId="0" borderId="0" pivotButton="0" quotePrefix="0" xfId="0"/>
    <xf numFmtId="0" fontId="7" fillId="0" borderId="0" pivotButton="0" quotePrefix="0" xfId="0"/>
    <xf numFmtId="0" fontId="3" fillId="0" borderId="0" pivotButton="0" quotePrefix="0" xfId="0"/>
    <xf numFmtId="0" fontId="1" fillId="2" borderId="1" applyAlignment="1" pivotButton="0" quotePrefix="0" xfId="0">
      <alignment horizontal="center" vertical="center" wrapText="1"/>
    </xf>
    <xf numFmtId="0" fontId="2" fillId="5" borderId="1" applyAlignment="1" pivotButton="0" quotePrefix="0" xfId="0">
      <alignment vertical="center" wrapText="1"/>
    </xf>
    <xf numFmtId="0" fontId="0" fillId="5" borderId="1" applyAlignment="1" pivotButton="0" quotePrefix="0" xfId="0">
      <alignment vertical="center" wrapText="1"/>
    </xf>
    <xf numFmtId="0" fontId="11" fillId="0" borderId="1" applyAlignment="1" pivotButton="0" quotePrefix="0" xfId="0">
      <alignment vertical="center" wrapText="1"/>
    </xf>
    <xf numFmtId="0" fontId="6" fillId="0" borderId="1" applyAlignment="1" pivotButton="0" quotePrefix="0" xfId="0">
      <alignment vertical="center" wrapText="1"/>
    </xf>
    <xf numFmtId="0" fontId="2" fillId="0" borderId="0" pivotButton="0" quotePrefix="0" xfId="0"/>
    <xf numFmtId="0" fontId="4" fillId="3" borderId="0" pivotButton="0" quotePrefix="0" xfId="0"/>
    <xf numFmtId="184" fontId="9" fillId="3" borderId="0" pivotButton="0" quotePrefix="0" xfId="0"/>
    <xf numFmtId="0" fontId="2" fillId="5" borderId="0" pivotButton="0" quotePrefix="0" xfId="0"/>
    <xf numFmtId="0" fontId="1" fillId="2" borderId="0" applyAlignment="1" pivotButton="0" quotePrefix="0" xfId="0">
      <alignment horizontal="center"/>
    </xf>
    <xf numFmtId="0" fontId="4" fillId="0" borderId="0" pivotButton="0" quotePrefix="0" xfId="0"/>
    <xf numFmtId="3" fontId="0" fillId="0" borderId="1" pivotButton="0" quotePrefix="0" xfId="0"/>
    <xf numFmtId="3" fontId="4" fillId="0" borderId="1" pivotButton="0" quotePrefix="0" xfId="0"/>
    <xf numFmtId="165" fontId="0" fillId="0" borderId="1" pivotButton="0" quotePrefix="0" xfId="0"/>
    <xf numFmtId="165" fontId="4" fillId="0" borderId="1" pivotButton="0" quotePrefix="0" xfId="0"/>
    <xf numFmtId="164" fontId="8" fillId="0" borderId="0" pivotButton="0" quotePrefix="0" xfId="0"/>
    <xf numFmtId="3" fontId="8" fillId="0" borderId="1" pivotButton="0" quotePrefix="0" xfId="0"/>
    <xf numFmtId="0" fontId="1" fillId="2" borderId="0" pivotButton="0" quotePrefix="0" xfId="0"/>
    <xf numFmtId="1" fontId="0" fillId="0" borderId="1" pivotButton="0" quotePrefix="0" xfId="0"/>
    <xf numFmtId="0" fontId="8" fillId="0" borderId="1" pivotButton="0" quotePrefix="0" xfId="0"/>
    <xf numFmtId="0" fontId="0" fillId="0" borderId="1" pivotButton="0" quotePrefix="0" xfId="0"/>
    <xf numFmtId="0" fontId="4" fillId="3" borderId="0" applyAlignment="1" pivotButton="0" quotePrefix="0" xfId="0">
      <alignment horizontal="right"/>
    </xf>
    <xf numFmtId="3" fontId="5" fillId="3" borderId="0" pivotButton="0" quotePrefix="0" xfId="0"/>
    <xf numFmtId="164" fontId="5" fillId="3" borderId="0" pivotButton="0" quotePrefix="0" xfId="0"/>
    <xf numFmtId="165" fontId="5" fillId="3" borderId="0" pivotButton="0" quotePrefix="0" xfId="0"/>
    <xf numFmtId="49" fontId="4" fillId="4" borderId="1" applyAlignment="1" pivotButton="0" quotePrefix="0" xfId="0">
      <alignment horizontal="center"/>
    </xf>
    <xf numFmtId="166" fontId="4" fillId="4" borderId="1" applyAlignment="1" pivotButton="0" quotePrefix="0" xfId="0">
      <alignment horizontal="center"/>
    </xf>
    <xf numFmtId="167" fontId="4" fillId="4" borderId="1" applyAlignment="1" pivotButton="0" quotePrefix="0" xfId="0">
      <alignment horizontal="center"/>
    </xf>
    <xf numFmtId="168" fontId="4" fillId="4" borderId="1" applyAlignment="1" pivotButton="0" quotePrefix="0" xfId="0">
      <alignment horizontal="center"/>
    </xf>
    <xf numFmtId="169" fontId="4" fillId="4" borderId="1" applyAlignment="1" pivotButton="0" quotePrefix="0" xfId="0">
      <alignment horizontal="center"/>
    </xf>
    <xf numFmtId="170" fontId="4" fillId="4" borderId="1" applyAlignment="1" pivotButton="0" quotePrefix="0" xfId="0">
      <alignment horizontal="center"/>
    </xf>
    <xf numFmtId="171" fontId="4" fillId="4" borderId="1" applyAlignment="1" pivotButton="0" quotePrefix="0" xfId="0">
      <alignment horizontal="center"/>
    </xf>
    <xf numFmtId="172" fontId="4" fillId="4" borderId="1" applyAlignment="1" pivotButton="0" quotePrefix="0" xfId="0">
      <alignment horizontal="center"/>
    </xf>
    <xf numFmtId="173" fontId="4" fillId="4" borderId="1" applyAlignment="1" pivotButton="0" quotePrefix="0" xfId="0">
      <alignment horizontal="center"/>
    </xf>
    <xf numFmtId="174" fontId="4" fillId="4" borderId="1" applyAlignment="1" pivotButton="0" quotePrefix="0" xfId="0">
      <alignment horizontal="center"/>
    </xf>
    <xf numFmtId="175" fontId="4" fillId="4" borderId="1" applyAlignment="1" pivotButton="0" quotePrefix="0" xfId="0">
      <alignment horizontal="center"/>
    </xf>
    <xf numFmtId="176" fontId="4" fillId="4" borderId="1" applyAlignment="1" pivotButton="0" quotePrefix="0" xfId="0">
      <alignment horizontal="center"/>
    </xf>
    <xf numFmtId="0" fontId="0" fillId="4" borderId="0" pivotButton="0" quotePrefix="0" xfId="0"/>
    <xf numFmtId="177" fontId="4" fillId="4" borderId="1" applyAlignment="1" pivotButton="0" quotePrefix="0" xfId="0">
      <alignment horizontal="center"/>
    </xf>
    <xf numFmtId="178" fontId="4" fillId="4" borderId="1" applyAlignment="1" pivotButton="0" quotePrefix="0" xfId="0">
      <alignment horizontal="center"/>
    </xf>
    <xf numFmtId="1" fontId="0" fillId="0" borderId="0" pivotButton="0" quotePrefix="0" xfId="0"/>
    <xf numFmtId="179" fontId="0" fillId="0" borderId="0" pivotButton="0" quotePrefix="0" xfId="0"/>
    <xf numFmtId="3" fontId="0" fillId="0" borderId="0" pivotButton="0" quotePrefix="0" xfId="0"/>
    <xf numFmtId="180" fontId="0" fillId="0" borderId="0" pivotButton="0" quotePrefix="0" xfId="0"/>
    <xf numFmtId="0" fontId="4" fillId="0" borderId="1" pivotButton="0" quotePrefix="0" xfId="0"/>
    <xf numFmtId="3" fontId="5" fillId="6" borderId="1" pivotButton="0" quotePrefix="0" xfId="0"/>
    <xf numFmtId="0" fontId="6" fillId="0" borderId="1" pivotButton="0" quotePrefix="0" xfId="0"/>
    <xf numFmtId="181" fontId="6" fillId="6" borderId="1" pivotButton="0" quotePrefix="0" xfId="0"/>
    <xf numFmtId="0" fontId="6" fillId="0" borderId="0" pivotButton="0" quotePrefix="0" xfId="0"/>
    <xf numFmtId="3" fontId="0" fillId="6" borderId="0" pivotButton="0" quotePrefix="0" xfId="0"/>
    <xf numFmtId="3" fontId="6" fillId="6" borderId="1" pivotButton="0" quotePrefix="0" xfId="0"/>
    <xf numFmtId="3" fontId="4" fillId="0" borderId="0" pivotButton="0" quotePrefix="0" xfId="0"/>
    <xf numFmtId="164" fontId="6" fillId="6" borderId="1" pivotButton="0" quotePrefix="0" xfId="0"/>
    <xf numFmtId="165" fontId="0" fillId="0" borderId="0" pivotButton="0" quotePrefix="0" xfId="0"/>
    <xf numFmtId="1" fontId="4" fillId="0" borderId="0" pivotButton="0" quotePrefix="0" xfId="0"/>
    <xf numFmtId="0" fontId="4" fillId="3" borderId="1" pivotButton="0" quotePrefix="0" xfId="0"/>
    <xf numFmtId="3" fontId="4" fillId="3" borderId="1" pivotButton="0" quotePrefix="0" xfId="0"/>
    <xf numFmtId="0" fontId="4" fillId="5" borderId="0" pivotButton="0" quotePrefix="0" xfId="0"/>
    <xf numFmtId="3" fontId="8" fillId="0" borderId="0" pivotButton="0" quotePrefix="0" xfId="0"/>
    <xf numFmtId="165" fontId="8" fillId="0" borderId="0" pivotButton="0" quotePrefix="0" xfId="0"/>
    <xf numFmtId="182" fontId="8" fillId="0" borderId="0" pivotButton="0" quotePrefix="0" xfId="0"/>
    <xf numFmtId="164" fontId="0" fillId="0" borderId="1" pivotButton="0" quotePrefix="0" xfId="0"/>
    <xf numFmtId="164" fontId="4" fillId="0" borderId="1" pivotButton="0" quotePrefix="0" xfId="0"/>
    <xf numFmtId="0" fontId="6" fillId="3" borderId="1" pivotButton="0" quotePrefix="0" xfId="0"/>
    <xf numFmtId="1" fontId="0" fillId="3" borderId="1" pivotButton="0" quotePrefix="0" xfId="0"/>
    <xf numFmtId="1" fontId="4" fillId="0" borderId="1" pivotButton="0" quotePrefix="0" xfId="0"/>
    <xf numFmtId="0" fontId="6" fillId="7" borderId="1" pivotButton="0" quotePrefix="0" xfId="0"/>
    <xf numFmtId="3" fontId="0" fillId="7" borderId="1" pivotButton="0" quotePrefix="0" xfId="0"/>
    <xf numFmtId="3" fontId="0" fillId="3" borderId="1" pivotButton="0" quotePrefix="0" xfId="0"/>
    <xf numFmtId="3" fontId="4" fillId="3" borderId="0" pivotButton="0" quotePrefix="0" xfId="0"/>
    <xf numFmtId="179" fontId="0" fillId="0" borderId="1" pivotButton="0" quotePrefix="0" xfId="0"/>
    <xf numFmtId="3" fontId="0" fillId="6" borderId="1" pivotButton="0" quotePrefix="0" xfId="0"/>
    <xf numFmtId="184" fontId="0" fillId="0" borderId="1" pivotButton="0" quotePrefix="0" xfId="0"/>
    <xf numFmtId="0" fontId="0" fillId="6" borderId="1" pivotButton="0" quotePrefix="0" xfId="0"/>
    <xf numFmtId="0" fontId="9" fillId="3" borderId="0" pivotButton="0" quotePrefix="0" xfId="0"/>
    <xf numFmtId="0" fontId="0" fillId="3" borderId="0" pivotButton="0" quotePrefix="0" xfId="0"/>
    <xf numFmtId="185" fontId="0" fillId="0" borderId="0" pivotButton="0" quotePrefix="0" xfId="0"/>
    <xf numFmtId="0" fontId="10" fillId="3" borderId="0" pivotButton="0" quotePrefix="0" xfId="0"/>
    <xf numFmtId="164" fontId="0" fillId="0" borderId="0" pivotButton="0" quotePrefix="0" xfId="0"/>
    <xf numFmtId="165" fontId="8" fillId="3" borderId="0" pivotButton="0" quotePrefix="0" xfId="0"/>
    <xf numFmtId="164" fontId="8" fillId="3" borderId="0" pivotButton="0" quotePrefix="0" xfId="0"/>
    <xf numFmtId="186" fontId="0" fillId="0" borderId="0" pivotButton="0" quotePrefix="0" xfId="0"/>
    <xf numFmtId="187" fontId="8" fillId="6" borderId="0" pivotButton="0" quotePrefix="0" xfId="0"/>
    <xf numFmtId="164" fontId="8" fillId="6" borderId="0" pivotButton="0" quotePrefix="0" xfId="0"/>
    <xf numFmtId="3" fontId="8" fillId="6" borderId="0" pivotButton="0" quotePrefix="0" xfId="0"/>
    <xf numFmtId="179" fontId="0" fillId="6" borderId="0" pivotButton="0" quotePrefix="0" xfId="0"/>
    <xf numFmtId="2" fontId="0" fillId="0" borderId="1" pivotButton="0" quotePrefix="0" xfId="0"/>
    <xf numFmtId="0" fontId="3" fillId="0" borderId="1" pivotButton="0" quotePrefix="0" xfId="0"/>
    <xf numFmtId="188" fontId="0" fillId="0" borderId="1" pivotButton="0" quotePrefix="0" xfId="0"/>
    <xf numFmtId="188" fontId="0" fillId="0" borderId="0" pivotButton="0" quotePrefix="0" xfId="0"/>
    <xf numFmtId="1" fontId="0" fillId="6" borderId="0" pivotButton="0" quotePrefix="0" xfId="0"/>
    <xf numFmtId="189" fontId="0" fillId="6" borderId="0" pivotButton="0" quotePrefix="0" xfId="0"/>
    <xf numFmtId="184" fontId="0" fillId="0" borderId="0" pivotButton="0" quotePrefix="0" xfId="0"/>
    <xf numFmtId="189" fontId="0" fillId="0" borderId="0" pivotButton="0" quotePrefix="0" xfId="0"/>
    <xf numFmtId="179" fontId="0" fillId="0"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horizontal="center" wrapText="1"/>
    </xf>
  </cellXfs>
  <cellStyles count="1">
    <cellStyle name="Normal" xfId="0" builtinId="0" hidden="0"/>
  </cellStyles>
  <dxfs count="3">
    <dxf>
      <fill>
        <patternFill patternType="solid">
          <fgColor rgb="00FFC7CE"/>
        </patternFill>
      </fill>
    </dxf>
    <dxf>
      <fill>
        <patternFill patternType="solid">
          <fgColor rgb="00C6EFCE"/>
        </patternFill>
      </fill>
    </dxf>
    <dxf>
      <fill>
        <patternFill patternType="solid">
          <f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styles" Target="styles.xml" Id="rId43" /><Relationship Type="http://schemas.openxmlformats.org/officeDocument/2006/relationships/theme" Target="theme/theme1.xml" Id="rId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C42"/>
  <sheetViews>
    <sheetView workbookViewId="0">
      <pane ySplit="4" topLeftCell="A5" activePane="bottomLeft" state="frozen"/>
      <selection pane="bottomLeft" activeCell="A1" sqref="A1"/>
    </sheetView>
  </sheetViews>
  <sheetFormatPr baseColWidth="8" defaultRowHeight="15"/>
  <cols>
    <col width="34" customWidth="1" min="1" max="1"/>
    <col width="60" customWidth="1" min="2" max="2"/>
    <col width="24" customWidth="1" min="3" max="3"/>
  </cols>
  <sheetData>
    <row r="1" ht="22" customHeight="1">
      <c r="A1" s="1" t="inlineStr">
        <is>
          <t>2027年度 売上・顧客情報管理</t>
        </is>
      </c>
    </row>
    <row r="2">
      <c r="A2" s="2" t="inlineStr">
        <is>
          <t>正式目標は「中立」：年 26,000,000円・649件。いちばん大事な先行指標は ④自社ネット新規（年143件）です。</t>
        </is>
      </c>
    </row>
    <row r="4" ht="30" customHeight="1">
      <c r="A4" s="3" t="inlineStr">
        <is>
          <t>タブ</t>
        </is>
      </c>
      <c r="B4" s="3" t="inlineStr">
        <is>
          <t>何のためのタブか</t>
        </is>
      </c>
      <c r="C4" s="3" t="inlineStr">
        <is>
          <t>いつ使うか</t>
        </is>
      </c>
    </row>
    <row r="5">
      <c r="A5" s="4" t="inlineStr">
        <is>
          <t>【まず見る】</t>
        </is>
      </c>
      <c r="B5" s="5" t="n"/>
      <c r="C5" s="5" t="n"/>
    </row>
    <row r="6">
      <c r="A6" s="6">
        <f>HYPERLINK("#'目次'!A1","目次")</f>
        <v/>
      </c>
      <c r="B6" s="7" t="inlineStr">
        <is>
          <t>このタブ。どこに何があるか</t>
        </is>
      </c>
      <c r="C6" s="7" t="inlineStr">
        <is>
          <t>迷ったとき</t>
        </is>
      </c>
    </row>
    <row r="7">
      <c r="A7" s="6">
        <f>HYPERLINK("#'ダッシュボード'!A1","ダッシュボード")</f>
        <v/>
      </c>
      <c r="B7" s="7" t="inlineStr">
        <is>
          <t>今月と累計の対計画、④自社ネット新規、提携先社数、赤字月の警告</t>
        </is>
      </c>
      <c r="C7" s="7" t="inlineStr">
        <is>
          <t>毎朝／毎週月曜</t>
        </is>
      </c>
    </row>
    <row r="8">
      <c r="A8" s="4" t="inlineStr">
        <is>
          <t>【毎日・毎月の入力】</t>
        </is>
      </c>
      <c r="B8" s="5" t="n"/>
      <c r="C8" s="5" t="n"/>
    </row>
    <row r="9">
      <c r="A9" s="6">
        <f>HYPERLINK("#'1月_売上顧客'!A1","1月_売上顧客 〜 12月_売上顧客")</f>
        <v/>
      </c>
      <c r="B9" s="7" t="inlineStr">
        <is>
          <t>1件1行で施工を記録。2行目に今月の目標、4行目に自動集計</t>
        </is>
      </c>
      <c r="C9" s="7" t="inlineStr">
        <is>
          <t>施工したその日</t>
        </is>
      </c>
    </row>
    <row r="10">
      <c r="A10" s="6">
        <f>HYPERLINK("#'1月_支出成績'!A1","1月_支出成績 〜 12月_支出成績")</f>
        <v/>
      </c>
      <c r="B10" s="7" t="inlineStr">
        <is>
          <t>左が経費入力、右（M列）が月次P/L。P/Lは行が動きません</t>
        </is>
      </c>
      <c r="C10" s="7" t="inlineStr">
        <is>
          <t>経費が出たとき／月末</t>
        </is>
      </c>
    </row>
    <row r="11">
      <c r="A11" s="4" t="inlineStr">
        <is>
          <t>【計画と実績】</t>
        </is>
      </c>
      <c r="B11" s="5" t="n"/>
      <c r="C11" s="5" t="n"/>
    </row>
    <row r="12">
      <c r="A12" s="6">
        <f>HYPERLINK("#'2027年計画'!A1","2027年計画")</f>
        <v/>
      </c>
      <c r="B12" s="7" t="inlineStr">
        <is>
          <t>中立（正式目標）の月次と、保守・攻めの年計。実績で書き換えない</t>
        </is>
      </c>
      <c r="C12" s="7" t="inlineStr">
        <is>
          <t>年初・四半期の判定ゲート</t>
        </is>
      </c>
    </row>
    <row r="13">
      <c r="A13" s="6">
        <f>HYPERLINK("#'年間成績'!A1","年間成績")</f>
        <v/>
      </c>
      <c r="B13" s="7" t="inlineStr">
        <is>
          <t>予算対実績・月別P/L・対計画の差額。2026年売上の行だけ手入力</t>
        </is>
      </c>
      <c r="C13" s="7" t="inlineStr">
        <is>
          <t>毎月1日</t>
        </is>
      </c>
    </row>
    <row r="14">
      <c r="A14" s="4" t="inlineStr">
        <is>
          <t>【2027年の新しい取り組み】</t>
        </is>
      </c>
      <c r="B14" s="5" t="n"/>
      <c r="C14" s="5" t="n"/>
    </row>
    <row r="15">
      <c r="A15" s="6">
        <f>HYPERLINK("#'ネット流入_週次'!A1","ネット流入_週次")</f>
        <v/>
      </c>
      <c r="B15" s="7" t="inlineStr">
        <is>
          <t>SNS・ブログ・GBP・予約フォーム・受注・広告費・CPA。CPA9,500円超は赤</t>
        </is>
      </c>
      <c r="C15" s="7" t="inlineStr">
        <is>
          <t>毎週金曜</t>
        </is>
      </c>
    </row>
    <row r="16">
      <c r="A16" s="6">
        <f>HYPERLINK("#'広告_段管理'!A1","広告_段管理")</f>
        <v/>
      </c>
      <c r="B16" s="7" t="inlineStr">
        <is>
          <t>段0→段3。月ごとに予算・実績・CPA・次の段へ上がるかの判定</t>
        </is>
      </c>
      <c r="C16" s="7" t="inlineStr">
        <is>
          <t>月末</t>
        </is>
      </c>
    </row>
    <row r="17">
      <c r="A17" s="6">
        <f>HYPERLINK("#'提携先_パイプライン'!A1","提携先_パイプライン")</f>
        <v/>
      </c>
      <c r="B17" s="7" t="inlineStr">
        <is>
          <t>アクティブ10社→15社。最終接触日・接触回数・ステージ・次アクション</t>
        </is>
      </c>
      <c r="C17" s="7" t="inlineStr">
        <is>
          <t>接触のたび</t>
        </is>
      </c>
    </row>
    <row r="18">
      <c r="A18" s="6">
        <f>HYPERLINK("#'協力業者_管理'!A1","協力業者_管理")</f>
        <v/>
      </c>
      <c r="B18" s="7" t="inlineStr">
        <is>
          <t>3社。契約条件・回した件数・支払額・品質（クレーム・写真提出）</t>
        </is>
      </c>
      <c r="C18" s="7" t="inlineStr">
        <is>
          <t>月末</t>
        </is>
      </c>
    </row>
    <row r="19">
      <c r="A19" s="6">
        <f>HYPERLINK("#'Web予約受信'!A1","Web予約受信")</f>
        <v/>
      </c>
      <c r="B19" s="7" t="inlineStr">
        <is>
          <t>予約フォーム／LPからの受信ログ。流入元(?src=)と台帳への転記チェック</t>
        </is>
      </c>
      <c r="C19" s="7" t="inlineStr">
        <is>
          <t>受信したその日</t>
        </is>
      </c>
    </row>
    <row r="20">
      <c r="A20" s="4" t="inlineStr">
        <is>
          <t>【顧客と再販】</t>
        </is>
      </c>
      <c r="B20" s="5" t="n"/>
      <c r="C20" s="5" t="n"/>
    </row>
    <row r="21">
      <c r="A21" s="6">
        <f>HYPERLINK("#'顧客管理台帳'!A1","顧客管理台帳")</f>
        <v/>
      </c>
      <c r="B21" s="7" t="inlineStr">
        <is>
          <t>ヘッダー15行目・データ16行目から。2027年版は空の器（移行は年末）</t>
        </is>
      </c>
      <c r="C21" s="7" t="inlineStr">
        <is>
          <t>施工の記録後</t>
        </is>
      </c>
    </row>
    <row r="22">
      <c r="A22" s="6">
        <f>HYPERLINK("#'再販リスト'!A1","再販リスト")</f>
        <v/>
      </c>
      <c r="B22" s="7" t="inlineStr">
        <is>
          <t>メニュー別サイクルで案内時期が来た方を抽出する器</t>
        </is>
      </c>
      <c r="C22" s="7" t="inlineStr">
        <is>
          <t>再販の波を出す前</t>
        </is>
      </c>
    </row>
    <row r="23">
      <c r="A23" s="6">
        <f>HYPERLINK("#'分析_件数単価流入'!A1","分析_件数単価流入")</f>
        <v/>
      </c>
      <c r="B23" s="7" t="inlineStr">
        <is>
          <t>月別の件数・単価と流入経路別の内訳。すべて自動</t>
        </is>
      </c>
      <c r="C23" s="7" t="inlineStr">
        <is>
          <t>見たいとき</t>
        </is>
      </c>
    </row>
    <row r="24">
      <c r="A24" s="6">
        <f>HYPERLINK("#'分析_流入経路とLTV'!A1","分析_流入経路とLTV")</f>
        <v/>
      </c>
      <c r="B24" s="7" t="inlineStr">
        <is>
          <t>入口ごとのLTVとリピート率。広告CPA上限9,500円の根拠</t>
        </is>
      </c>
      <c r="C24" s="7" t="inlineStr">
        <is>
          <t>広告の判断のとき</t>
        </is>
      </c>
    </row>
    <row r="25">
      <c r="A25" s="4" t="inlineStr">
        <is>
          <t>【運用】</t>
        </is>
      </c>
      <c r="B25" s="5" t="n"/>
      <c r="C25" s="5" t="n"/>
    </row>
    <row r="26">
      <c r="A26" s="6">
        <f>HYPERLINK("#'見積ルール'!A1","見積ルール")</f>
        <v/>
      </c>
      <c r="B26" s="7" t="inlineStr">
        <is>
          <t>料金表（税込）と割引・紹介のルール。正データは data/prices.json</t>
        </is>
      </c>
      <c r="C26" s="7" t="inlineStr">
        <is>
          <t>見積のとき</t>
        </is>
      </c>
    </row>
    <row r="27">
      <c r="A27" s="6">
        <f>HYPERLINK("#'TODO'!A1","TODO")</f>
        <v/>
      </c>
      <c r="B27" s="7" t="inlineStr">
        <is>
          <t>状態・期限・優先度。完了しても行を消さない</t>
        </is>
      </c>
      <c r="C27" s="7" t="inlineStr">
        <is>
          <t>随時</t>
        </is>
      </c>
    </row>
    <row r="28">
      <c r="A28" s="6">
        <f>HYPERLINK("#'勤怠管理'!A1","勤怠管理")</f>
        <v/>
      </c>
      <c r="B28" s="7" t="inlineStr">
        <is>
          <t>日付・氏名・時間・現場数。現場人件費（原価）の根拠</t>
        </is>
      </c>
      <c r="C28" s="7" t="inlineStr">
        <is>
          <t>毎日</t>
        </is>
      </c>
    </row>
    <row r="29">
      <c r="A29" s="6">
        <f>HYPERLINK("#'メモ・変更履歴'!A1","メモ・変更履歴")</f>
        <v/>
      </c>
      <c r="B29" s="7" t="inlineStr">
        <is>
          <t>このスプレッドシートに手を入れた記録</t>
        </is>
      </c>
      <c r="C29" s="7" t="inlineStr">
        <is>
          <t>手を入れたとき</t>
        </is>
      </c>
    </row>
    <row r="30">
      <c r="A30" s="6">
        <f>HYPERLINK("#'選択肢マスター'!A1","選択肢マスター")</f>
        <v/>
      </c>
      <c r="B30" s="7" t="inlineStr">
        <is>
          <t>全タブのプルダウンの元データ。並べ替え・行削除をしないこと</t>
        </is>
      </c>
      <c r="C30" s="7" t="inlineStr">
        <is>
          <t>選択肢を足すとき</t>
        </is>
      </c>
    </row>
    <row r="32">
      <c r="A32" s="8" t="inlineStr">
        <is>
          <t>【この表は必ず最新にすること】</t>
        </is>
      </c>
    </row>
    <row r="33">
      <c r="A33" s="2" t="inlineStr">
        <is>
          <t>タブを足したり名前を変えたら、この目次も直してください（2026年版は目次が古くて実在タブが載っていませんでした）。</t>
        </is>
      </c>
    </row>
    <row r="34">
      <c r="A34" s="2" t="inlineStr"/>
    </row>
    <row r="35">
      <c r="A35" s="2" t="inlineStr">
        <is>
          <t>【2027年の決まり】</t>
        </is>
      </c>
    </row>
    <row r="36">
      <c r="A36" s="2" t="inlineStr">
        <is>
          <t>・料金は data/prices.json が正（税込）。繁忙期加算 3,300円は5・6・7・12月</t>
        </is>
      </c>
    </row>
    <row r="37">
      <c r="A37" s="2" t="inlineStr">
        <is>
          <t>・満足度は 98.6%（209名中206名）。「98.8%」は使わない</t>
        </is>
      </c>
    </row>
    <row r="38">
      <c r="A38" s="2" t="inlineStr">
        <is>
          <t>・対応エリアは東京都・千葉県・神奈川県</t>
        </is>
      </c>
    </row>
    <row r="39">
      <c r="A39" s="2" t="inlineStr">
        <is>
          <t>・お客様に届くもの（SMS・LINE・メール・電話台本）は、台帳の最新の施工の名義と機械照合してから作る</t>
        </is>
      </c>
    </row>
    <row r="40">
      <c r="A40" s="2" t="inlineStr">
        <is>
          <t>・お客様が開くページは tools/check-public-page.py を通してから配信する</t>
        </is>
      </c>
    </row>
    <row r="41">
      <c r="A41" s="2" t="inlineStr"/>
    </row>
    <row r="42">
      <c r="A42" s="2" t="inlineStr">
        <is>
          <t>シート数：42タブ　／　生成：tools/build-sheet-2027.py</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N31"/>
  <sheetViews>
    <sheetView workbookViewId="0">
      <selection activeCell="A1" sqref="A1"/>
    </sheetView>
  </sheetViews>
  <sheetFormatPr baseColWidth="8" defaultRowHeight="15"/>
  <cols>
    <col width="2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A1" s="1" t="inlineStr">
        <is>
          <t>ダッシュボード — 計画に乗っているか、1画面で</t>
        </is>
      </c>
    </row>
    <row r="2">
      <c r="A2" s="2" t="inlineStr">
        <is>
          <t>B3 に「今月の数字（1〜12）」を入れると、その月の数字に切り替わります。</t>
        </is>
      </c>
    </row>
    <row r="3">
      <c r="A3" s="9" t="inlineStr">
        <is>
          <t>今月（1〜12を入れる）</t>
        </is>
      </c>
      <c r="B3" s="10" t="n">
        <v>1</v>
      </c>
      <c r="C3" s="2" t="inlineStr">
        <is>
          <t>← ここだけ手で変えます</t>
        </is>
      </c>
    </row>
    <row r="5">
      <c r="A5" s="11" t="inlineStr">
        <is>
          <t>▼ 今月</t>
        </is>
      </c>
      <c r="B5" s="12" t="inlineStr">
        <is>
          <t>計画</t>
        </is>
      </c>
      <c r="C5" s="12" t="inlineStr">
        <is>
          <t>実績</t>
        </is>
      </c>
      <c r="D5" s="12" t="inlineStr">
        <is>
          <t>差額</t>
        </is>
      </c>
    </row>
    <row r="6">
      <c r="A6" s="13" t="inlineStr">
        <is>
          <t>売上</t>
        </is>
      </c>
      <c r="B6" s="14">
        <f>INDEX('年間成績'!$B$18:$M$18,1,$B$3)</f>
        <v/>
      </c>
      <c r="C6" s="14">
        <f>INDEX('年間成績'!$B$20:$M$20,1,$B$3)</f>
        <v/>
      </c>
      <c r="D6" s="15">
        <f>C6-B6</f>
        <v/>
      </c>
    </row>
    <row r="7">
      <c r="A7" s="13" t="inlineStr">
        <is>
          <t>件数</t>
        </is>
      </c>
      <c r="B7" s="16">
        <f>INDEX('年間成績'!$B$27:$M$27,1,$B$3)</f>
        <v/>
      </c>
      <c r="C7" s="16">
        <f>INDEX('年間成績'!$B$28:$M$28,1,$B$3)</f>
        <v/>
      </c>
      <c r="D7" s="17">
        <f>C7-B7</f>
        <v/>
      </c>
    </row>
    <row r="8">
      <c r="A8" s="13" t="inlineStr">
        <is>
          <t>★④自社ネット新規</t>
        </is>
      </c>
      <c r="B8" s="16">
        <f>INDEX('年間成績'!$B$29:$M$29,1,$B$3)</f>
        <v/>
      </c>
      <c r="C8" s="16">
        <f>INDEX('年間成績'!$B$30:$M$30,1,$B$3)</f>
        <v/>
      </c>
      <c r="D8" s="17">
        <f>C8-B8</f>
        <v/>
      </c>
    </row>
    <row r="9">
      <c r="A9" s="13" t="inlineStr">
        <is>
          <t>達成率（当月）</t>
        </is>
      </c>
      <c r="C9" s="18">
        <f>IFERROR(C6/B6,0)</f>
        <v/>
      </c>
    </row>
    <row r="10">
      <c r="A10" s="13" t="inlineStr">
        <is>
          <t>経常利益（当月）</t>
        </is>
      </c>
      <c r="B10" s="14">
        <f>INDEX('年間成績'!$B$51:$M$51,1,$B$3)</f>
        <v/>
      </c>
      <c r="C10" s="19">
        <f>INDEX('年間成績'!$B$43:$M$43,1,$B$3)</f>
        <v/>
      </c>
      <c r="D10" s="15">
        <f>C10-B10</f>
        <v/>
      </c>
    </row>
    <row r="12">
      <c r="A12" s="11" t="inlineStr">
        <is>
          <t>▼ 年間累計</t>
        </is>
      </c>
      <c r="B12" s="12" t="inlineStr">
        <is>
          <t>計画</t>
        </is>
      </c>
      <c r="C12" s="12" t="inlineStr">
        <is>
          <t>実績</t>
        </is>
      </c>
      <c r="D12" s="12" t="inlineStr">
        <is>
          <t>差額</t>
        </is>
      </c>
    </row>
    <row r="13">
      <c r="A13" s="13" t="inlineStr">
        <is>
          <t>売上 累計</t>
        </is>
      </c>
      <c r="B13" s="14">
        <f>INDEX('年間成績'!$B$22:$M$22,1,$B$3)</f>
        <v/>
      </c>
      <c r="C13" s="14">
        <f>INDEX('年間成績'!$B$21:$M$21,1,$B$3)</f>
        <v/>
      </c>
      <c r="D13" s="15">
        <f>C13-B13</f>
        <v/>
      </c>
      <c r="E13" s="2" t="inlineStr">
        <is>
          <t>※ 「今月」までの累計どうしで比べています。年計画は 売上26,000,000円・④143件・経常利益5,851,371円（中立）</t>
        </is>
      </c>
    </row>
    <row r="14">
      <c r="A14" s="13" t="inlineStr">
        <is>
          <t>★④自社ネット新規 累計</t>
        </is>
      </c>
      <c r="B14" s="16">
        <f>INDEX('年間成績'!$B$49:$M$49,1,$B$3)</f>
        <v/>
      </c>
      <c r="C14" s="16">
        <f>INDEX('年間成績'!$B$50:$M$50,1,$B$3)</f>
        <v/>
      </c>
      <c r="D14" s="17">
        <f>C14-B14</f>
        <v/>
      </c>
    </row>
    <row r="15">
      <c r="A15" s="13" t="inlineStr">
        <is>
          <t>経常利益 累計</t>
        </is>
      </c>
      <c r="B15" s="14">
        <f>INDEX('年間成績'!$B$52:$M$52,1,$B$3)</f>
        <v/>
      </c>
      <c r="C15" s="14">
        <f>INDEX('年間成績'!$B$44:$M$44,1,$B$3)</f>
        <v/>
      </c>
      <c r="D15" s="15">
        <f>C15-B15</f>
        <v/>
      </c>
    </row>
    <row r="17">
      <c r="A17" s="11" t="inlineStr">
        <is>
          <t>▼ ★④自社ネット新規（2027年の最重要KPI）</t>
        </is>
      </c>
    </row>
    <row r="18">
      <c r="A18" t="inlineStr">
        <is>
          <t>月</t>
        </is>
      </c>
      <c r="B18" s="12" t="inlineStr">
        <is>
          <t>1月</t>
        </is>
      </c>
      <c r="C18" s="12" t="inlineStr">
        <is>
          <t>2月</t>
        </is>
      </c>
      <c r="D18" s="12" t="inlineStr">
        <is>
          <t>3月</t>
        </is>
      </c>
      <c r="E18" s="12" t="inlineStr">
        <is>
          <t>4月</t>
        </is>
      </c>
      <c r="F18" s="12" t="inlineStr">
        <is>
          <t>5月</t>
        </is>
      </c>
      <c r="G18" s="12" t="inlineStr">
        <is>
          <t>6月</t>
        </is>
      </c>
      <c r="H18" s="12" t="inlineStr">
        <is>
          <t>7月</t>
        </is>
      </c>
      <c r="I18" s="12" t="inlineStr">
        <is>
          <t>8月</t>
        </is>
      </c>
      <c r="J18" s="12" t="inlineStr">
        <is>
          <t>9月</t>
        </is>
      </c>
      <c r="K18" s="12" t="inlineStr">
        <is>
          <t>10月</t>
        </is>
      </c>
      <c r="L18" s="12" t="inlineStr">
        <is>
          <t>11月</t>
        </is>
      </c>
      <c r="M18" s="12" t="inlineStr">
        <is>
          <t>12月</t>
        </is>
      </c>
      <c r="N18" s="20" t="inlineStr">
        <is>
          <t>年計</t>
        </is>
      </c>
    </row>
    <row r="19">
      <c r="A19" t="inlineStr">
        <is>
          <t>目標</t>
        </is>
      </c>
      <c r="B19" s="21">
        <f>'年間成績'!B29</f>
        <v/>
      </c>
      <c r="C19" s="21">
        <f>'年間成績'!C29</f>
        <v/>
      </c>
      <c r="D19" s="21">
        <f>'年間成績'!D29</f>
        <v/>
      </c>
      <c r="E19" s="21">
        <f>'年間成績'!E29</f>
        <v/>
      </c>
      <c r="F19" s="21">
        <f>'年間成績'!F29</f>
        <v/>
      </c>
      <c r="G19" s="21">
        <f>'年間成績'!G29</f>
        <v/>
      </c>
      <c r="H19" s="21">
        <f>'年間成績'!H29</f>
        <v/>
      </c>
      <c r="I19" s="21">
        <f>'年間成績'!I29</f>
        <v/>
      </c>
      <c r="J19" s="21">
        <f>'年間成績'!J29</f>
        <v/>
      </c>
      <c r="K19" s="21">
        <f>'年間成績'!K29</f>
        <v/>
      </c>
      <c r="L19" s="21">
        <f>'年間成績'!L29</f>
        <v/>
      </c>
      <c r="M19" s="21">
        <f>'年間成績'!M29</f>
        <v/>
      </c>
      <c r="N19">
        <f>SUM(B19:M19)</f>
        <v/>
      </c>
    </row>
    <row r="20">
      <c r="A20" t="inlineStr">
        <is>
          <t>実績</t>
        </is>
      </c>
      <c r="B20" s="21">
        <f>'年間成績'!B30</f>
        <v/>
      </c>
      <c r="C20" s="21">
        <f>'年間成績'!C30</f>
        <v/>
      </c>
      <c r="D20" s="21">
        <f>'年間成績'!D30</f>
        <v/>
      </c>
      <c r="E20" s="21">
        <f>'年間成績'!E30</f>
        <v/>
      </c>
      <c r="F20" s="21">
        <f>'年間成績'!F30</f>
        <v/>
      </c>
      <c r="G20" s="21">
        <f>'年間成績'!G30</f>
        <v/>
      </c>
      <c r="H20" s="21">
        <f>'年間成績'!H30</f>
        <v/>
      </c>
      <c r="I20" s="21">
        <f>'年間成績'!I30</f>
        <v/>
      </c>
      <c r="J20" s="21">
        <f>'年間成績'!J30</f>
        <v/>
      </c>
      <c r="K20" s="21">
        <f>'年間成績'!K30</f>
        <v/>
      </c>
      <c r="L20" s="21">
        <f>'年間成績'!L30</f>
        <v/>
      </c>
      <c r="M20" s="21">
        <f>'年間成績'!M30</f>
        <v/>
      </c>
      <c r="N20">
        <f>SUM(B20:M20)</f>
        <v/>
      </c>
    </row>
    <row r="21">
      <c r="A21" t="inlineStr">
        <is>
          <t>差</t>
        </is>
      </c>
      <c r="B21" s="21">
        <f>B20-B19</f>
        <v/>
      </c>
      <c r="C21" s="21">
        <f>C20-C19</f>
        <v/>
      </c>
      <c r="D21" s="21">
        <f>D20-D19</f>
        <v/>
      </c>
      <c r="E21" s="21">
        <f>E20-E19</f>
        <v/>
      </c>
      <c r="F21" s="21">
        <f>F20-F19</f>
        <v/>
      </c>
      <c r="G21" s="21">
        <f>G20-G19</f>
        <v/>
      </c>
      <c r="H21" s="21">
        <f>H20-H19</f>
        <v/>
      </c>
      <c r="I21" s="21">
        <f>I20-I19</f>
        <v/>
      </c>
      <c r="J21" s="21">
        <f>J20-J19</f>
        <v/>
      </c>
      <c r="K21" s="21">
        <f>K20-K19</f>
        <v/>
      </c>
      <c r="L21" s="21">
        <f>L20-L19</f>
        <v/>
      </c>
      <c r="M21" s="21">
        <f>M20-M19</f>
        <v/>
      </c>
      <c r="N21">
        <f>N20-N19</f>
        <v/>
      </c>
    </row>
    <row r="23">
      <c r="A23" s="11" t="inlineStr">
        <is>
          <t>▼ 先行指標と警告</t>
        </is>
      </c>
      <c r="B23" s="12" t="inlineStr">
        <is>
          <t>現在</t>
        </is>
      </c>
      <c r="C23" s="12" t="inlineStr">
        <is>
          <t>目標/上限</t>
        </is>
      </c>
      <c r="D23" s="12" t="inlineStr">
        <is>
          <t>意味</t>
        </is>
      </c>
    </row>
    <row r="24">
      <c r="A24" s="13" t="inlineStr">
        <is>
          <t>提携先 新規の成約 社数</t>
        </is>
      </c>
      <c r="B24" s="22">
        <f>COUNTIF('提携先_パイプライン'!$G$5:$G$104,"成約")</f>
        <v/>
      </c>
      <c r="C24" s="23" t="n">
        <v>5</v>
      </c>
      <c r="D24" s="2" t="inlineStr">
        <is>
          <t>アクティブ10社→15社。1社増えると年50万円規模で効く</t>
        </is>
      </c>
    </row>
    <row r="25">
      <c r="A25" s="13" t="inlineStr">
        <is>
          <t>協力業者 契約社数</t>
        </is>
      </c>
      <c r="B25" s="22">
        <f>COUNTA('協力業者_管理'!$A$5:$A$24)-COUNTIF('協力業者_管理'!$B$5:$B$24,"未契約")</f>
        <v/>
      </c>
      <c r="C25" s="23" t="n">
        <v>3</v>
      </c>
      <c r="D25" s="2" t="inlineStr">
        <is>
          <t>1〜2月に契約、3月から稼働</t>
        </is>
      </c>
    </row>
    <row r="26">
      <c r="A26" s="13" t="inlineStr">
        <is>
          <t>経常利益がマイナスの月数</t>
        </is>
      </c>
      <c r="B26" s="22">
        <f>'年間成績'!$B$14</f>
        <v/>
      </c>
      <c r="C26" s="23" t="n">
        <v>0</v>
      </c>
      <c r="D26" s="2" t="inlineStr">
        <is>
          <t>★赤字月。0であること</t>
        </is>
      </c>
    </row>
    <row r="27">
      <c r="A27" s="13" t="inlineStr">
        <is>
          <t>CPAが9,500円を超えた月数</t>
        </is>
      </c>
      <c r="B27" s="22">
        <f>COUNTIF('広告_段管理'!$F$5:$F$16,"&gt;9500")</f>
        <v/>
      </c>
      <c r="C27" s="23" t="n">
        <v>0</v>
      </c>
      <c r="D27" s="2" t="inlineStr">
        <is>
          <t>★超えた月はその月で広告を止める</t>
        </is>
      </c>
    </row>
    <row r="28">
      <c r="A28" s="13" t="inlineStr">
        <is>
          <t>Web予約 未対応の件数</t>
        </is>
      </c>
      <c r="B28" s="22">
        <f>COUNTIF('Web予約受信'!$B$5:$B$504,"未対応")</f>
        <v/>
      </c>
      <c r="C28" s="23" t="n">
        <v>0</v>
      </c>
      <c r="D28" s="2" t="inlineStr">
        <is>
          <t>★放置ゼロ。当日中に連絡</t>
        </is>
      </c>
    </row>
    <row r="29">
      <c r="A29" s="13" t="inlineStr">
        <is>
          <t>自社（One Hitter）売上 累計</t>
        </is>
      </c>
      <c r="B29" s="22">
        <f>'年間成績'!$N$56</f>
        <v/>
      </c>
      <c r="C29" s="23" t="n"/>
      <c r="D29" s="2" t="inlineStr">
        <is>
          <t>本舗の1円はロイヤリティで39銭出ていく。自社の1円のほうが残る</t>
        </is>
      </c>
    </row>
    <row r="30">
      <c r="A30" s="8" t="inlineStr">
        <is>
          <t>【毎月これだけ見れば足ります】① ④自社ネット新規の件数　② 提携先の社数　③ 累計の対計画の差額</t>
        </is>
      </c>
    </row>
    <row r="31">
      <c r="A31" s="2" t="inlineStr">
        <is>
          <t>④が動かなければ、他は全部後追いにしかなりません（docs/2027-数値目標.md §8）。</t>
        </is>
      </c>
    </row>
  </sheetData>
  <conditionalFormatting sqref="D6">
    <cfRule type="cellIs" priority="1" operator="lessThan" dxfId="0">
      <formula>0</formula>
    </cfRule>
    <cfRule type="cellIs" priority="2" operator="greaterThanOrEqual" dxfId="1">
      <formula>0</formula>
    </cfRule>
  </conditionalFormatting>
  <conditionalFormatting sqref="D7">
    <cfRule type="cellIs" priority="3" operator="lessThan" dxfId="0">
      <formula>0</formula>
    </cfRule>
    <cfRule type="cellIs" priority="4" operator="greaterThanOrEqual" dxfId="1">
      <formula>0</formula>
    </cfRule>
  </conditionalFormatting>
  <conditionalFormatting sqref="D8">
    <cfRule type="cellIs" priority="5" operator="lessThan" dxfId="0">
      <formula>0</formula>
    </cfRule>
    <cfRule type="cellIs" priority="6" operator="greaterThanOrEqual" dxfId="1">
      <formula>0</formula>
    </cfRule>
  </conditionalFormatting>
  <conditionalFormatting sqref="C9">
    <cfRule type="cellIs" priority="7" operator="lessThan" dxfId="0">
      <formula>0.9</formula>
    </cfRule>
    <cfRule type="cellIs" priority="8" operator="greaterThanOrEqual" dxfId="1">
      <formula>1</formula>
    </cfRule>
  </conditionalFormatting>
  <conditionalFormatting sqref="C10">
    <cfRule type="cellIs" priority="9" operator="lessThan" dxfId="0">
      <formula>0</formula>
    </cfRule>
  </conditionalFormatting>
  <conditionalFormatting sqref="D10">
    <cfRule type="cellIs" priority="10" operator="lessThan" dxfId="0">
      <formula>0</formula>
    </cfRule>
    <cfRule type="cellIs" priority="11" operator="greaterThanOrEqual" dxfId="1">
      <formula>0</formula>
    </cfRule>
  </conditionalFormatting>
  <conditionalFormatting sqref="D13">
    <cfRule type="cellIs" priority="12" operator="lessThan" dxfId="0">
      <formula>0</formula>
    </cfRule>
    <cfRule type="cellIs" priority="13" operator="greaterThanOrEqual" dxfId="1">
      <formula>0</formula>
    </cfRule>
  </conditionalFormatting>
  <conditionalFormatting sqref="D14">
    <cfRule type="cellIs" priority="14" operator="lessThan" dxfId="0">
      <formula>0</formula>
    </cfRule>
    <cfRule type="cellIs" priority="15" operator="greaterThanOrEqual" dxfId="1">
      <formula>0</formula>
    </cfRule>
  </conditionalFormatting>
  <conditionalFormatting sqref="D15">
    <cfRule type="cellIs" priority="16" operator="lessThan" dxfId="0">
      <formula>0</formula>
    </cfRule>
    <cfRule type="cellIs" priority="17" operator="greaterThanOrEqual" dxfId="1">
      <formula>0</formula>
    </cfRule>
  </conditionalFormatting>
  <conditionalFormatting sqref="B21:N21">
    <cfRule type="cellIs" priority="18" operator="lessThan" dxfId="0">
      <formula>0</formula>
    </cfRule>
    <cfRule type="cellIs" priority="19" operator="greaterThanOrEqual" dxfId="1">
      <formula>0</formula>
    </cfRule>
  </conditionalFormatting>
  <conditionalFormatting sqref="B24">
    <cfRule type="cellIs" priority="20" operator="lessThan" dxfId="0">
      <formula>C24</formula>
    </cfRule>
    <cfRule type="cellIs" priority="21" operator="greaterThanOrEqual" dxfId="1">
      <formula>C24</formula>
    </cfRule>
  </conditionalFormatting>
  <conditionalFormatting sqref="B25">
    <cfRule type="cellIs" priority="22" operator="lessThan" dxfId="0">
      <formula>C25</formula>
    </cfRule>
    <cfRule type="cellIs" priority="23" operator="greaterThanOrEqual" dxfId="1">
      <formula>C25</formula>
    </cfRule>
  </conditionalFormatting>
  <conditionalFormatting sqref="B26">
    <cfRule type="cellIs" priority="24" operator="greaterThan" dxfId="0">
      <formula>0</formula>
    </cfRule>
    <cfRule type="cellIs" priority="25" operator="equal" dxfId="1">
      <formula>0</formula>
    </cfRule>
  </conditionalFormatting>
  <conditionalFormatting sqref="B27">
    <cfRule type="cellIs" priority="26" operator="greaterThan" dxfId="0">
      <formula>0</formula>
    </cfRule>
    <cfRule type="cellIs" priority="27" operator="equal" dxfId="1">
      <formula>0</formula>
    </cfRule>
  </conditionalFormatting>
  <conditionalFormatting sqref="B28">
    <cfRule type="cellIs" priority="28" operator="greaterThan" dxfId="0">
      <formula>0</formula>
    </cfRule>
    <cfRule type="cellIs" priority="29" operator="equal" dxfId="1">
      <formula>0</formula>
    </cfRule>
  </conditionalFormatting>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X504"/>
  <sheetViews>
    <sheetView workbookViewId="0">
      <pane ySplit="4" topLeftCell="A5" activePane="bottomLeft" state="frozen"/>
      <selection pane="bottomLeft" activeCell="A1" sqref="A1"/>
    </sheetView>
  </sheetViews>
  <sheetFormatPr baseColWidth="8" defaultRowHeight="15"/>
  <cols>
    <col width="9" customWidth="1" min="1" max="1"/>
    <col width="11" customWidth="1" min="2" max="2"/>
    <col width="12" customWidth="1" min="3" max="3"/>
    <col width="12" customWidth="1" min="4" max="4"/>
    <col width="17" customWidth="1" min="5" max="5"/>
    <col width="20" customWidth="1" min="6" max="6"/>
    <col width="14" customWidth="1" min="7" max="7"/>
    <col width="16" customWidth="1" min="8" max="8"/>
    <col width="14" customWidth="1" min="9" max="9"/>
    <col width="11" customWidth="1" min="10" max="10"/>
    <col width="30" customWidth="1" min="11" max="11"/>
    <col width="12" customWidth="1" min="12" max="12"/>
    <col width="20" customWidth="1" min="13" max="13"/>
    <col width="12" customWidth="1" min="14" max="14"/>
    <col width="14" customWidth="1" min="15" max="15"/>
    <col width="12" customWidth="1" min="16" max="16"/>
    <col width="12" customWidth="1" min="17" max="17"/>
    <col width="34" customWidth="1" min="18" max="18"/>
    <col width="14" customWidth="1" min="19" max="19"/>
    <col width="11" customWidth="1" min="20" max="20"/>
    <col width="11" customWidth="1" min="21" max="21"/>
    <col width="12" customWidth="1" min="22" max="22"/>
    <col width="24" customWidth="1" min="23" max="23"/>
    <col width="10" customWidth="1" min="24" max="24"/>
  </cols>
  <sheetData>
    <row r="1" ht="18" customHeight="1">
      <c r="A1" s="8" t="inlineStr">
        <is>
          <t>◆ 1月の売上・顧客。入力は 5 行目から。2行目＝今月の目標、4行目＝自動集計（数式・触らない）</t>
        </is>
      </c>
    </row>
    <row r="2" ht="20" customHeight="1">
      <c r="A2" s="24" t="inlineStr">
        <is>
          <t>今月目標(売上)</t>
        </is>
      </c>
      <c r="B2" s="25" t="n">
        <v>1440000</v>
      </c>
      <c r="C2" s="24" t="inlineStr">
        <is>
          <t>売上 現在</t>
        </is>
      </c>
      <c r="D2" s="25">
        <f>$L$4</f>
        <v/>
      </c>
      <c r="E2" s="24" t="inlineStr">
        <is>
          <t>過不足</t>
        </is>
      </c>
      <c r="F2" s="25">
        <f>D2-B2</f>
        <v/>
      </c>
      <c r="G2" s="24" t="inlineStr">
        <is>
          <t>達成率</t>
        </is>
      </c>
      <c r="H2" s="26">
        <f>IFERROR(D2/B2,0)</f>
        <v/>
      </c>
      <c r="I2" s="24" t="inlineStr">
        <is>
          <t>必要件数</t>
        </is>
      </c>
      <c r="J2" s="27" t="n">
        <v>37</v>
      </c>
      <c r="K2" s="24" t="inlineStr">
        <is>
          <t>件数 現在</t>
        </is>
      </c>
      <c r="L2" s="27">
        <f>$E$4</f>
        <v/>
      </c>
      <c r="M2" s="24" t="inlineStr">
        <is>
          <t>残り件数</t>
        </is>
      </c>
      <c r="N2" s="27">
        <f>J2-L2</f>
        <v/>
      </c>
      <c r="O2" s="24" t="inlineStr">
        <is>
          <t>④ネット新規 目標</t>
        </is>
      </c>
      <c r="P2" s="27" t="n">
        <v>5</v>
      </c>
      <c r="Q2" s="24" t="inlineStr">
        <is>
          <t>④ 現在</t>
        </is>
      </c>
      <c r="R2" s="27">
        <f>$R$4</f>
        <v/>
      </c>
    </row>
    <row r="3" ht="30" customHeight="1">
      <c r="A3" s="3" t="inlineStr">
        <is>
          <t>通し番号</t>
        </is>
      </c>
      <c r="B3" s="3" t="inlineStr">
        <is>
          <t>売上種類</t>
        </is>
      </c>
      <c r="C3" s="3" t="inlineStr">
        <is>
          <t>受注日</t>
        </is>
      </c>
      <c r="D3" s="3" t="inlineStr">
        <is>
          <t>施工日付</t>
        </is>
      </c>
      <c r="E3" s="3" t="inlineStr">
        <is>
          <t>流入経路</t>
        </is>
      </c>
      <c r="F3" s="3" t="inlineStr">
        <is>
          <t>流入元の識別子(?src=)</t>
        </is>
      </c>
      <c r="G3" s="3" t="inlineStr">
        <is>
          <t>紹介者（顧客ID）</t>
        </is>
      </c>
      <c r="H3" s="3" t="inlineStr">
        <is>
          <t>氏名</t>
        </is>
      </c>
      <c r="I3" s="3" t="inlineStr">
        <is>
          <t>TEL(-無し)</t>
        </is>
      </c>
      <c r="J3" s="3" t="inlineStr">
        <is>
          <t>郵便番号(-無し)</t>
        </is>
      </c>
      <c r="K3" s="3" t="inlineStr">
        <is>
          <t>住所</t>
        </is>
      </c>
      <c r="L3" s="3" t="inlineStr">
        <is>
          <t>売上（税込）</t>
        </is>
      </c>
      <c r="M3" s="3" t="inlineStr">
        <is>
          <t>実施メニュー</t>
        </is>
      </c>
      <c r="N3" s="3" t="inlineStr">
        <is>
          <t>施工担当</t>
        </is>
      </c>
      <c r="O3" s="3" t="inlineStr">
        <is>
          <t>フォローコール日</t>
        </is>
      </c>
      <c r="P3" s="3" t="inlineStr">
        <is>
          <t>早期予約提案</t>
        </is>
      </c>
      <c r="Q3" s="3" t="inlineStr">
        <is>
          <t>フォローコール</t>
        </is>
      </c>
      <c r="R3" s="3" t="inlineStr">
        <is>
          <t>備考(お客様の声)</t>
        </is>
      </c>
      <c r="S3" s="3" t="inlineStr">
        <is>
          <t>入金経路</t>
        </is>
      </c>
      <c r="T3" s="3" t="inlineStr">
        <is>
          <t>入金額照合</t>
        </is>
      </c>
      <c r="U3" s="3" t="inlineStr">
        <is>
          <t>ＯＨ打診</t>
        </is>
      </c>
      <c r="V3" s="3" t="inlineStr">
        <is>
          <t>本舗ロイ区分</t>
        </is>
      </c>
      <c r="W3" s="3" t="inlineStr">
        <is>
          <t>お客様周辺/環境情報</t>
        </is>
      </c>
      <c r="X3" s="3" t="inlineStr">
        <is>
          <t>カウント用</t>
        </is>
      </c>
    </row>
    <row r="4" ht="20" customHeight="1">
      <c r="A4" s="28">
        <f>"▼自動集計"</f>
        <v/>
      </c>
      <c r="B4" s="29">
        <f>COUNTIFS($B$5:$B$504,"One Hitter")</f>
        <v/>
      </c>
      <c r="C4" s="30">
        <f>IFERROR(SUMPRODUCT(($C$5:$C$504&lt;&gt;"")*($D$5:$D$504&lt;&gt;"")*($D$5:$D$504-$C$5:$C$504))/SUMPRODUCT(($C$5:$C$504&lt;&gt;"")*($D$5:$D$504&lt;&gt;"")),0)</f>
        <v/>
      </c>
      <c r="D4" s="31">
        <f>COUNTIFS($B$5:$B$504,"本舗")</f>
        <v/>
      </c>
      <c r="E4" s="32">
        <f>COUNTA($D$5:$D$504)</f>
        <v/>
      </c>
      <c r="F4" s="33">
        <f>IFERROR(SUM($L$5:$L$504)/COUNTA($D$5:$D$504),0)</f>
        <v/>
      </c>
      <c r="G4" s="34">
        <f>COUNTA($G$5:$G$504)</f>
        <v/>
      </c>
      <c r="H4" s="35">
        <f>IFERROR(SUMIFS($L$5:$L$504,$B$5:$B$504,"One Hitter")/COUNTIFS($B$5:$B$504,"One Hitter"),0)</f>
        <v/>
      </c>
      <c r="I4" s="36">
        <f>IFERROR(SUMIFS($L$5:$L$504,$B$5:$B$504,"本舗")/COUNTIFS($B$5:$B$504,"本舗"),0)</f>
        <v/>
      </c>
      <c r="J4" s="37">
        <f>SUMIFS($L$5:$L$504,$B$5:$B$504,"One Hitter")</f>
        <v/>
      </c>
      <c r="K4" s="38">
        <f>SUMIFS($L$5:$L$504,$B$5:$B$504,"本舗")</f>
        <v/>
      </c>
      <c r="L4" s="39">
        <f>SUM($L$5:$L$504)</f>
        <v/>
      </c>
      <c r="M4" s="40" t="n"/>
      <c r="N4" s="40" t="n"/>
      <c r="O4" s="40" t="n"/>
      <c r="P4" s="40" t="n"/>
      <c r="Q4" s="40" t="n"/>
      <c r="R4" s="41">
        <f>COUNTIFS($E$5:$E$504,"HP")+COUNTIFS($E$5:$E$504,"LP")+COUNTIFS($E$5:$E$504,"SNS")+COUNTIFS($E$5:$E$504,"GBP(地図検索)")+COUNTIFS($E$5:$E$504,"公式LINE")+COUNTIFS($E$5:$E$504,"アフィリエイト")+COUNTIFS($E$5:$E$504,"LINE/SMS再販")+COUNTIFS($E$5:$E$504,"SMS")+COUNTIFS($E$5:$E$504,"広告")</f>
        <v/>
      </c>
      <c r="S4" s="42">
        <f>SUMIFS($L$5:$L$504,$E$5:$E$504,"HP")+SUMIFS($L$5:$L$504,$E$5:$E$504,"LP")+SUMIFS($L$5:$L$504,$E$5:$E$504,"SNS")+SUMIFS($L$5:$L$504,$E$5:$E$504,"GBP(地図検索)")+SUMIFS($L$5:$L$504,$E$5:$E$504,"公式LINE")+SUMIFS($L$5:$L$504,$E$5:$E$504,"アフィリエイト")+SUMIFS($L$5:$L$504,$E$5:$E$504,"LINE/SMS再販")+SUMIFS($L$5:$L$504,$E$5:$E$504,"SMS")+SUMIFS($L$5:$L$504,$E$5:$E$504,"広告")</f>
        <v/>
      </c>
      <c r="T4" s="40" t="n"/>
      <c r="U4" s="40" t="n"/>
      <c r="V4" s="40" t="n"/>
      <c r="W4" s="40" t="n"/>
      <c r="X4" s="40" t="n"/>
    </row>
    <row r="5">
      <c r="A5" s="43" t="n"/>
      <c r="C5" s="44" t="n"/>
      <c r="D5" s="44" t="n"/>
      <c r="L5" s="45" t="n"/>
      <c r="O5" s="44" t="n"/>
    </row>
    <row r="6">
      <c r="A6" s="43" t="n"/>
      <c r="C6" s="44" t="n"/>
      <c r="D6" s="44" t="n"/>
      <c r="L6" s="45" t="n"/>
      <c r="O6" s="44" t="n"/>
    </row>
    <row r="7">
      <c r="A7" s="43" t="n"/>
      <c r="C7" s="44" t="n"/>
      <c r="D7" s="44" t="n"/>
      <c r="L7" s="45" t="n"/>
      <c r="O7" s="44" t="n"/>
    </row>
    <row r="8">
      <c r="A8" s="43" t="n"/>
      <c r="C8" s="44" t="n"/>
      <c r="D8" s="44" t="n"/>
      <c r="L8" s="45" t="n"/>
      <c r="O8" s="44" t="n"/>
    </row>
    <row r="9">
      <c r="A9" s="43" t="n"/>
      <c r="C9" s="44" t="n"/>
      <c r="D9" s="44" t="n"/>
      <c r="L9" s="45" t="n"/>
      <c r="O9" s="44" t="n"/>
    </row>
    <row r="10">
      <c r="A10" s="43" t="n"/>
      <c r="C10" s="44" t="n"/>
      <c r="D10" s="44" t="n"/>
      <c r="L10" s="45" t="n"/>
      <c r="O10" s="44" t="n"/>
    </row>
    <row r="11">
      <c r="A11" s="43" t="n"/>
      <c r="C11" s="44" t="n"/>
      <c r="D11" s="44" t="n"/>
      <c r="L11" s="45" t="n"/>
      <c r="O11" s="44" t="n"/>
    </row>
    <row r="12">
      <c r="A12" s="43" t="n"/>
      <c r="C12" s="44" t="n"/>
      <c r="D12" s="44" t="n"/>
      <c r="L12" s="45" t="n"/>
      <c r="O12" s="44" t="n"/>
    </row>
    <row r="13">
      <c r="A13" s="43" t="n"/>
      <c r="C13" s="44" t="n"/>
      <c r="D13" s="44" t="n"/>
      <c r="L13" s="45" t="n"/>
      <c r="O13" s="44" t="n"/>
    </row>
    <row r="14">
      <c r="A14" s="43" t="n"/>
      <c r="C14" s="44" t="n"/>
      <c r="D14" s="44" t="n"/>
      <c r="L14" s="45" t="n"/>
      <c r="O14" s="44" t="n"/>
    </row>
    <row r="15">
      <c r="A15" s="43" t="n"/>
      <c r="C15" s="44" t="n"/>
      <c r="D15" s="44" t="n"/>
      <c r="L15" s="45" t="n"/>
      <c r="O15" s="44" t="n"/>
    </row>
    <row r="16">
      <c r="A16" s="43" t="n"/>
      <c r="C16" s="44" t="n"/>
      <c r="D16" s="44" t="n"/>
      <c r="L16" s="45" t="n"/>
      <c r="O16" s="44" t="n"/>
    </row>
    <row r="17">
      <c r="A17" s="43" t="n"/>
      <c r="C17" s="44" t="n"/>
      <c r="D17" s="44" t="n"/>
      <c r="L17" s="45" t="n"/>
      <c r="O17" s="44" t="n"/>
    </row>
    <row r="18">
      <c r="A18" s="43" t="n"/>
      <c r="C18" s="44" t="n"/>
      <c r="D18" s="44" t="n"/>
      <c r="L18" s="45" t="n"/>
      <c r="O18" s="44" t="n"/>
    </row>
    <row r="19">
      <c r="A19" s="43" t="n"/>
      <c r="C19" s="44" t="n"/>
      <c r="D19" s="44" t="n"/>
      <c r="L19" s="45" t="n"/>
      <c r="O19" s="44" t="n"/>
    </row>
    <row r="20">
      <c r="A20" s="43" t="n"/>
      <c r="C20" s="44" t="n"/>
      <c r="D20" s="44" t="n"/>
      <c r="L20" s="45" t="n"/>
      <c r="O20" s="44" t="n"/>
    </row>
    <row r="21">
      <c r="A21" s="43" t="n"/>
      <c r="C21" s="44" t="n"/>
      <c r="D21" s="44" t="n"/>
      <c r="L21" s="45" t="n"/>
      <c r="O21" s="44" t="n"/>
    </row>
    <row r="22">
      <c r="A22" s="43" t="n"/>
      <c r="C22" s="44" t="n"/>
      <c r="D22" s="44" t="n"/>
      <c r="L22" s="45" t="n"/>
      <c r="O22" s="44" t="n"/>
    </row>
    <row r="23">
      <c r="A23" s="43" t="n"/>
      <c r="C23" s="44" t="n"/>
      <c r="D23" s="44" t="n"/>
      <c r="L23" s="45" t="n"/>
      <c r="O23" s="44" t="n"/>
    </row>
    <row r="24">
      <c r="A24" s="43" t="n"/>
      <c r="C24" s="44" t="n"/>
      <c r="D24" s="44" t="n"/>
      <c r="L24" s="45" t="n"/>
      <c r="O24" s="44" t="n"/>
    </row>
    <row r="25">
      <c r="A25" s="43" t="n"/>
      <c r="C25" s="44" t="n"/>
      <c r="D25" s="44" t="n"/>
      <c r="L25" s="45" t="n"/>
      <c r="O25" s="44" t="n"/>
    </row>
    <row r="26">
      <c r="A26" s="43" t="n"/>
      <c r="C26" s="44" t="n"/>
      <c r="D26" s="44" t="n"/>
      <c r="L26" s="45" t="n"/>
      <c r="O26" s="44" t="n"/>
    </row>
    <row r="27">
      <c r="A27" s="43" t="n"/>
      <c r="C27" s="44" t="n"/>
      <c r="D27" s="44" t="n"/>
      <c r="L27" s="45" t="n"/>
      <c r="O27" s="44" t="n"/>
    </row>
    <row r="28">
      <c r="A28" s="43" t="n"/>
      <c r="C28" s="44" t="n"/>
      <c r="D28" s="44" t="n"/>
      <c r="L28" s="45" t="n"/>
      <c r="O28" s="44" t="n"/>
    </row>
    <row r="29">
      <c r="A29" s="43" t="n"/>
      <c r="C29" s="44" t="n"/>
      <c r="D29" s="44" t="n"/>
      <c r="L29" s="45" t="n"/>
      <c r="O29" s="44" t="n"/>
    </row>
    <row r="30">
      <c r="A30" s="43" t="n"/>
      <c r="C30" s="44" t="n"/>
      <c r="D30" s="44" t="n"/>
      <c r="L30" s="45" t="n"/>
      <c r="O30" s="44" t="n"/>
    </row>
    <row r="31">
      <c r="A31" s="43" t="n"/>
      <c r="C31" s="44" t="n"/>
      <c r="D31" s="44" t="n"/>
      <c r="L31" s="45" t="n"/>
      <c r="O31" s="44" t="n"/>
    </row>
    <row r="32">
      <c r="A32" s="43" t="n"/>
      <c r="C32" s="44" t="n"/>
      <c r="D32" s="44" t="n"/>
      <c r="L32" s="45" t="n"/>
      <c r="O32" s="44" t="n"/>
    </row>
    <row r="33">
      <c r="A33" s="43" t="n"/>
      <c r="C33" s="44" t="n"/>
      <c r="D33" s="44" t="n"/>
      <c r="L33" s="45" t="n"/>
      <c r="O33" s="44" t="n"/>
    </row>
    <row r="34">
      <c r="A34" s="43" t="n"/>
      <c r="C34" s="44" t="n"/>
      <c r="D34" s="44" t="n"/>
      <c r="L34" s="45" t="n"/>
      <c r="O34" s="44" t="n"/>
    </row>
    <row r="35">
      <c r="A35" s="43" t="n"/>
      <c r="C35" s="44" t="n"/>
      <c r="D35" s="44" t="n"/>
      <c r="L35" s="45" t="n"/>
      <c r="O35" s="44" t="n"/>
    </row>
    <row r="36">
      <c r="A36" s="43" t="n"/>
      <c r="C36" s="44" t="n"/>
      <c r="D36" s="44" t="n"/>
      <c r="L36" s="45" t="n"/>
      <c r="O36" s="44" t="n"/>
    </row>
    <row r="37">
      <c r="A37" s="43" t="n"/>
      <c r="C37" s="44" t="n"/>
      <c r="D37" s="44" t="n"/>
      <c r="L37" s="45" t="n"/>
      <c r="O37" s="44" t="n"/>
    </row>
    <row r="38">
      <c r="A38" s="43" t="n"/>
      <c r="C38" s="44" t="n"/>
      <c r="D38" s="44" t="n"/>
      <c r="L38" s="45" t="n"/>
      <c r="O38" s="44" t="n"/>
    </row>
    <row r="39">
      <c r="A39" s="43" t="n"/>
      <c r="C39" s="44" t="n"/>
      <c r="D39" s="44" t="n"/>
      <c r="L39" s="45" t="n"/>
      <c r="O39" s="44" t="n"/>
    </row>
    <row r="40">
      <c r="A40" s="43" t="n"/>
      <c r="C40" s="44" t="n"/>
      <c r="D40" s="44" t="n"/>
      <c r="L40" s="45" t="n"/>
      <c r="O40" s="44" t="n"/>
    </row>
    <row r="41">
      <c r="A41" s="43" t="n"/>
      <c r="C41" s="44" t="n"/>
      <c r="D41" s="44" t="n"/>
      <c r="L41" s="45" t="n"/>
      <c r="O41" s="44" t="n"/>
    </row>
    <row r="42">
      <c r="A42" s="43" t="n"/>
      <c r="C42" s="44" t="n"/>
      <c r="D42" s="44" t="n"/>
      <c r="L42" s="45" t="n"/>
      <c r="O42" s="44" t="n"/>
    </row>
    <row r="43">
      <c r="A43" s="43" t="n"/>
      <c r="C43" s="44" t="n"/>
      <c r="D43" s="44" t="n"/>
      <c r="L43" s="45" t="n"/>
      <c r="O43" s="44" t="n"/>
    </row>
    <row r="44">
      <c r="A44" s="43" t="n"/>
      <c r="C44" s="44" t="n"/>
      <c r="D44" s="44" t="n"/>
      <c r="L44" s="45" t="n"/>
      <c r="O44" s="44" t="n"/>
    </row>
    <row r="45">
      <c r="A45" s="43" t="n"/>
      <c r="C45" s="44" t="n"/>
      <c r="D45" s="44" t="n"/>
      <c r="L45" s="45" t="n"/>
      <c r="O45" s="44" t="n"/>
    </row>
    <row r="46">
      <c r="A46" s="43" t="n"/>
      <c r="C46" s="44" t="n"/>
      <c r="D46" s="44" t="n"/>
      <c r="L46" s="45" t="n"/>
      <c r="O46" s="44" t="n"/>
    </row>
    <row r="47">
      <c r="A47" s="43" t="n"/>
      <c r="C47" s="44" t="n"/>
      <c r="D47" s="44" t="n"/>
      <c r="L47" s="45" t="n"/>
      <c r="O47" s="44" t="n"/>
    </row>
    <row r="48">
      <c r="A48" s="43" t="n"/>
      <c r="C48" s="44" t="n"/>
      <c r="D48" s="44" t="n"/>
      <c r="L48" s="45" t="n"/>
      <c r="O48" s="44" t="n"/>
    </row>
    <row r="49">
      <c r="A49" s="43" t="n"/>
      <c r="C49" s="44" t="n"/>
      <c r="D49" s="44" t="n"/>
      <c r="L49" s="45" t="n"/>
      <c r="O49" s="44" t="n"/>
    </row>
    <row r="50">
      <c r="A50" s="43" t="n"/>
      <c r="C50" s="44" t="n"/>
      <c r="D50" s="44" t="n"/>
      <c r="L50" s="45" t="n"/>
      <c r="O50" s="44" t="n"/>
    </row>
    <row r="51">
      <c r="A51" s="43" t="n"/>
      <c r="C51" s="44" t="n"/>
      <c r="D51" s="44" t="n"/>
      <c r="L51" s="45" t="n"/>
      <c r="O51" s="44" t="n"/>
    </row>
    <row r="52">
      <c r="A52" s="43" t="n"/>
      <c r="C52" s="44" t="n"/>
      <c r="D52" s="44" t="n"/>
      <c r="L52" s="45" t="n"/>
      <c r="O52" s="44" t="n"/>
    </row>
    <row r="53">
      <c r="A53" s="43" t="n"/>
      <c r="C53" s="44" t="n"/>
      <c r="D53" s="44" t="n"/>
      <c r="L53" s="45" t="n"/>
      <c r="O53" s="44" t="n"/>
    </row>
    <row r="54">
      <c r="A54" s="43" t="n"/>
      <c r="C54" s="44" t="n"/>
      <c r="D54" s="44" t="n"/>
      <c r="L54" s="45" t="n"/>
      <c r="O54" s="44" t="n"/>
    </row>
    <row r="55">
      <c r="A55" s="43" t="n"/>
      <c r="C55" s="44" t="n"/>
      <c r="D55" s="44" t="n"/>
      <c r="L55" s="45" t="n"/>
      <c r="O55" s="44" t="n"/>
    </row>
    <row r="56">
      <c r="A56" s="43" t="n"/>
      <c r="C56" s="44" t="n"/>
      <c r="D56" s="44" t="n"/>
      <c r="L56" s="45" t="n"/>
      <c r="O56" s="44" t="n"/>
    </row>
    <row r="57">
      <c r="A57" s="43" t="n"/>
      <c r="C57" s="44" t="n"/>
      <c r="D57" s="44" t="n"/>
      <c r="L57" s="45" t="n"/>
      <c r="O57" s="44" t="n"/>
    </row>
    <row r="58">
      <c r="A58" s="43" t="n"/>
      <c r="C58" s="44" t="n"/>
      <c r="D58" s="44" t="n"/>
      <c r="L58" s="45" t="n"/>
      <c r="O58" s="44" t="n"/>
    </row>
    <row r="59">
      <c r="A59" s="43" t="n"/>
      <c r="C59" s="44" t="n"/>
      <c r="D59" s="44" t="n"/>
      <c r="L59" s="45" t="n"/>
      <c r="O59" s="44" t="n"/>
    </row>
    <row r="60">
      <c r="A60" s="43" t="n"/>
      <c r="C60" s="44" t="n"/>
      <c r="D60" s="44" t="n"/>
      <c r="L60" s="45" t="n"/>
      <c r="O60" s="44" t="n"/>
    </row>
    <row r="61">
      <c r="A61" s="43" t="n"/>
      <c r="C61" s="44" t="n"/>
      <c r="D61" s="44" t="n"/>
      <c r="L61" s="45" t="n"/>
      <c r="O61" s="44" t="n"/>
    </row>
    <row r="62">
      <c r="A62" s="43" t="n"/>
      <c r="C62" s="44" t="n"/>
      <c r="D62" s="44" t="n"/>
      <c r="L62" s="45" t="n"/>
      <c r="O62" s="44" t="n"/>
    </row>
    <row r="63">
      <c r="A63" s="43" t="n"/>
      <c r="C63" s="44" t="n"/>
      <c r="D63" s="44" t="n"/>
      <c r="L63" s="45" t="n"/>
      <c r="O63" s="44" t="n"/>
    </row>
    <row r="64">
      <c r="A64" s="43" t="n"/>
      <c r="C64" s="44" t="n"/>
      <c r="D64" s="44" t="n"/>
      <c r="L64" s="45" t="n"/>
      <c r="O64" s="44" t="n"/>
    </row>
    <row r="65">
      <c r="A65" s="43" t="n"/>
      <c r="C65" s="44" t="n"/>
      <c r="D65" s="44" t="n"/>
      <c r="L65" s="45" t="n"/>
      <c r="O65" s="44" t="n"/>
    </row>
    <row r="66">
      <c r="A66" s="43" t="n"/>
      <c r="C66" s="44" t="n"/>
      <c r="D66" s="44" t="n"/>
      <c r="L66" s="45" t="n"/>
      <c r="O66" s="44" t="n"/>
    </row>
    <row r="67">
      <c r="A67" s="43" t="n"/>
      <c r="C67" s="44" t="n"/>
      <c r="D67" s="44" t="n"/>
      <c r="L67" s="45" t="n"/>
      <c r="O67" s="44" t="n"/>
    </row>
    <row r="68">
      <c r="A68" s="43" t="n"/>
      <c r="C68" s="44" t="n"/>
      <c r="D68" s="44" t="n"/>
      <c r="L68" s="45" t="n"/>
      <c r="O68" s="44" t="n"/>
    </row>
    <row r="69">
      <c r="A69" s="43" t="n"/>
      <c r="C69" s="44" t="n"/>
      <c r="D69" s="44" t="n"/>
      <c r="L69" s="45" t="n"/>
      <c r="O69" s="44" t="n"/>
    </row>
    <row r="70">
      <c r="A70" s="43" t="n"/>
      <c r="C70" s="44" t="n"/>
      <c r="D70" s="44" t="n"/>
      <c r="L70" s="45" t="n"/>
      <c r="O70" s="44" t="n"/>
    </row>
    <row r="71">
      <c r="A71" s="43" t="n"/>
      <c r="C71" s="44" t="n"/>
      <c r="D71" s="44" t="n"/>
      <c r="L71" s="45" t="n"/>
      <c r="O71" s="44" t="n"/>
    </row>
    <row r="72">
      <c r="A72" s="43" t="n"/>
      <c r="C72" s="44" t="n"/>
      <c r="D72" s="44" t="n"/>
      <c r="L72" s="45" t="n"/>
      <c r="O72" s="44" t="n"/>
    </row>
    <row r="73">
      <c r="A73" s="43" t="n"/>
      <c r="C73" s="44" t="n"/>
      <c r="D73" s="44" t="n"/>
      <c r="L73" s="45" t="n"/>
      <c r="O73" s="44" t="n"/>
    </row>
    <row r="74">
      <c r="A74" s="43" t="n"/>
      <c r="C74" s="44" t="n"/>
      <c r="D74" s="44" t="n"/>
      <c r="L74" s="45" t="n"/>
      <c r="O74" s="44" t="n"/>
    </row>
    <row r="75">
      <c r="A75" s="43" t="n"/>
      <c r="C75" s="44" t="n"/>
      <c r="D75" s="44" t="n"/>
      <c r="L75" s="45" t="n"/>
      <c r="O75" s="44" t="n"/>
    </row>
    <row r="76">
      <c r="A76" s="43" t="n"/>
      <c r="C76" s="44" t="n"/>
      <c r="D76" s="44" t="n"/>
      <c r="L76" s="45" t="n"/>
      <c r="O76" s="44" t="n"/>
    </row>
    <row r="77">
      <c r="A77" s="43" t="n"/>
      <c r="C77" s="44" t="n"/>
      <c r="D77" s="44" t="n"/>
      <c r="L77" s="45" t="n"/>
      <c r="O77" s="44" t="n"/>
    </row>
    <row r="78">
      <c r="A78" s="43" t="n"/>
      <c r="C78" s="44" t="n"/>
      <c r="D78" s="44" t="n"/>
      <c r="L78" s="45" t="n"/>
      <c r="O78" s="44" t="n"/>
    </row>
    <row r="79">
      <c r="A79" s="43" t="n"/>
      <c r="C79" s="44" t="n"/>
      <c r="D79" s="44" t="n"/>
      <c r="L79" s="45" t="n"/>
      <c r="O79" s="44" t="n"/>
    </row>
    <row r="80">
      <c r="A80" s="43" t="n"/>
      <c r="C80" s="44" t="n"/>
      <c r="D80" s="44" t="n"/>
      <c r="L80" s="45" t="n"/>
      <c r="O80" s="44" t="n"/>
    </row>
    <row r="81">
      <c r="A81" s="43" t="n"/>
      <c r="C81" s="44" t="n"/>
      <c r="D81" s="44" t="n"/>
      <c r="L81" s="45" t="n"/>
      <c r="O81" s="44" t="n"/>
    </row>
    <row r="82">
      <c r="A82" s="43" t="n"/>
      <c r="C82" s="44" t="n"/>
      <c r="D82" s="44" t="n"/>
      <c r="L82" s="45" t="n"/>
      <c r="O82" s="44" t="n"/>
    </row>
    <row r="83">
      <c r="A83" s="43" t="n"/>
      <c r="C83" s="44" t="n"/>
      <c r="D83" s="44" t="n"/>
      <c r="L83" s="45" t="n"/>
      <c r="O83" s="44" t="n"/>
    </row>
    <row r="84">
      <c r="A84" s="43" t="n"/>
      <c r="C84" s="44" t="n"/>
      <c r="D84" s="44" t="n"/>
      <c r="L84" s="45" t="n"/>
      <c r="O84" s="44" t="n"/>
    </row>
    <row r="85">
      <c r="A85" s="43" t="n"/>
      <c r="C85" s="44" t="n"/>
      <c r="D85" s="44" t="n"/>
      <c r="L85" s="45" t="n"/>
      <c r="O85" s="44" t="n"/>
    </row>
    <row r="86">
      <c r="A86" s="43" t="n"/>
      <c r="C86" s="44" t="n"/>
      <c r="D86" s="44" t="n"/>
      <c r="L86" s="45" t="n"/>
      <c r="O86" s="44" t="n"/>
    </row>
    <row r="87">
      <c r="A87" s="43" t="n"/>
      <c r="C87" s="44" t="n"/>
      <c r="D87" s="44" t="n"/>
      <c r="L87" s="45" t="n"/>
      <c r="O87" s="44" t="n"/>
    </row>
    <row r="88">
      <c r="A88" s="43" t="n"/>
      <c r="C88" s="44" t="n"/>
      <c r="D88" s="44" t="n"/>
      <c r="L88" s="45" t="n"/>
      <c r="O88" s="44" t="n"/>
    </row>
    <row r="89">
      <c r="A89" s="43" t="n"/>
      <c r="C89" s="44" t="n"/>
      <c r="D89" s="44" t="n"/>
      <c r="L89" s="45" t="n"/>
      <c r="O89" s="44" t="n"/>
    </row>
    <row r="90">
      <c r="A90" s="43" t="n"/>
      <c r="C90" s="44" t="n"/>
      <c r="D90" s="44" t="n"/>
      <c r="L90" s="45" t="n"/>
      <c r="O90" s="44" t="n"/>
    </row>
    <row r="91">
      <c r="A91" s="43" t="n"/>
      <c r="C91" s="44" t="n"/>
      <c r="D91" s="44" t="n"/>
      <c r="L91" s="45" t="n"/>
      <c r="O91" s="44" t="n"/>
    </row>
    <row r="92">
      <c r="A92" s="43" t="n"/>
      <c r="C92" s="44" t="n"/>
      <c r="D92" s="44" t="n"/>
      <c r="L92" s="45" t="n"/>
      <c r="O92" s="44" t="n"/>
    </row>
    <row r="93">
      <c r="A93" s="43" t="n"/>
      <c r="C93" s="44" t="n"/>
      <c r="D93" s="44" t="n"/>
      <c r="L93" s="45" t="n"/>
      <c r="O93" s="44" t="n"/>
    </row>
    <row r="94">
      <c r="A94" s="43" t="n"/>
      <c r="C94" s="44" t="n"/>
      <c r="D94" s="44" t="n"/>
      <c r="L94" s="45" t="n"/>
      <c r="O94" s="44" t="n"/>
    </row>
    <row r="95">
      <c r="A95" s="43" t="n"/>
      <c r="C95" s="44" t="n"/>
      <c r="D95" s="44" t="n"/>
      <c r="L95" s="45" t="n"/>
      <c r="O95" s="44" t="n"/>
    </row>
    <row r="96">
      <c r="A96" s="43" t="n"/>
      <c r="C96" s="44" t="n"/>
      <c r="D96" s="44" t="n"/>
      <c r="L96" s="45" t="n"/>
      <c r="O96" s="44" t="n"/>
    </row>
    <row r="97">
      <c r="A97" s="43" t="n"/>
      <c r="C97" s="44" t="n"/>
      <c r="D97" s="44" t="n"/>
      <c r="L97" s="45" t="n"/>
      <c r="O97" s="44" t="n"/>
    </row>
    <row r="98">
      <c r="A98" s="43" t="n"/>
      <c r="C98" s="44" t="n"/>
      <c r="D98" s="44" t="n"/>
      <c r="L98" s="45" t="n"/>
      <c r="O98" s="44" t="n"/>
    </row>
    <row r="99">
      <c r="A99" s="43" t="n"/>
      <c r="C99" s="44" t="n"/>
      <c r="D99" s="44" t="n"/>
      <c r="L99" s="45" t="n"/>
      <c r="O99" s="44" t="n"/>
    </row>
    <row r="100">
      <c r="A100" s="43" t="n"/>
      <c r="C100" s="44" t="n"/>
      <c r="D100" s="44" t="n"/>
      <c r="L100" s="45" t="n"/>
      <c r="O100" s="44" t="n"/>
    </row>
    <row r="101">
      <c r="A101" s="43" t="n"/>
      <c r="C101" s="44" t="n"/>
      <c r="D101" s="44" t="n"/>
      <c r="L101" s="45" t="n"/>
      <c r="O101" s="44" t="n"/>
    </row>
    <row r="102">
      <c r="A102" s="43" t="n"/>
      <c r="C102" s="44" t="n"/>
      <c r="D102" s="44" t="n"/>
      <c r="L102" s="45" t="n"/>
      <c r="O102" s="44" t="n"/>
    </row>
    <row r="103">
      <c r="A103" s="43" t="n"/>
      <c r="C103" s="44" t="n"/>
      <c r="D103" s="44" t="n"/>
      <c r="L103" s="45" t="n"/>
      <c r="O103" s="44" t="n"/>
    </row>
    <row r="104">
      <c r="A104" s="43" t="n"/>
      <c r="C104" s="44" t="n"/>
      <c r="D104" s="44" t="n"/>
      <c r="L104" s="45" t="n"/>
      <c r="O104" s="44" t="n"/>
    </row>
    <row r="105">
      <c r="A105" s="43" t="n"/>
      <c r="C105" s="44" t="n"/>
      <c r="D105" s="44" t="n"/>
      <c r="L105" s="45" t="n"/>
      <c r="O105" s="44" t="n"/>
    </row>
    <row r="106">
      <c r="A106" s="43" t="n"/>
      <c r="C106" s="44" t="n"/>
      <c r="D106" s="44" t="n"/>
      <c r="L106" s="45" t="n"/>
      <c r="O106" s="44" t="n"/>
    </row>
    <row r="107">
      <c r="A107" s="43" t="n"/>
      <c r="C107" s="44" t="n"/>
      <c r="D107" s="44" t="n"/>
      <c r="L107" s="45" t="n"/>
      <c r="O107" s="44" t="n"/>
    </row>
    <row r="108">
      <c r="A108" s="43" t="n"/>
      <c r="C108" s="44" t="n"/>
      <c r="D108" s="44" t="n"/>
      <c r="L108" s="45" t="n"/>
      <c r="O108" s="44" t="n"/>
    </row>
    <row r="109">
      <c r="A109" s="43" t="n"/>
      <c r="C109" s="44" t="n"/>
      <c r="D109" s="44" t="n"/>
      <c r="L109" s="45" t="n"/>
      <c r="O109" s="44" t="n"/>
    </row>
    <row r="110">
      <c r="A110" s="43" t="n"/>
      <c r="C110" s="44" t="n"/>
      <c r="D110" s="44" t="n"/>
      <c r="L110" s="45" t="n"/>
      <c r="O110" s="44" t="n"/>
    </row>
    <row r="111">
      <c r="A111" s="43" t="n"/>
      <c r="C111" s="44" t="n"/>
      <c r="D111" s="44" t="n"/>
      <c r="L111" s="45" t="n"/>
      <c r="O111" s="44" t="n"/>
    </row>
    <row r="112">
      <c r="A112" s="43" t="n"/>
      <c r="C112" s="44" t="n"/>
      <c r="D112" s="44" t="n"/>
      <c r="L112" s="45" t="n"/>
      <c r="O112" s="44" t="n"/>
    </row>
    <row r="113">
      <c r="A113" s="43" t="n"/>
      <c r="C113" s="44" t="n"/>
      <c r="D113" s="44" t="n"/>
      <c r="L113" s="45" t="n"/>
      <c r="O113" s="44" t="n"/>
    </row>
    <row r="114">
      <c r="A114" s="43" t="n"/>
      <c r="C114" s="44" t="n"/>
      <c r="D114" s="44" t="n"/>
      <c r="L114" s="45" t="n"/>
      <c r="O114" s="44" t="n"/>
    </row>
    <row r="115">
      <c r="A115" s="43" t="n"/>
      <c r="C115" s="44" t="n"/>
      <c r="D115" s="44" t="n"/>
      <c r="L115" s="45" t="n"/>
      <c r="O115" s="44" t="n"/>
    </row>
    <row r="116">
      <c r="A116" s="43" t="n"/>
      <c r="C116" s="44" t="n"/>
      <c r="D116" s="44" t="n"/>
      <c r="L116" s="45" t="n"/>
      <c r="O116" s="44" t="n"/>
    </row>
    <row r="117">
      <c r="A117" s="43" t="n"/>
      <c r="C117" s="44" t="n"/>
      <c r="D117" s="44" t="n"/>
      <c r="L117" s="45" t="n"/>
      <c r="O117" s="44" t="n"/>
    </row>
    <row r="118">
      <c r="A118" s="43" t="n"/>
      <c r="C118" s="44" t="n"/>
      <c r="D118" s="44" t="n"/>
      <c r="L118" s="45" t="n"/>
      <c r="O118" s="44" t="n"/>
    </row>
    <row r="119">
      <c r="A119" s="43" t="n"/>
      <c r="C119" s="44" t="n"/>
      <c r="D119" s="44" t="n"/>
      <c r="L119" s="45" t="n"/>
      <c r="O119" s="44" t="n"/>
    </row>
    <row r="120">
      <c r="A120" s="43" t="n"/>
      <c r="C120" s="44" t="n"/>
      <c r="D120" s="44" t="n"/>
      <c r="L120" s="45" t="n"/>
      <c r="O120" s="44" t="n"/>
    </row>
    <row r="121">
      <c r="A121" s="43" t="n"/>
      <c r="C121" s="44" t="n"/>
      <c r="D121" s="44" t="n"/>
      <c r="L121" s="45" t="n"/>
      <c r="O121" s="44" t="n"/>
    </row>
    <row r="122">
      <c r="A122" s="43" t="n"/>
      <c r="C122" s="44" t="n"/>
      <c r="D122" s="44" t="n"/>
      <c r="L122" s="45" t="n"/>
      <c r="O122" s="44" t="n"/>
    </row>
    <row r="123">
      <c r="A123" s="43" t="n"/>
      <c r="C123" s="44" t="n"/>
      <c r="D123" s="44" t="n"/>
      <c r="L123" s="45" t="n"/>
      <c r="O123" s="44" t="n"/>
    </row>
    <row r="124">
      <c r="A124" s="43" t="n"/>
      <c r="C124" s="44" t="n"/>
      <c r="D124" s="44" t="n"/>
      <c r="L124" s="45" t="n"/>
      <c r="O124" s="44" t="n"/>
    </row>
    <row r="125">
      <c r="A125" s="43" t="n"/>
      <c r="C125" s="44" t="n"/>
      <c r="D125" s="44" t="n"/>
      <c r="L125" s="45" t="n"/>
      <c r="O125" s="44" t="n"/>
    </row>
    <row r="126">
      <c r="A126" s="43" t="n"/>
      <c r="C126" s="44" t="n"/>
      <c r="D126" s="44" t="n"/>
      <c r="L126" s="45" t="n"/>
      <c r="O126" s="44" t="n"/>
    </row>
    <row r="127">
      <c r="A127" s="43" t="n"/>
      <c r="C127" s="44" t="n"/>
      <c r="D127" s="44" t="n"/>
      <c r="L127" s="45" t="n"/>
      <c r="O127" s="44" t="n"/>
    </row>
    <row r="128">
      <c r="A128" s="43" t="n"/>
      <c r="C128" s="44" t="n"/>
      <c r="D128" s="44" t="n"/>
      <c r="L128" s="45" t="n"/>
      <c r="O128" s="44" t="n"/>
    </row>
    <row r="129">
      <c r="A129" s="43" t="n"/>
      <c r="C129" s="44" t="n"/>
      <c r="D129" s="44" t="n"/>
      <c r="L129" s="45" t="n"/>
      <c r="O129" s="44" t="n"/>
    </row>
    <row r="130">
      <c r="A130" s="43" t="n"/>
      <c r="C130" s="44" t="n"/>
      <c r="D130" s="44" t="n"/>
      <c r="L130" s="45" t="n"/>
      <c r="O130" s="44" t="n"/>
    </row>
    <row r="131">
      <c r="A131" s="43" t="n"/>
      <c r="C131" s="44" t="n"/>
      <c r="D131" s="44" t="n"/>
      <c r="L131" s="45" t="n"/>
      <c r="O131" s="44" t="n"/>
    </row>
    <row r="132">
      <c r="A132" s="43" t="n"/>
      <c r="C132" s="44" t="n"/>
      <c r="D132" s="44" t="n"/>
      <c r="L132" s="45" t="n"/>
      <c r="O132" s="44" t="n"/>
    </row>
    <row r="133">
      <c r="A133" s="43" t="n"/>
      <c r="C133" s="44" t="n"/>
      <c r="D133" s="44" t="n"/>
      <c r="L133" s="45" t="n"/>
      <c r="O133" s="44" t="n"/>
    </row>
    <row r="134">
      <c r="A134" s="43" t="n"/>
      <c r="C134" s="44" t="n"/>
      <c r="D134" s="44" t="n"/>
      <c r="L134" s="45" t="n"/>
      <c r="O134" s="44" t="n"/>
    </row>
    <row r="135">
      <c r="A135" s="43" t="n"/>
      <c r="C135" s="44" t="n"/>
      <c r="D135" s="44" t="n"/>
      <c r="L135" s="45" t="n"/>
      <c r="O135" s="44" t="n"/>
    </row>
    <row r="136">
      <c r="A136" s="43" t="n"/>
      <c r="C136" s="44" t="n"/>
      <c r="D136" s="44" t="n"/>
      <c r="L136" s="45" t="n"/>
      <c r="O136" s="44" t="n"/>
    </row>
    <row r="137">
      <c r="A137" s="43" t="n"/>
      <c r="C137" s="44" t="n"/>
      <c r="D137" s="44" t="n"/>
      <c r="L137" s="45" t="n"/>
      <c r="O137" s="44" t="n"/>
    </row>
    <row r="138">
      <c r="A138" s="43" t="n"/>
      <c r="C138" s="44" t="n"/>
      <c r="D138" s="44" t="n"/>
      <c r="L138" s="45" t="n"/>
      <c r="O138" s="44" t="n"/>
    </row>
    <row r="139">
      <c r="A139" s="43" t="n"/>
      <c r="C139" s="44" t="n"/>
      <c r="D139" s="44" t="n"/>
      <c r="L139" s="45" t="n"/>
      <c r="O139" s="44" t="n"/>
    </row>
    <row r="140">
      <c r="A140" s="43" t="n"/>
      <c r="C140" s="44" t="n"/>
      <c r="D140" s="44" t="n"/>
      <c r="L140" s="45" t="n"/>
      <c r="O140" s="44" t="n"/>
    </row>
    <row r="141">
      <c r="A141" s="43" t="n"/>
      <c r="C141" s="44" t="n"/>
      <c r="D141" s="44" t="n"/>
      <c r="L141" s="45" t="n"/>
      <c r="O141" s="44" t="n"/>
    </row>
    <row r="142">
      <c r="A142" s="43" t="n"/>
      <c r="C142" s="44" t="n"/>
      <c r="D142" s="44" t="n"/>
      <c r="L142" s="45" t="n"/>
      <c r="O142" s="44" t="n"/>
    </row>
    <row r="143">
      <c r="A143" s="43" t="n"/>
      <c r="C143" s="44" t="n"/>
      <c r="D143" s="44" t="n"/>
      <c r="L143" s="45" t="n"/>
      <c r="O143" s="44" t="n"/>
    </row>
    <row r="144">
      <c r="A144" s="43" t="n"/>
      <c r="C144" s="44" t="n"/>
      <c r="D144" s="44" t="n"/>
      <c r="L144" s="45" t="n"/>
      <c r="O144" s="44" t="n"/>
    </row>
    <row r="145">
      <c r="A145" s="43" t="n"/>
      <c r="C145" s="44" t="n"/>
      <c r="D145" s="44" t="n"/>
      <c r="L145" s="45" t="n"/>
      <c r="O145" s="44" t="n"/>
    </row>
    <row r="146">
      <c r="A146" s="43" t="n"/>
      <c r="C146" s="44" t="n"/>
      <c r="D146" s="44" t="n"/>
      <c r="L146" s="45" t="n"/>
      <c r="O146" s="44" t="n"/>
    </row>
    <row r="147">
      <c r="A147" s="43" t="n"/>
      <c r="C147" s="44" t="n"/>
      <c r="D147" s="44" t="n"/>
      <c r="L147" s="45" t="n"/>
      <c r="O147" s="44" t="n"/>
    </row>
    <row r="148">
      <c r="A148" s="43" t="n"/>
      <c r="C148" s="44" t="n"/>
      <c r="D148" s="44" t="n"/>
      <c r="L148" s="45" t="n"/>
      <c r="O148" s="44" t="n"/>
    </row>
    <row r="149">
      <c r="A149" s="43" t="n"/>
      <c r="C149" s="44" t="n"/>
      <c r="D149" s="44" t="n"/>
      <c r="L149" s="45" t="n"/>
      <c r="O149" s="44" t="n"/>
    </row>
    <row r="150">
      <c r="A150" s="43" t="n"/>
      <c r="C150" s="44" t="n"/>
      <c r="D150" s="44" t="n"/>
      <c r="L150" s="45" t="n"/>
      <c r="O150" s="44" t="n"/>
    </row>
    <row r="151">
      <c r="A151" s="43" t="n"/>
      <c r="C151" s="44" t="n"/>
      <c r="D151" s="44" t="n"/>
      <c r="L151" s="45" t="n"/>
      <c r="O151" s="44" t="n"/>
    </row>
    <row r="152">
      <c r="A152" s="43" t="n"/>
      <c r="C152" s="44" t="n"/>
      <c r="D152" s="44" t="n"/>
      <c r="L152" s="45" t="n"/>
      <c r="O152" s="44" t="n"/>
    </row>
    <row r="153">
      <c r="A153" s="43" t="n"/>
      <c r="C153" s="44" t="n"/>
      <c r="D153" s="44" t="n"/>
      <c r="L153" s="45" t="n"/>
      <c r="O153" s="44" t="n"/>
    </row>
    <row r="154">
      <c r="A154" s="43" t="n"/>
      <c r="C154" s="44" t="n"/>
      <c r="D154" s="44" t="n"/>
      <c r="L154" s="45" t="n"/>
      <c r="O154" s="44" t="n"/>
    </row>
    <row r="155">
      <c r="A155" s="43" t="n"/>
      <c r="C155" s="44" t="n"/>
      <c r="D155" s="44" t="n"/>
      <c r="L155" s="45" t="n"/>
      <c r="O155" s="44" t="n"/>
    </row>
    <row r="156">
      <c r="A156" s="43" t="n"/>
      <c r="C156" s="44" t="n"/>
      <c r="D156" s="44" t="n"/>
      <c r="L156" s="45" t="n"/>
      <c r="O156" s="44" t="n"/>
    </row>
    <row r="157">
      <c r="A157" s="43" t="n"/>
      <c r="C157" s="44" t="n"/>
      <c r="D157" s="44" t="n"/>
      <c r="L157" s="45" t="n"/>
      <c r="O157" s="44" t="n"/>
    </row>
    <row r="158">
      <c r="A158" s="43" t="n"/>
      <c r="C158" s="44" t="n"/>
      <c r="D158" s="44" t="n"/>
      <c r="L158" s="45" t="n"/>
      <c r="O158" s="44" t="n"/>
    </row>
    <row r="159">
      <c r="A159" s="43" t="n"/>
      <c r="C159" s="44" t="n"/>
      <c r="D159" s="44" t="n"/>
      <c r="L159" s="45" t="n"/>
      <c r="O159" s="44" t="n"/>
    </row>
    <row r="160">
      <c r="A160" s="43" t="n"/>
      <c r="C160" s="44" t="n"/>
      <c r="D160" s="44" t="n"/>
      <c r="L160" s="45" t="n"/>
      <c r="O160" s="44" t="n"/>
    </row>
    <row r="161">
      <c r="A161" s="43" t="n"/>
      <c r="C161" s="44" t="n"/>
      <c r="D161" s="44" t="n"/>
      <c r="L161" s="45" t="n"/>
      <c r="O161" s="44" t="n"/>
    </row>
    <row r="162">
      <c r="A162" s="43" t="n"/>
      <c r="C162" s="44" t="n"/>
      <c r="D162" s="44" t="n"/>
      <c r="L162" s="45" t="n"/>
      <c r="O162" s="44" t="n"/>
    </row>
    <row r="163">
      <c r="A163" s="43" t="n"/>
      <c r="C163" s="44" t="n"/>
      <c r="D163" s="44" t="n"/>
      <c r="L163" s="45" t="n"/>
      <c r="O163" s="44" t="n"/>
    </row>
    <row r="164">
      <c r="A164" s="43" t="n"/>
      <c r="C164" s="44" t="n"/>
      <c r="D164" s="44" t="n"/>
      <c r="L164" s="45" t="n"/>
      <c r="O164" s="44" t="n"/>
    </row>
    <row r="165">
      <c r="A165" s="43" t="n"/>
      <c r="C165" s="44" t="n"/>
      <c r="D165" s="44" t="n"/>
      <c r="L165" s="45" t="n"/>
      <c r="O165" s="44" t="n"/>
    </row>
    <row r="166">
      <c r="A166" s="43" t="n"/>
      <c r="C166" s="44" t="n"/>
      <c r="D166" s="44" t="n"/>
      <c r="L166" s="45" t="n"/>
      <c r="O166" s="44" t="n"/>
    </row>
    <row r="167">
      <c r="A167" s="43" t="n"/>
      <c r="C167" s="44" t="n"/>
      <c r="D167" s="44" t="n"/>
      <c r="L167" s="45" t="n"/>
      <c r="O167" s="44" t="n"/>
    </row>
    <row r="168">
      <c r="A168" s="43" t="n"/>
      <c r="C168" s="44" t="n"/>
      <c r="D168" s="44" t="n"/>
      <c r="L168" s="45" t="n"/>
      <c r="O168" s="44" t="n"/>
    </row>
    <row r="169">
      <c r="A169" s="43" t="n"/>
      <c r="C169" s="44" t="n"/>
      <c r="D169" s="44" t="n"/>
      <c r="L169" s="45" t="n"/>
      <c r="O169" s="44" t="n"/>
    </row>
    <row r="170">
      <c r="A170" s="43" t="n"/>
      <c r="C170" s="44" t="n"/>
      <c r="D170" s="44" t="n"/>
      <c r="L170" s="45" t="n"/>
      <c r="O170" s="44" t="n"/>
    </row>
    <row r="171">
      <c r="A171" s="43" t="n"/>
      <c r="C171" s="44" t="n"/>
      <c r="D171" s="44" t="n"/>
      <c r="L171" s="45" t="n"/>
      <c r="O171" s="44" t="n"/>
    </row>
    <row r="172">
      <c r="A172" s="43" t="n"/>
      <c r="C172" s="44" t="n"/>
      <c r="D172" s="44" t="n"/>
      <c r="L172" s="45" t="n"/>
      <c r="O172" s="44" t="n"/>
    </row>
    <row r="173">
      <c r="A173" s="43" t="n"/>
      <c r="C173" s="44" t="n"/>
      <c r="D173" s="44" t="n"/>
      <c r="L173" s="45" t="n"/>
      <c r="O173" s="44" t="n"/>
    </row>
    <row r="174">
      <c r="A174" s="43" t="n"/>
      <c r="C174" s="44" t="n"/>
      <c r="D174" s="44" t="n"/>
      <c r="L174" s="45" t="n"/>
      <c r="O174" s="44" t="n"/>
    </row>
    <row r="175">
      <c r="A175" s="43" t="n"/>
      <c r="C175" s="44" t="n"/>
      <c r="D175" s="44" t="n"/>
      <c r="L175" s="45" t="n"/>
      <c r="O175" s="44" t="n"/>
    </row>
    <row r="176">
      <c r="A176" s="43" t="n"/>
      <c r="C176" s="44" t="n"/>
      <c r="D176" s="44" t="n"/>
      <c r="L176" s="45" t="n"/>
      <c r="O176" s="44" t="n"/>
    </row>
    <row r="177">
      <c r="A177" s="43" t="n"/>
      <c r="C177" s="44" t="n"/>
      <c r="D177" s="44" t="n"/>
      <c r="L177" s="45" t="n"/>
      <c r="O177" s="44" t="n"/>
    </row>
    <row r="178">
      <c r="A178" s="43" t="n"/>
      <c r="C178" s="44" t="n"/>
      <c r="D178" s="44" t="n"/>
      <c r="L178" s="45" t="n"/>
      <c r="O178" s="44" t="n"/>
    </row>
    <row r="179">
      <c r="A179" s="43" t="n"/>
      <c r="C179" s="44" t="n"/>
      <c r="D179" s="44" t="n"/>
      <c r="L179" s="45" t="n"/>
      <c r="O179" s="44" t="n"/>
    </row>
    <row r="180">
      <c r="A180" s="43" t="n"/>
      <c r="C180" s="44" t="n"/>
      <c r="D180" s="44" t="n"/>
      <c r="L180" s="45" t="n"/>
      <c r="O180" s="44" t="n"/>
    </row>
    <row r="181">
      <c r="A181" s="43" t="n"/>
      <c r="C181" s="44" t="n"/>
      <c r="D181" s="44" t="n"/>
      <c r="L181" s="45" t="n"/>
      <c r="O181" s="44" t="n"/>
    </row>
    <row r="182">
      <c r="A182" s="43" t="n"/>
      <c r="C182" s="44" t="n"/>
      <c r="D182" s="44" t="n"/>
      <c r="L182" s="45" t="n"/>
      <c r="O182" s="44" t="n"/>
    </row>
    <row r="183">
      <c r="A183" s="43" t="n"/>
      <c r="C183" s="44" t="n"/>
      <c r="D183" s="44" t="n"/>
      <c r="L183" s="45" t="n"/>
      <c r="O183" s="44" t="n"/>
    </row>
    <row r="184">
      <c r="A184" s="43" t="n"/>
      <c r="C184" s="44" t="n"/>
      <c r="D184" s="44" t="n"/>
      <c r="L184" s="45" t="n"/>
      <c r="O184" s="44" t="n"/>
    </row>
    <row r="185">
      <c r="A185" s="43" t="n"/>
      <c r="C185" s="44" t="n"/>
      <c r="D185" s="44" t="n"/>
      <c r="L185" s="45" t="n"/>
      <c r="O185" s="44" t="n"/>
    </row>
    <row r="186">
      <c r="A186" s="43" t="n"/>
      <c r="C186" s="44" t="n"/>
      <c r="D186" s="44" t="n"/>
      <c r="L186" s="45" t="n"/>
      <c r="O186" s="44" t="n"/>
    </row>
    <row r="187">
      <c r="A187" s="43" t="n"/>
      <c r="C187" s="44" t="n"/>
      <c r="D187" s="44" t="n"/>
      <c r="L187" s="45" t="n"/>
      <c r="O187" s="44" t="n"/>
    </row>
    <row r="188">
      <c r="A188" s="43" t="n"/>
      <c r="C188" s="44" t="n"/>
      <c r="D188" s="44" t="n"/>
      <c r="L188" s="45" t="n"/>
      <c r="O188" s="44" t="n"/>
    </row>
    <row r="189">
      <c r="A189" s="43" t="n"/>
      <c r="C189" s="44" t="n"/>
      <c r="D189" s="44" t="n"/>
      <c r="L189" s="45" t="n"/>
      <c r="O189" s="44" t="n"/>
    </row>
    <row r="190">
      <c r="A190" s="43" t="n"/>
      <c r="C190" s="44" t="n"/>
      <c r="D190" s="44" t="n"/>
      <c r="L190" s="45" t="n"/>
      <c r="O190" s="44" t="n"/>
    </row>
    <row r="191">
      <c r="A191" s="43" t="n"/>
      <c r="C191" s="44" t="n"/>
      <c r="D191" s="44" t="n"/>
      <c r="L191" s="45" t="n"/>
      <c r="O191" s="44" t="n"/>
    </row>
    <row r="192">
      <c r="A192" s="43" t="n"/>
      <c r="C192" s="44" t="n"/>
      <c r="D192" s="44" t="n"/>
      <c r="L192" s="45" t="n"/>
      <c r="O192" s="44" t="n"/>
    </row>
    <row r="193">
      <c r="A193" s="43" t="n"/>
      <c r="C193" s="44" t="n"/>
      <c r="D193" s="44" t="n"/>
      <c r="L193" s="45" t="n"/>
      <c r="O193" s="44" t="n"/>
    </row>
    <row r="194">
      <c r="A194" s="43" t="n"/>
      <c r="C194" s="44" t="n"/>
      <c r="D194" s="44" t="n"/>
      <c r="L194" s="45" t="n"/>
      <c r="O194" s="44" t="n"/>
    </row>
    <row r="195">
      <c r="A195" s="43" t="n"/>
      <c r="C195" s="44" t="n"/>
      <c r="D195" s="44" t="n"/>
      <c r="L195" s="45" t="n"/>
      <c r="O195" s="44" t="n"/>
    </row>
    <row r="196">
      <c r="A196" s="43" t="n"/>
      <c r="C196" s="44" t="n"/>
      <c r="D196" s="44" t="n"/>
      <c r="L196" s="45" t="n"/>
      <c r="O196" s="44" t="n"/>
    </row>
    <row r="197">
      <c r="A197" s="43" t="n"/>
      <c r="C197" s="44" t="n"/>
      <c r="D197" s="44" t="n"/>
      <c r="L197" s="45" t="n"/>
      <c r="O197" s="44" t="n"/>
    </row>
    <row r="198">
      <c r="A198" s="43" t="n"/>
      <c r="C198" s="44" t="n"/>
      <c r="D198" s="44" t="n"/>
      <c r="L198" s="45" t="n"/>
      <c r="O198" s="44" t="n"/>
    </row>
    <row r="199">
      <c r="A199" s="43" t="n"/>
      <c r="C199" s="44" t="n"/>
      <c r="D199" s="44" t="n"/>
      <c r="L199" s="45" t="n"/>
      <c r="O199" s="44" t="n"/>
    </row>
    <row r="200">
      <c r="A200" s="43" t="n"/>
      <c r="C200" s="44" t="n"/>
      <c r="D200" s="44" t="n"/>
      <c r="L200" s="45" t="n"/>
      <c r="O200" s="44" t="n"/>
    </row>
    <row r="201">
      <c r="A201" s="43" t="n"/>
      <c r="C201" s="44" t="n"/>
      <c r="D201" s="44" t="n"/>
      <c r="L201" s="45" t="n"/>
      <c r="O201" s="44" t="n"/>
    </row>
    <row r="202">
      <c r="A202" s="43" t="n"/>
      <c r="C202" s="44" t="n"/>
      <c r="D202" s="44" t="n"/>
      <c r="L202" s="45" t="n"/>
      <c r="O202" s="44" t="n"/>
    </row>
    <row r="203">
      <c r="A203" s="43" t="n"/>
      <c r="C203" s="44" t="n"/>
      <c r="D203" s="44" t="n"/>
      <c r="L203" s="45" t="n"/>
      <c r="O203" s="44" t="n"/>
    </row>
    <row r="204">
      <c r="A204" s="43" t="n"/>
      <c r="C204" s="44" t="n"/>
      <c r="D204" s="44" t="n"/>
      <c r="L204" s="45" t="n"/>
      <c r="O204" s="44" t="n"/>
    </row>
    <row r="205">
      <c r="A205" s="43" t="n"/>
      <c r="C205" s="44" t="n"/>
      <c r="D205" s="44" t="n"/>
      <c r="L205" s="45" t="n"/>
      <c r="O205" s="44" t="n"/>
    </row>
    <row r="206">
      <c r="A206" s="43" t="n"/>
      <c r="C206" s="44" t="n"/>
      <c r="D206" s="44" t="n"/>
      <c r="L206" s="45" t="n"/>
      <c r="O206" s="44" t="n"/>
    </row>
    <row r="207">
      <c r="A207" s="43" t="n"/>
      <c r="C207" s="44" t="n"/>
      <c r="D207" s="44" t="n"/>
      <c r="L207" s="45" t="n"/>
      <c r="O207" s="44" t="n"/>
    </row>
    <row r="208">
      <c r="A208" s="43" t="n"/>
      <c r="C208" s="44" t="n"/>
      <c r="D208" s="44" t="n"/>
      <c r="L208" s="45" t="n"/>
      <c r="O208" s="44" t="n"/>
    </row>
    <row r="209">
      <c r="A209" s="43" t="n"/>
      <c r="C209" s="44" t="n"/>
      <c r="D209" s="44" t="n"/>
      <c r="L209" s="45" t="n"/>
      <c r="O209" s="44" t="n"/>
    </row>
    <row r="210">
      <c r="A210" s="43" t="n"/>
      <c r="C210" s="44" t="n"/>
      <c r="D210" s="44" t="n"/>
      <c r="L210" s="45" t="n"/>
      <c r="O210" s="44" t="n"/>
    </row>
    <row r="211">
      <c r="A211" s="43" t="n"/>
      <c r="C211" s="44" t="n"/>
      <c r="D211" s="44" t="n"/>
      <c r="L211" s="45" t="n"/>
      <c r="O211" s="44" t="n"/>
    </row>
    <row r="212">
      <c r="A212" s="43" t="n"/>
      <c r="C212" s="44" t="n"/>
      <c r="D212" s="44" t="n"/>
      <c r="L212" s="45" t="n"/>
      <c r="O212" s="44" t="n"/>
    </row>
    <row r="213">
      <c r="A213" s="43" t="n"/>
      <c r="C213" s="44" t="n"/>
      <c r="D213" s="44" t="n"/>
      <c r="L213" s="45" t="n"/>
      <c r="O213" s="44" t="n"/>
    </row>
    <row r="214">
      <c r="A214" s="43" t="n"/>
      <c r="C214" s="44" t="n"/>
      <c r="D214" s="44" t="n"/>
      <c r="L214" s="45" t="n"/>
      <c r="O214" s="44" t="n"/>
    </row>
    <row r="215">
      <c r="A215" s="43" t="n"/>
      <c r="C215" s="44" t="n"/>
      <c r="D215" s="44" t="n"/>
      <c r="L215" s="45" t="n"/>
      <c r="O215" s="44" t="n"/>
    </row>
    <row r="216">
      <c r="A216" s="43" t="n"/>
      <c r="C216" s="44" t="n"/>
      <c r="D216" s="44" t="n"/>
      <c r="L216" s="45" t="n"/>
      <c r="O216" s="44" t="n"/>
    </row>
    <row r="217">
      <c r="A217" s="43" t="n"/>
      <c r="C217" s="44" t="n"/>
      <c r="D217" s="44" t="n"/>
      <c r="L217" s="45" t="n"/>
      <c r="O217" s="44" t="n"/>
    </row>
    <row r="218">
      <c r="A218" s="43" t="n"/>
      <c r="C218" s="44" t="n"/>
      <c r="D218" s="44" t="n"/>
      <c r="L218" s="45" t="n"/>
      <c r="O218" s="44" t="n"/>
    </row>
    <row r="219">
      <c r="A219" s="43" t="n"/>
      <c r="C219" s="44" t="n"/>
      <c r="D219" s="44" t="n"/>
      <c r="L219" s="45" t="n"/>
      <c r="O219" s="44" t="n"/>
    </row>
    <row r="220">
      <c r="A220" s="43" t="n"/>
      <c r="C220" s="44" t="n"/>
      <c r="D220" s="44" t="n"/>
      <c r="L220" s="45" t="n"/>
      <c r="O220" s="44" t="n"/>
    </row>
    <row r="221">
      <c r="A221" s="43" t="n"/>
      <c r="C221" s="44" t="n"/>
      <c r="D221" s="44" t="n"/>
      <c r="L221" s="45" t="n"/>
      <c r="O221" s="44" t="n"/>
    </row>
    <row r="222">
      <c r="A222" s="43" t="n"/>
      <c r="C222" s="44" t="n"/>
      <c r="D222" s="44" t="n"/>
      <c r="L222" s="45" t="n"/>
      <c r="O222" s="44" t="n"/>
    </row>
    <row r="223">
      <c r="A223" s="43" t="n"/>
      <c r="C223" s="44" t="n"/>
      <c r="D223" s="44" t="n"/>
      <c r="L223" s="45" t="n"/>
      <c r="O223" s="44" t="n"/>
    </row>
    <row r="224">
      <c r="A224" s="43" t="n"/>
      <c r="C224" s="44" t="n"/>
      <c r="D224" s="44" t="n"/>
      <c r="L224" s="45" t="n"/>
      <c r="O224" s="44" t="n"/>
    </row>
    <row r="225">
      <c r="A225" s="43" t="n"/>
      <c r="C225" s="44" t="n"/>
      <c r="D225" s="44" t="n"/>
      <c r="L225" s="45" t="n"/>
      <c r="O225" s="44" t="n"/>
    </row>
    <row r="226">
      <c r="A226" s="43" t="n"/>
      <c r="C226" s="44" t="n"/>
      <c r="D226" s="44" t="n"/>
      <c r="L226" s="45" t="n"/>
      <c r="O226" s="44" t="n"/>
    </row>
    <row r="227">
      <c r="A227" s="43" t="n"/>
      <c r="C227" s="44" t="n"/>
      <c r="D227" s="44" t="n"/>
      <c r="L227" s="45" t="n"/>
      <c r="O227" s="44" t="n"/>
    </row>
    <row r="228">
      <c r="A228" s="43" t="n"/>
      <c r="C228" s="44" t="n"/>
      <c r="D228" s="44" t="n"/>
      <c r="L228" s="45" t="n"/>
      <c r="O228" s="44" t="n"/>
    </row>
    <row r="229">
      <c r="A229" s="43" t="n"/>
      <c r="C229" s="44" t="n"/>
      <c r="D229" s="44" t="n"/>
      <c r="L229" s="45" t="n"/>
      <c r="O229" s="44" t="n"/>
    </row>
    <row r="230">
      <c r="A230" s="43" t="n"/>
      <c r="C230" s="44" t="n"/>
      <c r="D230" s="44" t="n"/>
      <c r="L230" s="45" t="n"/>
      <c r="O230" s="44" t="n"/>
    </row>
    <row r="231">
      <c r="A231" s="43" t="n"/>
      <c r="C231" s="44" t="n"/>
      <c r="D231" s="44" t="n"/>
      <c r="L231" s="45" t="n"/>
      <c r="O231" s="44" t="n"/>
    </row>
    <row r="232">
      <c r="A232" s="43" t="n"/>
      <c r="C232" s="44" t="n"/>
      <c r="D232" s="44" t="n"/>
      <c r="L232" s="45" t="n"/>
      <c r="O232" s="44" t="n"/>
    </row>
    <row r="233">
      <c r="A233" s="43" t="n"/>
      <c r="C233" s="44" t="n"/>
      <c r="D233" s="44" t="n"/>
      <c r="L233" s="45" t="n"/>
      <c r="O233" s="44" t="n"/>
    </row>
    <row r="234">
      <c r="A234" s="43" t="n"/>
      <c r="C234" s="44" t="n"/>
      <c r="D234" s="44" t="n"/>
      <c r="L234" s="45" t="n"/>
      <c r="O234" s="44" t="n"/>
    </row>
    <row r="235">
      <c r="A235" s="43" t="n"/>
      <c r="C235" s="44" t="n"/>
      <c r="D235" s="44" t="n"/>
      <c r="L235" s="45" t="n"/>
      <c r="O235" s="44" t="n"/>
    </row>
    <row r="236">
      <c r="A236" s="43" t="n"/>
      <c r="C236" s="44" t="n"/>
      <c r="D236" s="44" t="n"/>
      <c r="L236" s="45" t="n"/>
      <c r="O236" s="44" t="n"/>
    </row>
    <row r="237">
      <c r="A237" s="43" t="n"/>
      <c r="C237" s="44" t="n"/>
      <c r="D237" s="44" t="n"/>
      <c r="L237" s="45" t="n"/>
      <c r="O237" s="44" t="n"/>
    </row>
    <row r="238">
      <c r="A238" s="43" t="n"/>
      <c r="C238" s="44" t="n"/>
      <c r="D238" s="44" t="n"/>
      <c r="L238" s="45" t="n"/>
      <c r="O238" s="44" t="n"/>
    </row>
    <row r="239">
      <c r="A239" s="43" t="n"/>
      <c r="C239" s="44" t="n"/>
      <c r="D239" s="44" t="n"/>
      <c r="L239" s="45" t="n"/>
      <c r="O239" s="44" t="n"/>
    </row>
    <row r="240">
      <c r="A240" s="43" t="n"/>
      <c r="C240" s="44" t="n"/>
      <c r="D240" s="44" t="n"/>
      <c r="L240" s="45" t="n"/>
      <c r="O240" s="44" t="n"/>
    </row>
    <row r="241">
      <c r="A241" s="43" t="n"/>
      <c r="C241" s="44" t="n"/>
      <c r="D241" s="44" t="n"/>
      <c r="L241" s="45" t="n"/>
      <c r="O241" s="44" t="n"/>
    </row>
    <row r="242">
      <c r="A242" s="43" t="n"/>
      <c r="C242" s="44" t="n"/>
      <c r="D242" s="44" t="n"/>
      <c r="L242" s="45" t="n"/>
      <c r="O242" s="44" t="n"/>
    </row>
    <row r="243">
      <c r="A243" s="43" t="n"/>
      <c r="C243" s="44" t="n"/>
      <c r="D243" s="44" t="n"/>
      <c r="L243" s="45" t="n"/>
      <c r="O243" s="44" t="n"/>
    </row>
    <row r="244">
      <c r="A244" s="43" t="n"/>
      <c r="C244" s="44" t="n"/>
      <c r="D244" s="44" t="n"/>
      <c r="L244" s="45" t="n"/>
      <c r="O244" s="44" t="n"/>
    </row>
    <row r="245">
      <c r="A245" s="43" t="n"/>
      <c r="C245" s="44" t="n"/>
      <c r="D245" s="44" t="n"/>
      <c r="L245" s="45" t="n"/>
      <c r="O245" s="44" t="n"/>
    </row>
    <row r="246">
      <c r="A246" s="43" t="n"/>
      <c r="C246" s="44" t="n"/>
      <c r="D246" s="44" t="n"/>
      <c r="L246" s="45" t="n"/>
      <c r="O246" s="44" t="n"/>
    </row>
    <row r="247">
      <c r="A247" s="43" t="n"/>
      <c r="C247" s="44" t="n"/>
      <c r="D247" s="44" t="n"/>
      <c r="L247" s="45" t="n"/>
      <c r="O247" s="44" t="n"/>
    </row>
    <row r="248">
      <c r="A248" s="43" t="n"/>
      <c r="C248" s="44" t="n"/>
      <c r="D248" s="44" t="n"/>
      <c r="L248" s="45" t="n"/>
      <c r="O248" s="44" t="n"/>
    </row>
    <row r="249">
      <c r="A249" s="43" t="n"/>
      <c r="C249" s="44" t="n"/>
      <c r="D249" s="44" t="n"/>
      <c r="L249" s="45" t="n"/>
      <c r="O249" s="44" t="n"/>
    </row>
    <row r="250">
      <c r="A250" s="43" t="n"/>
      <c r="C250" s="44" t="n"/>
      <c r="D250" s="44" t="n"/>
      <c r="L250" s="45" t="n"/>
      <c r="O250" s="44" t="n"/>
    </row>
    <row r="251">
      <c r="A251" s="43" t="n"/>
      <c r="C251" s="44" t="n"/>
      <c r="D251" s="44" t="n"/>
      <c r="L251" s="45" t="n"/>
      <c r="O251" s="44" t="n"/>
    </row>
    <row r="252">
      <c r="A252" s="43" t="n"/>
      <c r="C252" s="44" t="n"/>
      <c r="D252" s="44" t="n"/>
      <c r="L252" s="45" t="n"/>
      <c r="O252" s="44" t="n"/>
    </row>
    <row r="253">
      <c r="A253" s="43" t="n"/>
      <c r="C253" s="44" t="n"/>
      <c r="D253" s="44" t="n"/>
      <c r="L253" s="45" t="n"/>
      <c r="O253" s="44" t="n"/>
    </row>
    <row r="254">
      <c r="A254" s="43" t="n"/>
      <c r="C254" s="44" t="n"/>
      <c r="D254" s="44" t="n"/>
      <c r="L254" s="45" t="n"/>
      <c r="O254" s="44" t="n"/>
    </row>
    <row r="255">
      <c r="A255" s="43" t="n"/>
      <c r="C255" s="44" t="n"/>
      <c r="D255" s="44" t="n"/>
      <c r="L255" s="45" t="n"/>
      <c r="O255" s="44" t="n"/>
    </row>
    <row r="256">
      <c r="A256" s="43" t="n"/>
      <c r="C256" s="44" t="n"/>
      <c r="D256" s="44" t="n"/>
      <c r="L256" s="45" t="n"/>
      <c r="O256" s="44" t="n"/>
    </row>
    <row r="257">
      <c r="A257" s="43" t="n"/>
      <c r="C257" s="44" t="n"/>
      <c r="D257" s="44" t="n"/>
      <c r="L257" s="45" t="n"/>
      <c r="O257" s="44" t="n"/>
    </row>
    <row r="258">
      <c r="A258" s="43" t="n"/>
      <c r="C258" s="44" t="n"/>
      <c r="D258" s="44" t="n"/>
      <c r="L258" s="45" t="n"/>
      <c r="O258" s="44" t="n"/>
    </row>
    <row r="259">
      <c r="A259" s="43" t="n"/>
      <c r="C259" s="44" t="n"/>
      <c r="D259" s="44" t="n"/>
      <c r="L259" s="45" t="n"/>
      <c r="O259" s="44" t="n"/>
    </row>
    <row r="260">
      <c r="A260" s="43" t="n"/>
      <c r="C260" s="44" t="n"/>
      <c r="D260" s="44" t="n"/>
      <c r="L260" s="45" t="n"/>
      <c r="O260" s="44" t="n"/>
    </row>
    <row r="261">
      <c r="A261" s="43" t="n"/>
      <c r="C261" s="44" t="n"/>
      <c r="D261" s="44" t="n"/>
      <c r="L261" s="45" t="n"/>
      <c r="O261" s="44" t="n"/>
    </row>
    <row r="262">
      <c r="A262" s="43" t="n"/>
      <c r="C262" s="44" t="n"/>
      <c r="D262" s="44" t="n"/>
      <c r="L262" s="45" t="n"/>
      <c r="O262" s="44" t="n"/>
    </row>
    <row r="263">
      <c r="A263" s="43" t="n"/>
      <c r="C263" s="44" t="n"/>
      <c r="D263" s="44" t="n"/>
      <c r="L263" s="45" t="n"/>
      <c r="O263" s="44" t="n"/>
    </row>
    <row r="264">
      <c r="A264" s="43" t="n"/>
      <c r="C264" s="44" t="n"/>
      <c r="D264" s="44" t="n"/>
      <c r="L264" s="45" t="n"/>
      <c r="O264" s="44" t="n"/>
    </row>
    <row r="265">
      <c r="A265" s="43" t="n"/>
      <c r="C265" s="44" t="n"/>
      <c r="D265" s="44" t="n"/>
      <c r="L265" s="45" t="n"/>
      <c r="O265" s="44" t="n"/>
    </row>
    <row r="266">
      <c r="A266" s="43" t="n"/>
      <c r="C266" s="44" t="n"/>
      <c r="D266" s="44" t="n"/>
      <c r="L266" s="45" t="n"/>
      <c r="O266" s="44" t="n"/>
    </row>
    <row r="267">
      <c r="A267" s="43" t="n"/>
      <c r="C267" s="44" t="n"/>
      <c r="D267" s="44" t="n"/>
      <c r="L267" s="45" t="n"/>
      <c r="O267" s="44" t="n"/>
    </row>
    <row r="268">
      <c r="A268" s="43" t="n"/>
      <c r="C268" s="44" t="n"/>
      <c r="D268" s="44" t="n"/>
      <c r="L268" s="45" t="n"/>
      <c r="O268" s="44" t="n"/>
    </row>
    <row r="269">
      <c r="A269" s="43" t="n"/>
      <c r="C269" s="44" t="n"/>
      <c r="D269" s="44" t="n"/>
      <c r="L269" s="45" t="n"/>
      <c r="O269" s="44" t="n"/>
    </row>
    <row r="270">
      <c r="A270" s="43" t="n"/>
      <c r="C270" s="44" t="n"/>
      <c r="D270" s="44" t="n"/>
      <c r="L270" s="45" t="n"/>
      <c r="O270" s="44" t="n"/>
    </row>
    <row r="271">
      <c r="A271" s="43" t="n"/>
      <c r="C271" s="44" t="n"/>
      <c r="D271" s="44" t="n"/>
      <c r="L271" s="45" t="n"/>
      <c r="O271" s="44" t="n"/>
    </row>
    <row r="272">
      <c r="A272" s="43" t="n"/>
      <c r="C272" s="44" t="n"/>
      <c r="D272" s="44" t="n"/>
      <c r="L272" s="45" t="n"/>
      <c r="O272" s="44" t="n"/>
    </row>
    <row r="273">
      <c r="A273" s="43" t="n"/>
      <c r="C273" s="44" t="n"/>
      <c r="D273" s="44" t="n"/>
      <c r="L273" s="45" t="n"/>
      <c r="O273" s="44" t="n"/>
    </row>
    <row r="274">
      <c r="A274" s="43" t="n"/>
      <c r="C274" s="44" t="n"/>
      <c r="D274" s="44" t="n"/>
      <c r="L274" s="45" t="n"/>
      <c r="O274" s="44" t="n"/>
    </row>
    <row r="275">
      <c r="A275" s="43" t="n"/>
      <c r="C275" s="44" t="n"/>
      <c r="D275" s="44" t="n"/>
      <c r="L275" s="45" t="n"/>
      <c r="O275" s="44" t="n"/>
    </row>
    <row r="276">
      <c r="A276" s="43" t="n"/>
      <c r="C276" s="44" t="n"/>
      <c r="D276" s="44" t="n"/>
      <c r="L276" s="45" t="n"/>
      <c r="O276" s="44" t="n"/>
    </row>
    <row r="277">
      <c r="A277" s="43" t="n"/>
      <c r="C277" s="44" t="n"/>
      <c r="D277" s="44" t="n"/>
      <c r="L277" s="45" t="n"/>
      <c r="O277" s="44" t="n"/>
    </row>
    <row r="278">
      <c r="A278" s="43" t="n"/>
      <c r="C278" s="44" t="n"/>
      <c r="D278" s="44" t="n"/>
      <c r="L278" s="45" t="n"/>
      <c r="O278" s="44" t="n"/>
    </row>
    <row r="279">
      <c r="A279" s="43" t="n"/>
      <c r="C279" s="44" t="n"/>
      <c r="D279" s="44" t="n"/>
      <c r="L279" s="45" t="n"/>
      <c r="O279" s="44" t="n"/>
    </row>
    <row r="280">
      <c r="A280" s="43" t="n"/>
      <c r="C280" s="44" t="n"/>
      <c r="D280" s="44" t="n"/>
      <c r="L280" s="45" t="n"/>
      <c r="O280" s="44" t="n"/>
    </row>
    <row r="281">
      <c r="A281" s="43" t="n"/>
      <c r="C281" s="44" t="n"/>
      <c r="D281" s="44" t="n"/>
      <c r="L281" s="45" t="n"/>
      <c r="O281" s="44" t="n"/>
    </row>
    <row r="282">
      <c r="A282" s="43" t="n"/>
      <c r="C282" s="44" t="n"/>
      <c r="D282" s="44" t="n"/>
      <c r="L282" s="45" t="n"/>
      <c r="O282" s="44" t="n"/>
    </row>
    <row r="283">
      <c r="A283" s="43" t="n"/>
      <c r="C283" s="44" t="n"/>
      <c r="D283" s="44" t="n"/>
      <c r="L283" s="45" t="n"/>
      <c r="O283" s="44" t="n"/>
    </row>
    <row r="284">
      <c r="A284" s="43" t="n"/>
      <c r="C284" s="44" t="n"/>
      <c r="D284" s="44" t="n"/>
      <c r="L284" s="45" t="n"/>
      <c r="O284" s="44" t="n"/>
    </row>
    <row r="285">
      <c r="A285" s="43" t="n"/>
      <c r="C285" s="44" t="n"/>
      <c r="D285" s="44" t="n"/>
      <c r="L285" s="45" t="n"/>
      <c r="O285" s="44" t="n"/>
    </row>
    <row r="286">
      <c r="A286" s="43" t="n"/>
      <c r="C286" s="44" t="n"/>
      <c r="D286" s="44" t="n"/>
      <c r="L286" s="45" t="n"/>
      <c r="O286" s="44" t="n"/>
    </row>
    <row r="287">
      <c r="A287" s="43" t="n"/>
      <c r="C287" s="44" t="n"/>
      <c r="D287" s="44" t="n"/>
      <c r="L287" s="45" t="n"/>
      <c r="O287" s="44" t="n"/>
    </row>
    <row r="288">
      <c r="A288" s="43" t="n"/>
      <c r="C288" s="44" t="n"/>
      <c r="D288" s="44" t="n"/>
      <c r="L288" s="45" t="n"/>
      <c r="O288" s="44" t="n"/>
    </row>
    <row r="289">
      <c r="A289" s="43" t="n"/>
      <c r="C289" s="44" t="n"/>
      <c r="D289" s="44" t="n"/>
      <c r="L289" s="45" t="n"/>
      <c r="O289" s="44" t="n"/>
    </row>
    <row r="290">
      <c r="A290" s="43" t="n"/>
      <c r="C290" s="44" t="n"/>
      <c r="D290" s="44" t="n"/>
      <c r="L290" s="45" t="n"/>
      <c r="O290" s="44" t="n"/>
    </row>
    <row r="291">
      <c r="A291" s="43" t="n"/>
      <c r="C291" s="44" t="n"/>
      <c r="D291" s="44" t="n"/>
      <c r="L291" s="45" t="n"/>
      <c r="O291" s="44" t="n"/>
    </row>
    <row r="292">
      <c r="A292" s="43" t="n"/>
      <c r="C292" s="44" t="n"/>
      <c r="D292" s="44" t="n"/>
      <c r="L292" s="45" t="n"/>
      <c r="O292" s="44" t="n"/>
    </row>
    <row r="293">
      <c r="A293" s="43" t="n"/>
      <c r="C293" s="44" t="n"/>
      <c r="D293" s="44" t="n"/>
      <c r="L293" s="45" t="n"/>
      <c r="O293" s="44" t="n"/>
    </row>
    <row r="294">
      <c r="A294" s="43" t="n"/>
      <c r="C294" s="44" t="n"/>
      <c r="D294" s="44" t="n"/>
      <c r="L294" s="45" t="n"/>
      <c r="O294" s="44" t="n"/>
    </row>
    <row r="295">
      <c r="A295" s="43" t="n"/>
      <c r="C295" s="44" t="n"/>
      <c r="D295" s="44" t="n"/>
      <c r="L295" s="45" t="n"/>
      <c r="O295" s="44" t="n"/>
    </row>
    <row r="296">
      <c r="A296" s="43" t="n"/>
      <c r="C296" s="44" t="n"/>
      <c r="D296" s="44" t="n"/>
      <c r="L296" s="45" t="n"/>
      <c r="O296" s="44" t="n"/>
    </row>
    <row r="297">
      <c r="A297" s="43" t="n"/>
      <c r="C297" s="44" t="n"/>
      <c r="D297" s="44" t="n"/>
      <c r="L297" s="45" t="n"/>
      <c r="O297" s="44" t="n"/>
    </row>
    <row r="298">
      <c r="A298" s="43" t="n"/>
      <c r="C298" s="44" t="n"/>
      <c r="D298" s="44" t="n"/>
      <c r="L298" s="45" t="n"/>
      <c r="O298" s="44" t="n"/>
    </row>
    <row r="299">
      <c r="A299" s="43" t="n"/>
      <c r="C299" s="44" t="n"/>
      <c r="D299" s="44" t="n"/>
      <c r="L299" s="45" t="n"/>
      <c r="O299" s="44" t="n"/>
    </row>
    <row r="300">
      <c r="A300" s="43" t="n"/>
      <c r="C300" s="44" t="n"/>
      <c r="D300" s="44" t="n"/>
      <c r="L300" s="45" t="n"/>
      <c r="O300" s="44" t="n"/>
    </row>
    <row r="301">
      <c r="A301" s="43" t="n"/>
      <c r="C301" s="44" t="n"/>
      <c r="D301" s="44" t="n"/>
      <c r="L301" s="45" t="n"/>
      <c r="O301" s="44" t="n"/>
    </row>
    <row r="302">
      <c r="A302" s="43" t="n"/>
      <c r="C302" s="44" t="n"/>
      <c r="D302" s="44" t="n"/>
      <c r="L302" s="45" t="n"/>
      <c r="O302" s="44" t="n"/>
    </row>
    <row r="303">
      <c r="A303" s="43" t="n"/>
      <c r="C303" s="44" t="n"/>
      <c r="D303" s="44" t="n"/>
      <c r="L303" s="45" t="n"/>
      <c r="O303" s="44" t="n"/>
    </row>
    <row r="304">
      <c r="A304" s="43" t="n"/>
      <c r="C304" s="44" t="n"/>
      <c r="D304" s="44" t="n"/>
      <c r="L304" s="45" t="n"/>
      <c r="O304" s="44" t="n"/>
    </row>
    <row r="305">
      <c r="A305" s="43" t="n"/>
      <c r="C305" s="44" t="n"/>
      <c r="D305" s="44" t="n"/>
      <c r="L305" s="45" t="n"/>
      <c r="O305" s="44" t="n"/>
    </row>
    <row r="306">
      <c r="A306" s="43" t="n"/>
      <c r="C306" s="44" t="n"/>
      <c r="D306" s="44" t="n"/>
      <c r="L306" s="45" t="n"/>
      <c r="O306" s="44" t="n"/>
    </row>
    <row r="307">
      <c r="A307" s="43" t="n"/>
      <c r="C307" s="44" t="n"/>
      <c r="D307" s="44" t="n"/>
      <c r="L307" s="45" t="n"/>
      <c r="O307" s="44" t="n"/>
    </row>
    <row r="308">
      <c r="A308" s="43" t="n"/>
      <c r="C308" s="44" t="n"/>
      <c r="D308" s="44" t="n"/>
      <c r="L308" s="45" t="n"/>
      <c r="O308" s="44" t="n"/>
    </row>
    <row r="309">
      <c r="A309" s="43" t="n"/>
      <c r="C309" s="44" t="n"/>
      <c r="D309" s="44" t="n"/>
      <c r="L309" s="45" t="n"/>
      <c r="O309" s="44" t="n"/>
    </row>
    <row r="310">
      <c r="A310" s="43" t="n"/>
      <c r="C310" s="44" t="n"/>
      <c r="D310" s="44" t="n"/>
      <c r="L310" s="45" t="n"/>
      <c r="O310" s="44" t="n"/>
    </row>
    <row r="311">
      <c r="A311" s="43" t="n"/>
      <c r="C311" s="44" t="n"/>
      <c r="D311" s="44" t="n"/>
      <c r="L311" s="45" t="n"/>
      <c r="O311" s="44" t="n"/>
    </row>
    <row r="312">
      <c r="A312" s="43" t="n"/>
      <c r="C312" s="44" t="n"/>
      <c r="D312" s="44" t="n"/>
      <c r="L312" s="45" t="n"/>
      <c r="O312" s="44" t="n"/>
    </row>
    <row r="313">
      <c r="A313" s="43" t="n"/>
      <c r="C313" s="44" t="n"/>
      <c r="D313" s="44" t="n"/>
      <c r="L313" s="45" t="n"/>
      <c r="O313" s="44" t="n"/>
    </row>
    <row r="314">
      <c r="A314" s="43" t="n"/>
      <c r="C314" s="44" t="n"/>
      <c r="D314" s="44" t="n"/>
      <c r="L314" s="45" t="n"/>
      <c r="O314" s="44" t="n"/>
    </row>
    <row r="315">
      <c r="A315" s="43" t="n"/>
      <c r="C315" s="44" t="n"/>
      <c r="D315" s="44" t="n"/>
      <c r="L315" s="45" t="n"/>
      <c r="O315" s="44" t="n"/>
    </row>
    <row r="316">
      <c r="A316" s="43" t="n"/>
      <c r="C316" s="44" t="n"/>
      <c r="D316" s="44" t="n"/>
      <c r="L316" s="45" t="n"/>
      <c r="O316" s="44" t="n"/>
    </row>
    <row r="317">
      <c r="A317" s="43" t="n"/>
      <c r="C317" s="44" t="n"/>
      <c r="D317" s="44" t="n"/>
      <c r="L317" s="45" t="n"/>
      <c r="O317" s="44" t="n"/>
    </row>
    <row r="318">
      <c r="A318" s="43" t="n"/>
      <c r="C318" s="44" t="n"/>
      <c r="D318" s="44" t="n"/>
      <c r="L318" s="45" t="n"/>
      <c r="O318" s="44" t="n"/>
    </row>
    <row r="319">
      <c r="A319" s="43" t="n"/>
      <c r="C319" s="44" t="n"/>
      <c r="D319" s="44" t="n"/>
      <c r="L319" s="45" t="n"/>
      <c r="O319" s="44" t="n"/>
    </row>
    <row r="320">
      <c r="A320" s="43" t="n"/>
      <c r="C320" s="44" t="n"/>
      <c r="D320" s="44" t="n"/>
      <c r="L320" s="45" t="n"/>
      <c r="O320" s="44" t="n"/>
    </row>
    <row r="321">
      <c r="A321" s="43" t="n"/>
      <c r="C321" s="44" t="n"/>
      <c r="D321" s="44" t="n"/>
      <c r="L321" s="45" t="n"/>
      <c r="O321" s="44" t="n"/>
    </row>
    <row r="322">
      <c r="A322" s="43" t="n"/>
      <c r="C322" s="44" t="n"/>
      <c r="D322" s="44" t="n"/>
      <c r="L322" s="45" t="n"/>
      <c r="O322" s="44" t="n"/>
    </row>
    <row r="323">
      <c r="A323" s="43" t="n"/>
      <c r="C323" s="44" t="n"/>
      <c r="D323" s="44" t="n"/>
      <c r="L323" s="45" t="n"/>
      <c r="O323" s="44" t="n"/>
    </row>
    <row r="324">
      <c r="A324" s="43" t="n"/>
      <c r="C324" s="44" t="n"/>
      <c r="D324" s="44" t="n"/>
      <c r="L324" s="45" t="n"/>
      <c r="O324" s="44" t="n"/>
    </row>
    <row r="325">
      <c r="A325" s="43" t="n"/>
      <c r="C325" s="44" t="n"/>
      <c r="D325" s="44" t="n"/>
      <c r="L325" s="45" t="n"/>
      <c r="O325" s="44" t="n"/>
    </row>
    <row r="326">
      <c r="A326" s="43" t="n"/>
      <c r="C326" s="44" t="n"/>
      <c r="D326" s="44" t="n"/>
      <c r="L326" s="45" t="n"/>
      <c r="O326" s="44" t="n"/>
    </row>
    <row r="327">
      <c r="A327" s="43" t="n"/>
      <c r="C327" s="44" t="n"/>
      <c r="D327" s="44" t="n"/>
      <c r="L327" s="45" t="n"/>
      <c r="O327" s="44" t="n"/>
    </row>
    <row r="328">
      <c r="A328" s="43" t="n"/>
      <c r="C328" s="44" t="n"/>
      <c r="D328" s="44" t="n"/>
      <c r="L328" s="45" t="n"/>
      <c r="O328" s="44" t="n"/>
    </row>
    <row r="329">
      <c r="A329" s="43" t="n"/>
      <c r="C329" s="44" t="n"/>
      <c r="D329" s="44" t="n"/>
      <c r="L329" s="45" t="n"/>
      <c r="O329" s="44" t="n"/>
    </row>
    <row r="330">
      <c r="A330" s="43" t="n"/>
      <c r="C330" s="44" t="n"/>
      <c r="D330" s="44" t="n"/>
      <c r="L330" s="45" t="n"/>
      <c r="O330" s="44" t="n"/>
    </row>
    <row r="331">
      <c r="A331" s="43" t="n"/>
      <c r="C331" s="44" t="n"/>
      <c r="D331" s="44" t="n"/>
      <c r="L331" s="45" t="n"/>
      <c r="O331" s="44" t="n"/>
    </row>
    <row r="332">
      <c r="A332" s="43" t="n"/>
      <c r="C332" s="44" t="n"/>
      <c r="D332" s="44" t="n"/>
      <c r="L332" s="45" t="n"/>
      <c r="O332" s="44" t="n"/>
    </row>
    <row r="333">
      <c r="A333" s="43" t="n"/>
      <c r="C333" s="44" t="n"/>
      <c r="D333" s="44" t="n"/>
      <c r="L333" s="45" t="n"/>
      <c r="O333" s="44" t="n"/>
    </row>
    <row r="334">
      <c r="A334" s="43" t="n"/>
      <c r="C334" s="44" t="n"/>
      <c r="D334" s="44" t="n"/>
      <c r="L334" s="45" t="n"/>
      <c r="O334" s="44" t="n"/>
    </row>
    <row r="335">
      <c r="A335" s="43" t="n"/>
      <c r="C335" s="44" t="n"/>
      <c r="D335" s="44" t="n"/>
      <c r="L335" s="45" t="n"/>
      <c r="O335" s="44" t="n"/>
    </row>
    <row r="336">
      <c r="A336" s="43" t="n"/>
      <c r="C336" s="44" t="n"/>
      <c r="D336" s="44" t="n"/>
      <c r="L336" s="45" t="n"/>
      <c r="O336" s="44" t="n"/>
    </row>
    <row r="337">
      <c r="A337" s="43" t="n"/>
      <c r="C337" s="44" t="n"/>
      <c r="D337" s="44" t="n"/>
      <c r="L337" s="45" t="n"/>
      <c r="O337" s="44" t="n"/>
    </row>
    <row r="338">
      <c r="A338" s="43" t="n"/>
      <c r="C338" s="44" t="n"/>
      <c r="D338" s="44" t="n"/>
      <c r="L338" s="45" t="n"/>
      <c r="O338" s="44" t="n"/>
    </row>
    <row r="339">
      <c r="A339" s="43" t="n"/>
      <c r="C339" s="44" t="n"/>
      <c r="D339" s="44" t="n"/>
      <c r="L339" s="45" t="n"/>
      <c r="O339" s="44" t="n"/>
    </row>
    <row r="340">
      <c r="A340" s="43" t="n"/>
      <c r="C340" s="44" t="n"/>
      <c r="D340" s="44" t="n"/>
      <c r="L340" s="45" t="n"/>
      <c r="O340" s="44" t="n"/>
    </row>
    <row r="341">
      <c r="A341" s="43" t="n"/>
      <c r="C341" s="44" t="n"/>
      <c r="D341" s="44" t="n"/>
      <c r="L341" s="45" t="n"/>
      <c r="O341" s="44" t="n"/>
    </row>
    <row r="342">
      <c r="A342" s="43" t="n"/>
      <c r="C342" s="44" t="n"/>
      <c r="D342" s="44" t="n"/>
      <c r="L342" s="45" t="n"/>
      <c r="O342" s="44" t="n"/>
    </row>
    <row r="343">
      <c r="A343" s="43" t="n"/>
      <c r="C343" s="44" t="n"/>
      <c r="D343" s="44" t="n"/>
      <c r="L343" s="45" t="n"/>
      <c r="O343" s="44" t="n"/>
    </row>
    <row r="344">
      <c r="A344" s="43" t="n"/>
      <c r="C344" s="44" t="n"/>
      <c r="D344" s="44" t="n"/>
      <c r="L344" s="45" t="n"/>
      <c r="O344" s="44" t="n"/>
    </row>
    <row r="345">
      <c r="A345" s="43" t="n"/>
      <c r="C345" s="44" t="n"/>
      <c r="D345" s="44" t="n"/>
      <c r="L345" s="45" t="n"/>
      <c r="O345" s="44" t="n"/>
    </row>
    <row r="346">
      <c r="A346" s="43" t="n"/>
      <c r="C346" s="44" t="n"/>
      <c r="D346" s="44" t="n"/>
      <c r="L346" s="45" t="n"/>
      <c r="O346" s="44" t="n"/>
    </row>
    <row r="347">
      <c r="A347" s="43" t="n"/>
      <c r="C347" s="44" t="n"/>
      <c r="D347" s="44" t="n"/>
      <c r="L347" s="45" t="n"/>
      <c r="O347" s="44" t="n"/>
    </row>
    <row r="348">
      <c r="A348" s="43" t="n"/>
      <c r="C348" s="44" t="n"/>
      <c r="D348" s="44" t="n"/>
      <c r="L348" s="45" t="n"/>
      <c r="O348" s="44" t="n"/>
    </row>
    <row r="349">
      <c r="A349" s="43" t="n"/>
      <c r="C349" s="44" t="n"/>
      <c r="D349" s="44" t="n"/>
      <c r="L349" s="45" t="n"/>
      <c r="O349" s="44" t="n"/>
    </row>
    <row r="350">
      <c r="A350" s="43" t="n"/>
      <c r="C350" s="44" t="n"/>
      <c r="D350" s="44" t="n"/>
      <c r="L350" s="45" t="n"/>
      <c r="O350" s="44" t="n"/>
    </row>
    <row r="351">
      <c r="A351" s="43" t="n"/>
      <c r="C351" s="44" t="n"/>
      <c r="D351" s="44" t="n"/>
      <c r="L351" s="45" t="n"/>
      <c r="O351" s="44" t="n"/>
    </row>
    <row r="352">
      <c r="A352" s="43" t="n"/>
      <c r="C352" s="44" t="n"/>
      <c r="D352" s="44" t="n"/>
      <c r="L352" s="45" t="n"/>
      <c r="O352" s="44" t="n"/>
    </row>
    <row r="353">
      <c r="A353" s="43" t="n"/>
      <c r="C353" s="44" t="n"/>
      <c r="D353" s="44" t="n"/>
      <c r="L353" s="45" t="n"/>
      <c r="O353" s="44" t="n"/>
    </row>
    <row r="354">
      <c r="A354" s="43" t="n"/>
      <c r="C354" s="44" t="n"/>
      <c r="D354" s="44" t="n"/>
      <c r="L354" s="45" t="n"/>
      <c r="O354" s="44" t="n"/>
    </row>
    <row r="355">
      <c r="A355" s="43" t="n"/>
      <c r="C355" s="44" t="n"/>
      <c r="D355" s="44" t="n"/>
      <c r="L355" s="45" t="n"/>
      <c r="O355" s="44" t="n"/>
    </row>
    <row r="356">
      <c r="A356" s="43" t="n"/>
      <c r="C356" s="44" t="n"/>
      <c r="D356" s="44" t="n"/>
      <c r="L356" s="45" t="n"/>
      <c r="O356" s="44" t="n"/>
    </row>
    <row r="357">
      <c r="A357" s="43" t="n"/>
      <c r="C357" s="44" t="n"/>
      <c r="D357" s="44" t="n"/>
      <c r="L357" s="45" t="n"/>
      <c r="O357" s="44" t="n"/>
    </row>
    <row r="358">
      <c r="A358" s="43" t="n"/>
      <c r="C358" s="44" t="n"/>
      <c r="D358" s="44" t="n"/>
      <c r="L358" s="45" t="n"/>
      <c r="O358" s="44" t="n"/>
    </row>
    <row r="359">
      <c r="A359" s="43" t="n"/>
      <c r="C359" s="44" t="n"/>
      <c r="D359" s="44" t="n"/>
      <c r="L359" s="45" t="n"/>
      <c r="O359" s="44" t="n"/>
    </row>
    <row r="360">
      <c r="A360" s="43" t="n"/>
      <c r="C360" s="44" t="n"/>
      <c r="D360" s="44" t="n"/>
      <c r="L360" s="45" t="n"/>
      <c r="O360" s="44" t="n"/>
    </row>
    <row r="361">
      <c r="A361" s="43" t="n"/>
      <c r="C361" s="44" t="n"/>
      <c r="D361" s="44" t="n"/>
      <c r="L361" s="45" t="n"/>
      <c r="O361" s="44" t="n"/>
    </row>
    <row r="362">
      <c r="A362" s="43" t="n"/>
      <c r="C362" s="44" t="n"/>
      <c r="D362" s="44" t="n"/>
      <c r="L362" s="45" t="n"/>
      <c r="O362" s="44" t="n"/>
    </row>
    <row r="363">
      <c r="A363" s="43" t="n"/>
      <c r="C363" s="44" t="n"/>
      <c r="D363" s="44" t="n"/>
      <c r="L363" s="45" t="n"/>
      <c r="O363" s="44" t="n"/>
    </row>
    <row r="364">
      <c r="A364" s="43" t="n"/>
      <c r="C364" s="44" t="n"/>
      <c r="D364" s="44" t="n"/>
      <c r="L364" s="45" t="n"/>
      <c r="O364" s="44" t="n"/>
    </row>
    <row r="365">
      <c r="A365" s="43" t="n"/>
      <c r="C365" s="44" t="n"/>
      <c r="D365" s="44" t="n"/>
      <c r="L365" s="45" t="n"/>
      <c r="O365" s="44" t="n"/>
    </row>
    <row r="366">
      <c r="A366" s="43" t="n"/>
      <c r="C366" s="44" t="n"/>
      <c r="D366" s="44" t="n"/>
      <c r="L366" s="45" t="n"/>
      <c r="O366" s="44" t="n"/>
    </row>
    <row r="367">
      <c r="A367" s="43" t="n"/>
      <c r="C367" s="44" t="n"/>
      <c r="D367" s="44" t="n"/>
      <c r="L367" s="45" t="n"/>
      <c r="O367" s="44" t="n"/>
    </row>
    <row r="368">
      <c r="A368" s="43" t="n"/>
      <c r="C368" s="44" t="n"/>
      <c r="D368" s="44" t="n"/>
      <c r="L368" s="45" t="n"/>
      <c r="O368" s="44" t="n"/>
    </row>
    <row r="369">
      <c r="A369" s="43" t="n"/>
      <c r="C369" s="44" t="n"/>
      <c r="D369" s="44" t="n"/>
      <c r="L369" s="45" t="n"/>
      <c r="O369" s="44" t="n"/>
    </row>
    <row r="370">
      <c r="A370" s="43" t="n"/>
      <c r="C370" s="44" t="n"/>
      <c r="D370" s="44" t="n"/>
      <c r="L370" s="45" t="n"/>
      <c r="O370" s="44" t="n"/>
    </row>
    <row r="371">
      <c r="A371" s="43" t="n"/>
      <c r="C371" s="44" t="n"/>
      <c r="D371" s="44" t="n"/>
      <c r="L371" s="45" t="n"/>
      <c r="O371" s="44" t="n"/>
    </row>
    <row r="372">
      <c r="A372" s="43" t="n"/>
      <c r="C372" s="44" t="n"/>
      <c r="D372" s="44" t="n"/>
      <c r="L372" s="45" t="n"/>
      <c r="O372" s="44" t="n"/>
    </row>
    <row r="373">
      <c r="A373" s="43" t="n"/>
      <c r="C373" s="44" t="n"/>
      <c r="D373" s="44" t="n"/>
      <c r="L373" s="45" t="n"/>
      <c r="O373" s="44" t="n"/>
    </row>
    <row r="374">
      <c r="A374" s="43" t="n"/>
      <c r="C374" s="44" t="n"/>
      <c r="D374" s="44" t="n"/>
      <c r="L374" s="45" t="n"/>
      <c r="O374" s="44" t="n"/>
    </row>
    <row r="375">
      <c r="A375" s="43" t="n"/>
      <c r="C375" s="44" t="n"/>
      <c r="D375" s="44" t="n"/>
      <c r="L375" s="45" t="n"/>
      <c r="O375" s="44" t="n"/>
    </row>
    <row r="376">
      <c r="A376" s="43" t="n"/>
      <c r="C376" s="44" t="n"/>
      <c r="D376" s="44" t="n"/>
      <c r="L376" s="45" t="n"/>
      <c r="O376" s="44" t="n"/>
    </row>
    <row r="377">
      <c r="A377" s="43" t="n"/>
      <c r="C377" s="44" t="n"/>
      <c r="D377" s="44" t="n"/>
      <c r="L377" s="45" t="n"/>
      <c r="O377" s="44" t="n"/>
    </row>
    <row r="378">
      <c r="A378" s="43" t="n"/>
      <c r="C378" s="44" t="n"/>
      <c r="D378" s="44" t="n"/>
      <c r="L378" s="45" t="n"/>
      <c r="O378" s="44" t="n"/>
    </row>
    <row r="379">
      <c r="A379" s="43" t="n"/>
      <c r="C379" s="44" t="n"/>
      <c r="D379" s="44" t="n"/>
      <c r="L379" s="45" t="n"/>
      <c r="O379" s="44" t="n"/>
    </row>
    <row r="380">
      <c r="A380" s="43" t="n"/>
      <c r="C380" s="44" t="n"/>
      <c r="D380" s="44" t="n"/>
      <c r="L380" s="45" t="n"/>
      <c r="O380" s="44" t="n"/>
    </row>
    <row r="381">
      <c r="A381" s="43" t="n"/>
      <c r="C381" s="44" t="n"/>
      <c r="D381" s="44" t="n"/>
      <c r="L381" s="45" t="n"/>
      <c r="O381" s="44" t="n"/>
    </row>
    <row r="382">
      <c r="A382" s="43" t="n"/>
      <c r="C382" s="44" t="n"/>
      <c r="D382" s="44" t="n"/>
      <c r="L382" s="45" t="n"/>
      <c r="O382" s="44" t="n"/>
    </row>
    <row r="383">
      <c r="A383" s="43" t="n"/>
      <c r="C383" s="44" t="n"/>
      <c r="D383" s="44" t="n"/>
      <c r="L383" s="45" t="n"/>
      <c r="O383" s="44" t="n"/>
    </row>
    <row r="384">
      <c r="A384" s="43" t="n"/>
      <c r="C384" s="44" t="n"/>
      <c r="D384" s="44" t="n"/>
      <c r="L384" s="45" t="n"/>
      <c r="O384" s="44" t="n"/>
    </row>
    <row r="385">
      <c r="A385" s="43" t="n"/>
      <c r="C385" s="44" t="n"/>
      <c r="D385" s="44" t="n"/>
      <c r="L385" s="45" t="n"/>
      <c r="O385" s="44" t="n"/>
    </row>
    <row r="386">
      <c r="A386" s="43" t="n"/>
      <c r="C386" s="44" t="n"/>
      <c r="D386" s="44" t="n"/>
      <c r="L386" s="45" t="n"/>
      <c r="O386" s="44" t="n"/>
    </row>
    <row r="387">
      <c r="A387" s="43" t="n"/>
      <c r="C387" s="44" t="n"/>
      <c r="D387" s="44" t="n"/>
      <c r="L387" s="45" t="n"/>
      <c r="O387" s="44" t="n"/>
    </row>
    <row r="388">
      <c r="A388" s="43" t="n"/>
      <c r="C388" s="44" t="n"/>
      <c r="D388" s="44" t="n"/>
      <c r="L388" s="45" t="n"/>
      <c r="O388" s="44" t="n"/>
    </row>
    <row r="389">
      <c r="A389" s="43" t="n"/>
      <c r="C389" s="44" t="n"/>
      <c r="D389" s="44" t="n"/>
      <c r="L389" s="45" t="n"/>
      <c r="O389" s="44" t="n"/>
    </row>
    <row r="390">
      <c r="A390" s="43" t="n"/>
      <c r="C390" s="44" t="n"/>
      <c r="D390" s="44" t="n"/>
      <c r="L390" s="45" t="n"/>
      <c r="O390" s="44" t="n"/>
    </row>
    <row r="391">
      <c r="A391" s="43" t="n"/>
      <c r="C391" s="44" t="n"/>
      <c r="D391" s="44" t="n"/>
      <c r="L391" s="45" t="n"/>
      <c r="O391" s="44" t="n"/>
    </row>
    <row r="392">
      <c r="A392" s="43" t="n"/>
      <c r="C392" s="44" t="n"/>
      <c r="D392" s="44" t="n"/>
      <c r="L392" s="45" t="n"/>
      <c r="O392" s="44" t="n"/>
    </row>
    <row r="393">
      <c r="A393" s="43" t="n"/>
      <c r="C393" s="44" t="n"/>
      <c r="D393" s="44" t="n"/>
      <c r="L393" s="45" t="n"/>
      <c r="O393" s="44" t="n"/>
    </row>
    <row r="394">
      <c r="A394" s="43" t="n"/>
      <c r="C394" s="44" t="n"/>
      <c r="D394" s="44" t="n"/>
      <c r="L394" s="45" t="n"/>
      <c r="O394" s="44" t="n"/>
    </row>
    <row r="395">
      <c r="A395" s="43" t="n"/>
      <c r="C395" s="44" t="n"/>
      <c r="D395" s="44" t="n"/>
      <c r="L395" s="45" t="n"/>
      <c r="O395" s="44" t="n"/>
    </row>
    <row r="396">
      <c r="A396" s="43" t="n"/>
      <c r="C396" s="44" t="n"/>
      <c r="D396" s="44" t="n"/>
      <c r="L396" s="45" t="n"/>
      <c r="O396" s="44" t="n"/>
    </row>
    <row r="397">
      <c r="A397" s="43" t="n"/>
      <c r="C397" s="44" t="n"/>
      <c r="D397" s="44" t="n"/>
      <c r="L397" s="45" t="n"/>
      <c r="O397" s="44" t="n"/>
    </row>
    <row r="398">
      <c r="A398" s="43" t="n"/>
      <c r="C398" s="44" t="n"/>
      <c r="D398" s="44" t="n"/>
      <c r="L398" s="45" t="n"/>
      <c r="O398" s="44" t="n"/>
    </row>
    <row r="399">
      <c r="A399" s="43" t="n"/>
      <c r="C399" s="44" t="n"/>
      <c r="D399" s="44" t="n"/>
      <c r="L399" s="45" t="n"/>
      <c r="O399" s="44" t="n"/>
    </row>
    <row r="400">
      <c r="A400" s="43" t="n"/>
      <c r="C400" s="44" t="n"/>
      <c r="D400" s="44" t="n"/>
      <c r="L400" s="45" t="n"/>
      <c r="O400" s="44" t="n"/>
    </row>
    <row r="401">
      <c r="A401" s="43" t="n"/>
      <c r="C401" s="44" t="n"/>
      <c r="D401" s="44" t="n"/>
      <c r="L401" s="45" t="n"/>
      <c r="O401" s="44" t="n"/>
    </row>
    <row r="402">
      <c r="A402" s="43" t="n"/>
      <c r="C402" s="44" t="n"/>
      <c r="D402" s="44" t="n"/>
      <c r="L402" s="45" t="n"/>
      <c r="O402" s="44" t="n"/>
    </row>
    <row r="403">
      <c r="A403" s="43" t="n"/>
      <c r="C403" s="44" t="n"/>
      <c r="D403" s="44" t="n"/>
      <c r="L403" s="45" t="n"/>
      <c r="O403" s="44" t="n"/>
    </row>
    <row r="404">
      <c r="A404" s="43" t="n"/>
      <c r="C404" s="44" t="n"/>
      <c r="D404" s="44" t="n"/>
      <c r="L404" s="45" t="n"/>
      <c r="O404" s="44" t="n"/>
    </row>
    <row r="405">
      <c r="A405" s="43" t="n"/>
      <c r="C405" s="44" t="n"/>
      <c r="D405" s="44" t="n"/>
      <c r="L405" s="45" t="n"/>
      <c r="O405" s="44" t="n"/>
    </row>
    <row r="406">
      <c r="A406" s="43" t="n"/>
      <c r="C406" s="44" t="n"/>
      <c r="D406" s="44" t="n"/>
      <c r="L406" s="45" t="n"/>
      <c r="O406" s="44" t="n"/>
    </row>
    <row r="407">
      <c r="A407" s="43" t="n"/>
      <c r="C407" s="44" t="n"/>
      <c r="D407" s="44" t="n"/>
      <c r="L407" s="45" t="n"/>
      <c r="O407" s="44" t="n"/>
    </row>
    <row r="408">
      <c r="A408" s="43" t="n"/>
      <c r="C408" s="44" t="n"/>
      <c r="D408" s="44" t="n"/>
      <c r="L408" s="45" t="n"/>
      <c r="O408" s="44" t="n"/>
    </row>
    <row r="409">
      <c r="A409" s="43" t="n"/>
      <c r="C409" s="44" t="n"/>
      <c r="D409" s="44" t="n"/>
      <c r="L409" s="45" t="n"/>
      <c r="O409" s="44" t="n"/>
    </row>
    <row r="410">
      <c r="A410" s="43" t="n"/>
      <c r="C410" s="44" t="n"/>
      <c r="D410" s="44" t="n"/>
      <c r="L410" s="45" t="n"/>
      <c r="O410" s="44" t="n"/>
    </row>
    <row r="411">
      <c r="A411" s="43" t="n"/>
      <c r="C411" s="44" t="n"/>
      <c r="D411" s="44" t="n"/>
      <c r="L411" s="45" t="n"/>
      <c r="O411" s="44" t="n"/>
    </row>
    <row r="412">
      <c r="A412" s="43" t="n"/>
      <c r="C412" s="44" t="n"/>
      <c r="D412" s="44" t="n"/>
      <c r="L412" s="45" t="n"/>
      <c r="O412" s="44" t="n"/>
    </row>
    <row r="413">
      <c r="A413" s="43" t="n"/>
      <c r="C413" s="44" t="n"/>
      <c r="D413" s="44" t="n"/>
      <c r="L413" s="45" t="n"/>
      <c r="O413" s="44" t="n"/>
    </row>
    <row r="414">
      <c r="A414" s="43" t="n"/>
      <c r="C414" s="44" t="n"/>
      <c r="D414" s="44" t="n"/>
      <c r="L414" s="45" t="n"/>
      <c r="O414" s="44" t="n"/>
    </row>
    <row r="415">
      <c r="A415" s="43" t="n"/>
      <c r="C415" s="44" t="n"/>
      <c r="D415" s="44" t="n"/>
      <c r="L415" s="45" t="n"/>
      <c r="O415" s="44" t="n"/>
    </row>
    <row r="416">
      <c r="A416" s="43" t="n"/>
      <c r="C416" s="44" t="n"/>
      <c r="D416" s="44" t="n"/>
      <c r="L416" s="45" t="n"/>
      <c r="O416" s="44" t="n"/>
    </row>
    <row r="417">
      <c r="A417" s="43" t="n"/>
      <c r="C417" s="44" t="n"/>
      <c r="D417" s="44" t="n"/>
      <c r="L417" s="45" t="n"/>
      <c r="O417" s="44" t="n"/>
    </row>
    <row r="418">
      <c r="A418" s="43" t="n"/>
      <c r="C418" s="44" t="n"/>
      <c r="D418" s="44" t="n"/>
      <c r="L418" s="45" t="n"/>
      <c r="O418" s="44" t="n"/>
    </row>
    <row r="419">
      <c r="A419" s="43" t="n"/>
      <c r="C419" s="44" t="n"/>
      <c r="D419" s="44" t="n"/>
      <c r="L419" s="45" t="n"/>
      <c r="O419" s="44" t="n"/>
    </row>
    <row r="420">
      <c r="A420" s="43" t="n"/>
      <c r="C420" s="44" t="n"/>
      <c r="D420" s="44" t="n"/>
      <c r="L420" s="45" t="n"/>
      <c r="O420" s="44" t="n"/>
    </row>
    <row r="421">
      <c r="A421" s="43" t="n"/>
      <c r="C421" s="44" t="n"/>
      <c r="D421" s="44" t="n"/>
      <c r="L421" s="45" t="n"/>
      <c r="O421" s="44" t="n"/>
    </row>
    <row r="422">
      <c r="A422" s="43" t="n"/>
      <c r="C422" s="44" t="n"/>
      <c r="D422" s="44" t="n"/>
      <c r="L422" s="45" t="n"/>
      <c r="O422" s="44" t="n"/>
    </row>
    <row r="423">
      <c r="A423" s="43" t="n"/>
      <c r="C423" s="44" t="n"/>
      <c r="D423" s="44" t="n"/>
      <c r="L423" s="45" t="n"/>
      <c r="O423" s="44" t="n"/>
    </row>
    <row r="424">
      <c r="A424" s="43" t="n"/>
      <c r="C424" s="44" t="n"/>
      <c r="D424" s="44" t="n"/>
      <c r="L424" s="45" t="n"/>
      <c r="O424" s="44" t="n"/>
    </row>
    <row r="425">
      <c r="A425" s="43" t="n"/>
      <c r="C425" s="44" t="n"/>
      <c r="D425" s="44" t="n"/>
      <c r="L425" s="45" t="n"/>
      <c r="O425" s="44" t="n"/>
    </row>
    <row r="426">
      <c r="A426" s="43" t="n"/>
      <c r="C426" s="44" t="n"/>
      <c r="D426" s="44" t="n"/>
      <c r="L426" s="45" t="n"/>
      <c r="O426" s="44" t="n"/>
    </row>
    <row r="427">
      <c r="A427" s="43" t="n"/>
      <c r="C427" s="44" t="n"/>
      <c r="D427" s="44" t="n"/>
      <c r="L427" s="45" t="n"/>
      <c r="O427" s="44" t="n"/>
    </row>
    <row r="428">
      <c r="A428" s="43" t="n"/>
      <c r="C428" s="44" t="n"/>
      <c r="D428" s="44" t="n"/>
      <c r="L428" s="45" t="n"/>
      <c r="O428" s="44" t="n"/>
    </row>
    <row r="429">
      <c r="A429" s="43" t="n"/>
      <c r="C429" s="44" t="n"/>
      <c r="D429" s="44" t="n"/>
      <c r="L429" s="45" t="n"/>
      <c r="O429" s="44" t="n"/>
    </row>
    <row r="430">
      <c r="A430" s="43" t="n"/>
      <c r="C430" s="44" t="n"/>
      <c r="D430" s="44" t="n"/>
      <c r="L430" s="45" t="n"/>
      <c r="O430" s="44" t="n"/>
    </row>
    <row r="431">
      <c r="A431" s="43" t="n"/>
      <c r="C431" s="44" t="n"/>
      <c r="D431" s="44" t="n"/>
      <c r="L431" s="45" t="n"/>
      <c r="O431" s="44" t="n"/>
    </row>
    <row r="432">
      <c r="A432" s="43" t="n"/>
      <c r="C432" s="44" t="n"/>
      <c r="D432" s="44" t="n"/>
      <c r="L432" s="45" t="n"/>
      <c r="O432" s="44" t="n"/>
    </row>
    <row r="433">
      <c r="A433" s="43" t="n"/>
      <c r="C433" s="44" t="n"/>
      <c r="D433" s="44" t="n"/>
      <c r="L433" s="45" t="n"/>
      <c r="O433" s="44" t="n"/>
    </row>
    <row r="434">
      <c r="A434" s="43" t="n"/>
      <c r="C434" s="44" t="n"/>
      <c r="D434" s="44" t="n"/>
      <c r="L434" s="45" t="n"/>
      <c r="O434" s="44" t="n"/>
    </row>
    <row r="435">
      <c r="A435" s="43" t="n"/>
      <c r="C435" s="44" t="n"/>
      <c r="D435" s="44" t="n"/>
      <c r="L435" s="45" t="n"/>
      <c r="O435" s="44" t="n"/>
    </row>
    <row r="436">
      <c r="A436" s="43" t="n"/>
      <c r="C436" s="44" t="n"/>
      <c r="D436" s="44" t="n"/>
      <c r="L436" s="45" t="n"/>
      <c r="O436" s="44" t="n"/>
    </row>
    <row r="437">
      <c r="A437" s="43" t="n"/>
      <c r="C437" s="44" t="n"/>
      <c r="D437" s="44" t="n"/>
      <c r="L437" s="45" t="n"/>
      <c r="O437" s="44" t="n"/>
    </row>
    <row r="438">
      <c r="A438" s="43" t="n"/>
      <c r="C438" s="44" t="n"/>
      <c r="D438" s="44" t="n"/>
      <c r="L438" s="45" t="n"/>
      <c r="O438" s="44" t="n"/>
    </row>
    <row r="439">
      <c r="A439" s="43" t="n"/>
      <c r="C439" s="44" t="n"/>
      <c r="D439" s="44" t="n"/>
      <c r="L439" s="45" t="n"/>
      <c r="O439" s="44" t="n"/>
    </row>
    <row r="440">
      <c r="A440" s="43" t="n"/>
      <c r="C440" s="44" t="n"/>
      <c r="D440" s="44" t="n"/>
      <c r="L440" s="45" t="n"/>
      <c r="O440" s="44" t="n"/>
    </row>
    <row r="441">
      <c r="A441" s="43" t="n"/>
      <c r="C441" s="44" t="n"/>
      <c r="D441" s="44" t="n"/>
      <c r="L441" s="45" t="n"/>
      <c r="O441" s="44" t="n"/>
    </row>
    <row r="442">
      <c r="A442" s="43" t="n"/>
      <c r="C442" s="44" t="n"/>
      <c r="D442" s="44" t="n"/>
      <c r="L442" s="45" t="n"/>
      <c r="O442" s="44" t="n"/>
    </row>
    <row r="443">
      <c r="A443" s="43" t="n"/>
      <c r="C443" s="44" t="n"/>
      <c r="D443" s="44" t="n"/>
      <c r="L443" s="45" t="n"/>
      <c r="O443" s="44" t="n"/>
    </row>
    <row r="444">
      <c r="A444" s="43" t="n"/>
      <c r="C444" s="44" t="n"/>
      <c r="D444" s="44" t="n"/>
      <c r="L444" s="45" t="n"/>
      <c r="O444" s="44" t="n"/>
    </row>
    <row r="445">
      <c r="A445" s="43" t="n"/>
      <c r="C445" s="44" t="n"/>
      <c r="D445" s="44" t="n"/>
      <c r="L445" s="45" t="n"/>
      <c r="O445" s="44" t="n"/>
    </row>
    <row r="446">
      <c r="A446" s="43" t="n"/>
      <c r="C446" s="44" t="n"/>
      <c r="D446" s="44" t="n"/>
      <c r="L446" s="45" t="n"/>
      <c r="O446" s="44" t="n"/>
    </row>
    <row r="447">
      <c r="A447" s="43" t="n"/>
      <c r="C447" s="44" t="n"/>
      <c r="D447" s="44" t="n"/>
      <c r="L447" s="45" t="n"/>
      <c r="O447" s="44" t="n"/>
    </row>
    <row r="448">
      <c r="A448" s="43" t="n"/>
      <c r="C448" s="44" t="n"/>
      <c r="D448" s="44" t="n"/>
      <c r="L448" s="45" t="n"/>
      <c r="O448" s="44" t="n"/>
    </row>
    <row r="449">
      <c r="A449" s="43" t="n"/>
      <c r="C449" s="44" t="n"/>
      <c r="D449" s="44" t="n"/>
      <c r="L449" s="45" t="n"/>
      <c r="O449" s="44" t="n"/>
    </row>
    <row r="450">
      <c r="A450" s="43" t="n"/>
      <c r="C450" s="44" t="n"/>
      <c r="D450" s="44" t="n"/>
      <c r="L450" s="45" t="n"/>
      <c r="O450" s="44" t="n"/>
    </row>
    <row r="451">
      <c r="A451" s="43" t="n"/>
      <c r="C451" s="44" t="n"/>
      <c r="D451" s="44" t="n"/>
      <c r="L451" s="45" t="n"/>
      <c r="O451" s="44" t="n"/>
    </row>
    <row r="452">
      <c r="A452" s="43" t="n"/>
      <c r="C452" s="44" t="n"/>
      <c r="D452" s="44" t="n"/>
      <c r="L452" s="45" t="n"/>
      <c r="O452" s="44" t="n"/>
    </row>
    <row r="453">
      <c r="A453" s="43" t="n"/>
      <c r="C453" s="44" t="n"/>
      <c r="D453" s="44" t="n"/>
      <c r="L453" s="45" t="n"/>
      <c r="O453" s="44" t="n"/>
    </row>
    <row r="454">
      <c r="A454" s="43" t="n"/>
      <c r="C454" s="44" t="n"/>
      <c r="D454" s="44" t="n"/>
      <c r="L454" s="45" t="n"/>
      <c r="O454" s="44" t="n"/>
    </row>
    <row r="455">
      <c r="A455" s="43" t="n"/>
      <c r="C455" s="44" t="n"/>
      <c r="D455" s="44" t="n"/>
      <c r="L455" s="45" t="n"/>
      <c r="O455" s="44" t="n"/>
    </row>
    <row r="456">
      <c r="A456" s="43" t="n"/>
      <c r="C456" s="44" t="n"/>
      <c r="D456" s="44" t="n"/>
      <c r="L456" s="45" t="n"/>
      <c r="O456" s="44" t="n"/>
    </row>
    <row r="457">
      <c r="A457" s="43" t="n"/>
      <c r="C457" s="44" t="n"/>
      <c r="D457" s="44" t="n"/>
      <c r="L457" s="45" t="n"/>
      <c r="O457" s="44" t="n"/>
    </row>
    <row r="458">
      <c r="A458" s="43" t="n"/>
      <c r="C458" s="44" t="n"/>
      <c r="D458" s="44" t="n"/>
      <c r="L458" s="45" t="n"/>
      <c r="O458" s="44" t="n"/>
    </row>
    <row r="459">
      <c r="A459" s="43" t="n"/>
      <c r="C459" s="44" t="n"/>
      <c r="D459" s="44" t="n"/>
      <c r="L459" s="45" t="n"/>
      <c r="O459" s="44" t="n"/>
    </row>
    <row r="460">
      <c r="A460" s="43" t="n"/>
      <c r="C460" s="44" t="n"/>
      <c r="D460" s="44" t="n"/>
      <c r="L460" s="45" t="n"/>
      <c r="O460" s="44" t="n"/>
    </row>
    <row r="461">
      <c r="A461" s="43" t="n"/>
      <c r="C461" s="44" t="n"/>
      <c r="D461" s="44" t="n"/>
      <c r="L461" s="45" t="n"/>
      <c r="O461" s="44" t="n"/>
    </row>
    <row r="462">
      <c r="A462" s="43" t="n"/>
      <c r="C462" s="44" t="n"/>
      <c r="D462" s="44" t="n"/>
      <c r="L462" s="45" t="n"/>
      <c r="O462" s="44" t="n"/>
    </row>
    <row r="463">
      <c r="A463" s="43" t="n"/>
      <c r="C463" s="44" t="n"/>
      <c r="D463" s="44" t="n"/>
      <c r="L463" s="45" t="n"/>
      <c r="O463" s="44" t="n"/>
    </row>
    <row r="464">
      <c r="A464" s="43" t="n"/>
      <c r="C464" s="44" t="n"/>
      <c r="D464" s="44" t="n"/>
      <c r="L464" s="45" t="n"/>
      <c r="O464" s="44" t="n"/>
    </row>
    <row r="465">
      <c r="A465" s="43" t="n"/>
      <c r="C465" s="44" t="n"/>
      <c r="D465" s="44" t="n"/>
      <c r="L465" s="45" t="n"/>
      <c r="O465" s="44" t="n"/>
    </row>
    <row r="466">
      <c r="A466" s="43" t="n"/>
      <c r="C466" s="44" t="n"/>
      <c r="D466" s="44" t="n"/>
      <c r="L466" s="45" t="n"/>
      <c r="O466" s="44" t="n"/>
    </row>
    <row r="467">
      <c r="A467" s="43" t="n"/>
      <c r="C467" s="44" t="n"/>
      <c r="D467" s="44" t="n"/>
      <c r="L467" s="45" t="n"/>
      <c r="O467" s="44" t="n"/>
    </row>
    <row r="468">
      <c r="A468" s="43" t="n"/>
      <c r="C468" s="44" t="n"/>
      <c r="D468" s="44" t="n"/>
      <c r="L468" s="45" t="n"/>
      <c r="O468" s="44" t="n"/>
    </row>
    <row r="469">
      <c r="A469" s="43" t="n"/>
      <c r="C469" s="44" t="n"/>
      <c r="D469" s="44" t="n"/>
      <c r="L469" s="45" t="n"/>
      <c r="O469" s="44" t="n"/>
    </row>
    <row r="470">
      <c r="A470" s="43" t="n"/>
      <c r="C470" s="44" t="n"/>
      <c r="D470" s="44" t="n"/>
      <c r="L470" s="45" t="n"/>
      <c r="O470" s="44" t="n"/>
    </row>
    <row r="471">
      <c r="A471" s="43" t="n"/>
      <c r="C471" s="44" t="n"/>
      <c r="D471" s="44" t="n"/>
      <c r="L471" s="45" t="n"/>
      <c r="O471" s="44" t="n"/>
    </row>
    <row r="472">
      <c r="A472" s="43" t="n"/>
      <c r="C472" s="44" t="n"/>
      <c r="D472" s="44" t="n"/>
      <c r="L472" s="45" t="n"/>
      <c r="O472" s="44" t="n"/>
    </row>
    <row r="473">
      <c r="A473" s="43" t="n"/>
      <c r="C473" s="44" t="n"/>
      <c r="D473" s="44" t="n"/>
      <c r="L473" s="45" t="n"/>
      <c r="O473" s="44" t="n"/>
    </row>
    <row r="474">
      <c r="A474" s="43" t="n"/>
      <c r="C474" s="44" t="n"/>
      <c r="D474" s="44" t="n"/>
      <c r="L474" s="45" t="n"/>
      <c r="O474" s="44" t="n"/>
    </row>
    <row r="475">
      <c r="A475" s="43" t="n"/>
      <c r="C475" s="44" t="n"/>
      <c r="D475" s="44" t="n"/>
      <c r="L475" s="45" t="n"/>
      <c r="O475" s="44" t="n"/>
    </row>
    <row r="476">
      <c r="A476" s="43" t="n"/>
      <c r="C476" s="44" t="n"/>
      <c r="D476" s="44" t="n"/>
      <c r="L476" s="45" t="n"/>
      <c r="O476" s="44" t="n"/>
    </row>
    <row r="477">
      <c r="A477" s="43" t="n"/>
      <c r="C477" s="44" t="n"/>
      <c r="D477" s="44" t="n"/>
      <c r="L477" s="45" t="n"/>
      <c r="O477" s="44" t="n"/>
    </row>
    <row r="478">
      <c r="A478" s="43" t="n"/>
      <c r="C478" s="44" t="n"/>
      <c r="D478" s="44" t="n"/>
      <c r="L478" s="45" t="n"/>
      <c r="O478" s="44" t="n"/>
    </row>
    <row r="479">
      <c r="A479" s="43" t="n"/>
      <c r="C479" s="44" t="n"/>
      <c r="D479" s="44" t="n"/>
      <c r="L479" s="45" t="n"/>
      <c r="O479" s="44" t="n"/>
    </row>
    <row r="480">
      <c r="A480" s="43" t="n"/>
      <c r="C480" s="44" t="n"/>
      <c r="D480" s="44" t="n"/>
      <c r="L480" s="45" t="n"/>
      <c r="O480" s="44" t="n"/>
    </row>
    <row r="481">
      <c r="A481" s="43" t="n"/>
      <c r="C481" s="44" t="n"/>
      <c r="D481" s="44" t="n"/>
      <c r="L481" s="45" t="n"/>
      <c r="O481" s="44" t="n"/>
    </row>
    <row r="482">
      <c r="A482" s="43" t="n"/>
      <c r="C482" s="44" t="n"/>
      <c r="D482" s="44" t="n"/>
      <c r="L482" s="45" t="n"/>
      <c r="O482" s="44" t="n"/>
    </row>
    <row r="483">
      <c r="A483" s="43" t="n"/>
      <c r="C483" s="44" t="n"/>
      <c r="D483" s="44" t="n"/>
      <c r="L483" s="45" t="n"/>
      <c r="O483" s="44" t="n"/>
    </row>
    <row r="484">
      <c r="A484" s="43" t="n"/>
      <c r="C484" s="44" t="n"/>
      <c r="D484" s="44" t="n"/>
      <c r="L484" s="45" t="n"/>
      <c r="O484" s="44" t="n"/>
    </row>
    <row r="485">
      <c r="A485" s="43" t="n"/>
      <c r="C485" s="44" t="n"/>
      <c r="D485" s="44" t="n"/>
      <c r="L485" s="45" t="n"/>
      <c r="O485" s="44" t="n"/>
    </row>
    <row r="486">
      <c r="A486" s="43" t="n"/>
      <c r="C486" s="44" t="n"/>
      <c r="D486" s="44" t="n"/>
      <c r="L486" s="45" t="n"/>
      <c r="O486" s="44" t="n"/>
    </row>
    <row r="487">
      <c r="A487" s="43" t="n"/>
      <c r="C487" s="44" t="n"/>
      <c r="D487" s="44" t="n"/>
      <c r="L487" s="45" t="n"/>
      <c r="O487" s="44" t="n"/>
    </row>
    <row r="488">
      <c r="A488" s="43" t="n"/>
      <c r="C488" s="44" t="n"/>
      <c r="D488" s="44" t="n"/>
      <c r="L488" s="45" t="n"/>
      <c r="O488" s="44" t="n"/>
    </row>
    <row r="489">
      <c r="A489" s="43" t="n"/>
      <c r="C489" s="44" t="n"/>
      <c r="D489" s="44" t="n"/>
      <c r="L489" s="45" t="n"/>
      <c r="O489" s="44" t="n"/>
    </row>
    <row r="490">
      <c r="A490" s="43" t="n"/>
      <c r="C490" s="44" t="n"/>
      <c r="D490" s="44" t="n"/>
      <c r="L490" s="45" t="n"/>
      <c r="O490" s="44" t="n"/>
    </row>
    <row r="491">
      <c r="A491" s="43" t="n"/>
      <c r="C491" s="44" t="n"/>
      <c r="D491" s="44" t="n"/>
      <c r="L491" s="45" t="n"/>
      <c r="O491" s="44" t="n"/>
    </row>
    <row r="492">
      <c r="A492" s="43" t="n"/>
      <c r="C492" s="44" t="n"/>
      <c r="D492" s="44" t="n"/>
      <c r="L492" s="45" t="n"/>
      <c r="O492" s="44" t="n"/>
    </row>
    <row r="493">
      <c r="A493" s="43" t="n"/>
      <c r="C493" s="44" t="n"/>
      <c r="D493" s="44" t="n"/>
      <c r="L493" s="45" t="n"/>
      <c r="O493" s="44" t="n"/>
    </row>
    <row r="494">
      <c r="A494" s="43" t="n"/>
      <c r="C494" s="44" t="n"/>
      <c r="D494" s="44" t="n"/>
      <c r="L494" s="45" t="n"/>
      <c r="O494" s="44" t="n"/>
    </row>
    <row r="495">
      <c r="A495" s="43" t="n"/>
      <c r="C495" s="44" t="n"/>
      <c r="D495" s="44" t="n"/>
      <c r="L495" s="45" t="n"/>
      <c r="O495" s="44" t="n"/>
    </row>
    <row r="496">
      <c r="A496" s="43" t="n"/>
      <c r="C496" s="44" t="n"/>
      <c r="D496" s="44" t="n"/>
      <c r="L496" s="45" t="n"/>
      <c r="O496" s="44" t="n"/>
    </row>
    <row r="497">
      <c r="A497" s="43" t="n"/>
      <c r="C497" s="44" t="n"/>
      <c r="D497" s="44" t="n"/>
      <c r="L497" s="45" t="n"/>
      <c r="O497" s="44" t="n"/>
    </row>
    <row r="498">
      <c r="A498" s="43" t="n"/>
      <c r="C498" s="44" t="n"/>
      <c r="D498" s="44" t="n"/>
      <c r="L498" s="45" t="n"/>
      <c r="O498" s="44" t="n"/>
    </row>
    <row r="499">
      <c r="A499" s="43" t="n"/>
      <c r="C499" s="44" t="n"/>
      <c r="D499" s="44" t="n"/>
      <c r="L499" s="45" t="n"/>
      <c r="O499" s="44" t="n"/>
    </row>
    <row r="500">
      <c r="A500" s="43" t="n"/>
      <c r="C500" s="44" t="n"/>
      <c r="D500" s="44" t="n"/>
      <c r="L500" s="45" t="n"/>
      <c r="O500" s="44" t="n"/>
    </row>
    <row r="501">
      <c r="A501" s="43" t="n"/>
      <c r="C501" s="44" t="n"/>
      <c r="D501" s="44" t="n"/>
      <c r="L501" s="45" t="n"/>
      <c r="O501" s="44" t="n"/>
    </row>
    <row r="502">
      <c r="A502" s="43" t="n"/>
      <c r="C502" s="44" t="n"/>
      <c r="D502" s="44" t="n"/>
      <c r="L502" s="45" t="n"/>
      <c r="O502" s="44" t="n"/>
    </row>
    <row r="503">
      <c r="A503" s="43" t="n"/>
      <c r="C503" s="44" t="n"/>
      <c r="D503" s="44" t="n"/>
      <c r="L503" s="45" t="n"/>
      <c r="O503" s="44" t="n"/>
    </row>
    <row r="504">
      <c r="A504" s="43" t="n"/>
      <c r="C504" s="44" t="n"/>
      <c r="D504" s="44" t="n"/>
      <c r="L504" s="45" t="n"/>
      <c r="O504" s="44" t="n"/>
    </row>
  </sheetData>
  <autoFilter ref="A3:X504"/>
  <conditionalFormatting sqref="F2">
    <cfRule type="cellIs" priority="1" operator="lessThan" dxfId="0">
      <formula>0</formula>
    </cfRule>
    <cfRule type="cellIs" priority="2" operator="greaterThanOrEqual" dxfId="1">
      <formula>0</formula>
    </cfRule>
  </conditionalFormatting>
  <conditionalFormatting sqref="H2">
    <cfRule type="cellIs" priority="3" operator="lessThan" dxfId="0">
      <formula>0.9</formula>
    </cfRule>
    <cfRule type="cellIs" priority="4" operator="greaterThanOrEqual" dxfId="1">
      <formula>1</formula>
    </cfRule>
  </conditionalFormatting>
  <conditionalFormatting sqref="R2">
    <cfRule type="cellIs" priority="5" operator="lessThan" dxfId="0">
      <formula>P2</formula>
    </cfRule>
  </conditionalFormatting>
  <dataValidations count="10">
    <dataValidation sqref="B5:B504" showDropDown="0" showInputMessage="0" showErrorMessage="0" allowBlank="1" type="list">
      <formula1>'選択肢マスター'!$A$2:$A$3</formula1>
    </dataValidation>
    <dataValidation sqref="E5:E504" showDropDown="0" showInputMessage="0" showErrorMessage="0" allowBlank="1" type="list">
      <formula1>'選択肢マスター'!$B$2:$B$23</formula1>
    </dataValidation>
    <dataValidation sqref="M5:M504" showDropDown="0" showInputMessage="0" showErrorMessage="0" allowBlank="1" type="list">
      <formula1>'選択肢マスター'!$C$2:$C$16</formula1>
    </dataValidation>
    <dataValidation sqref="N5:N504" showDropDown="0" showInputMessage="0" showErrorMessage="0" allowBlank="1" type="list">
      <formula1>'選択肢マスター'!$D$2:$D$7</formula1>
    </dataValidation>
    <dataValidation sqref="P5:P504" showDropDown="0" showInputMessage="0" showErrorMessage="0" allowBlank="1" type="list">
      <formula1>'選択肢マスター'!$E$2:$E$5</formula1>
    </dataValidation>
    <dataValidation sqref="Q5:Q504" showDropDown="0" showInputMessage="0" showErrorMessage="0" allowBlank="1" type="list">
      <formula1>'選択肢マスター'!$F$2:$F$5</formula1>
    </dataValidation>
    <dataValidation sqref="S5:S504" showDropDown="0" showInputMessage="0" showErrorMessage="0" allowBlank="1" type="list">
      <formula1>'選択肢マスター'!$G$2:$G$8</formula1>
    </dataValidation>
    <dataValidation sqref="T5:T504" showDropDown="0" showInputMessage="0" showErrorMessage="0" allowBlank="1" type="list">
      <formula1>'選択肢マスター'!$J$2:$J$3</formula1>
    </dataValidation>
    <dataValidation sqref="U5:U504" showDropDown="0" showInputMessage="0" showErrorMessage="0" allowBlank="1" type="list">
      <formula1>'選択肢マスター'!$H$2:$H$5</formula1>
    </dataValidation>
    <dataValidation sqref="V5:V504" showDropDown="0" showInputMessage="0" showErrorMessage="0" allowBlank="1" type="list">
      <formula1>'選択肢マスター'!$I$2:$I$5</formula1>
    </dataValidation>
  </dataValidation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X504"/>
  <sheetViews>
    <sheetView workbookViewId="0">
      <pane ySplit="4" topLeftCell="A5" activePane="bottomLeft" state="frozen"/>
      <selection pane="bottomLeft" activeCell="A1" sqref="A1"/>
    </sheetView>
  </sheetViews>
  <sheetFormatPr baseColWidth="8" defaultRowHeight="15"/>
  <cols>
    <col width="9" customWidth="1" min="1" max="1"/>
    <col width="11" customWidth="1" min="2" max="2"/>
    <col width="12" customWidth="1" min="3" max="3"/>
    <col width="12" customWidth="1" min="4" max="4"/>
    <col width="17" customWidth="1" min="5" max="5"/>
    <col width="20" customWidth="1" min="6" max="6"/>
    <col width="14" customWidth="1" min="7" max="7"/>
    <col width="16" customWidth="1" min="8" max="8"/>
    <col width="14" customWidth="1" min="9" max="9"/>
    <col width="11" customWidth="1" min="10" max="10"/>
    <col width="30" customWidth="1" min="11" max="11"/>
    <col width="12" customWidth="1" min="12" max="12"/>
    <col width="20" customWidth="1" min="13" max="13"/>
    <col width="12" customWidth="1" min="14" max="14"/>
    <col width="14" customWidth="1" min="15" max="15"/>
    <col width="12" customWidth="1" min="16" max="16"/>
    <col width="12" customWidth="1" min="17" max="17"/>
    <col width="34" customWidth="1" min="18" max="18"/>
    <col width="14" customWidth="1" min="19" max="19"/>
    <col width="11" customWidth="1" min="20" max="20"/>
    <col width="11" customWidth="1" min="21" max="21"/>
    <col width="12" customWidth="1" min="22" max="22"/>
    <col width="24" customWidth="1" min="23" max="23"/>
    <col width="10" customWidth="1" min="24" max="24"/>
  </cols>
  <sheetData>
    <row r="1" ht="18" customHeight="1">
      <c r="A1" s="8" t="inlineStr">
        <is>
          <t>◆ 2月の売上・顧客。入力は 5 行目から。2行目＝今月の目標、4行目＝自動集計（数式・触らない）</t>
        </is>
      </c>
    </row>
    <row r="2" ht="20" customHeight="1">
      <c r="A2" s="24" t="inlineStr">
        <is>
          <t>今月目標(売上)</t>
        </is>
      </c>
      <c r="B2" s="25" t="n">
        <v>1280000</v>
      </c>
      <c r="C2" s="24" t="inlineStr">
        <is>
          <t>売上 現在</t>
        </is>
      </c>
      <c r="D2" s="25">
        <f>$L$4</f>
        <v/>
      </c>
      <c r="E2" s="24" t="inlineStr">
        <is>
          <t>過不足</t>
        </is>
      </c>
      <c r="F2" s="25">
        <f>D2-B2</f>
        <v/>
      </c>
      <c r="G2" s="24" t="inlineStr">
        <is>
          <t>達成率</t>
        </is>
      </c>
      <c r="H2" s="26">
        <f>IFERROR(D2/B2,0)</f>
        <v/>
      </c>
      <c r="I2" s="24" t="inlineStr">
        <is>
          <t>必要件数</t>
        </is>
      </c>
      <c r="J2" s="27" t="n">
        <v>32</v>
      </c>
      <c r="K2" s="24" t="inlineStr">
        <is>
          <t>件数 現在</t>
        </is>
      </c>
      <c r="L2" s="27">
        <f>$E$4</f>
        <v/>
      </c>
      <c r="M2" s="24" t="inlineStr">
        <is>
          <t>残り件数</t>
        </is>
      </c>
      <c r="N2" s="27">
        <f>J2-L2</f>
        <v/>
      </c>
      <c r="O2" s="24" t="inlineStr">
        <is>
          <t>④ネット新規 目標</t>
        </is>
      </c>
      <c r="P2" s="27" t="n">
        <v>5</v>
      </c>
      <c r="Q2" s="24" t="inlineStr">
        <is>
          <t>④ 現在</t>
        </is>
      </c>
      <c r="R2" s="27">
        <f>$R$4</f>
        <v/>
      </c>
    </row>
    <row r="3" ht="30" customHeight="1">
      <c r="A3" s="3" t="inlineStr">
        <is>
          <t>通し番号</t>
        </is>
      </c>
      <c r="B3" s="3" t="inlineStr">
        <is>
          <t>売上種類</t>
        </is>
      </c>
      <c r="C3" s="3" t="inlineStr">
        <is>
          <t>受注日</t>
        </is>
      </c>
      <c r="D3" s="3" t="inlineStr">
        <is>
          <t>施工日付</t>
        </is>
      </c>
      <c r="E3" s="3" t="inlineStr">
        <is>
          <t>流入経路</t>
        </is>
      </c>
      <c r="F3" s="3" t="inlineStr">
        <is>
          <t>流入元の識別子(?src=)</t>
        </is>
      </c>
      <c r="G3" s="3" t="inlineStr">
        <is>
          <t>紹介者（顧客ID）</t>
        </is>
      </c>
      <c r="H3" s="3" t="inlineStr">
        <is>
          <t>氏名</t>
        </is>
      </c>
      <c r="I3" s="3" t="inlineStr">
        <is>
          <t>TEL(-無し)</t>
        </is>
      </c>
      <c r="J3" s="3" t="inlineStr">
        <is>
          <t>郵便番号(-無し)</t>
        </is>
      </c>
      <c r="K3" s="3" t="inlineStr">
        <is>
          <t>住所</t>
        </is>
      </c>
      <c r="L3" s="3" t="inlineStr">
        <is>
          <t>売上（税込）</t>
        </is>
      </c>
      <c r="M3" s="3" t="inlineStr">
        <is>
          <t>実施メニュー</t>
        </is>
      </c>
      <c r="N3" s="3" t="inlineStr">
        <is>
          <t>施工担当</t>
        </is>
      </c>
      <c r="O3" s="3" t="inlineStr">
        <is>
          <t>フォローコール日</t>
        </is>
      </c>
      <c r="P3" s="3" t="inlineStr">
        <is>
          <t>早期予約提案</t>
        </is>
      </c>
      <c r="Q3" s="3" t="inlineStr">
        <is>
          <t>フォローコール</t>
        </is>
      </c>
      <c r="R3" s="3" t="inlineStr">
        <is>
          <t>備考(お客様の声)</t>
        </is>
      </c>
      <c r="S3" s="3" t="inlineStr">
        <is>
          <t>入金経路</t>
        </is>
      </c>
      <c r="T3" s="3" t="inlineStr">
        <is>
          <t>入金額照合</t>
        </is>
      </c>
      <c r="U3" s="3" t="inlineStr">
        <is>
          <t>ＯＨ打診</t>
        </is>
      </c>
      <c r="V3" s="3" t="inlineStr">
        <is>
          <t>本舗ロイ区分</t>
        </is>
      </c>
      <c r="W3" s="3" t="inlineStr">
        <is>
          <t>お客様周辺/環境情報</t>
        </is>
      </c>
      <c r="X3" s="3" t="inlineStr">
        <is>
          <t>カウント用</t>
        </is>
      </c>
    </row>
    <row r="4" ht="20" customHeight="1">
      <c r="A4" s="28">
        <f>"▼自動集計"</f>
        <v/>
      </c>
      <c r="B4" s="29">
        <f>COUNTIFS($B$5:$B$504,"One Hitter")</f>
        <v/>
      </c>
      <c r="C4" s="30">
        <f>IFERROR(SUMPRODUCT(($C$5:$C$504&lt;&gt;"")*($D$5:$D$504&lt;&gt;"")*($D$5:$D$504-$C$5:$C$504))/SUMPRODUCT(($C$5:$C$504&lt;&gt;"")*($D$5:$D$504&lt;&gt;"")),0)</f>
        <v/>
      </c>
      <c r="D4" s="31">
        <f>COUNTIFS($B$5:$B$504,"本舗")</f>
        <v/>
      </c>
      <c r="E4" s="32">
        <f>COUNTA($D$5:$D$504)</f>
        <v/>
      </c>
      <c r="F4" s="33">
        <f>IFERROR(SUM($L$5:$L$504)/COUNTA($D$5:$D$504),0)</f>
        <v/>
      </c>
      <c r="G4" s="34">
        <f>COUNTA($G$5:$G$504)</f>
        <v/>
      </c>
      <c r="H4" s="35">
        <f>IFERROR(SUMIFS($L$5:$L$504,$B$5:$B$504,"One Hitter")/COUNTIFS($B$5:$B$504,"One Hitter"),0)</f>
        <v/>
      </c>
      <c r="I4" s="36">
        <f>IFERROR(SUMIFS($L$5:$L$504,$B$5:$B$504,"本舗")/COUNTIFS($B$5:$B$504,"本舗"),0)</f>
        <v/>
      </c>
      <c r="J4" s="37">
        <f>SUMIFS($L$5:$L$504,$B$5:$B$504,"One Hitter")</f>
        <v/>
      </c>
      <c r="K4" s="38">
        <f>SUMIFS($L$5:$L$504,$B$5:$B$504,"本舗")</f>
        <v/>
      </c>
      <c r="L4" s="39">
        <f>SUM($L$5:$L$504)</f>
        <v/>
      </c>
      <c r="M4" s="40" t="n"/>
      <c r="N4" s="40" t="n"/>
      <c r="O4" s="40" t="n"/>
      <c r="P4" s="40" t="n"/>
      <c r="Q4" s="40" t="n"/>
      <c r="R4" s="41">
        <f>COUNTIFS($E$5:$E$504,"HP")+COUNTIFS($E$5:$E$504,"LP")+COUNTIFS($E$5:$E$504,"SNS")+COUNTIFS($E$5:$E$504,"GBP(地図検索)")+COUNTIFS($E$5:$E$504,"公式LINE")+COUNTIFS($E$5:$E$504,"アフィリエイト")+COUNTIFS($E$5:$E$504,"LINE/SMS再販")+COUNTIFS($E$5:$E$504,"SMS")+COUNTIFS($E$5:$E$504,"広告")</f>
        <v/>
      </c>
      <c r="S4" s="42">
        <f>SUMIFS($L$5:$L$504,$E$5:$E$504,"HP")+SUMIFS($L$5:$L$504,$E$5:$E$504,"LP")+SUMIFS($L$5:$L$504,$E$5:$E$504,"SNS")+SUMIFS($L$5:$L$504,$E$5:$E$504,"GBP(地図検索)")+SUMIFS($L$5:$L$504,$E$5:$E$504,"公式LINE")+SUMIFS($L$5:$L$504,$E$5:$E$504,"アフィリエイト")+SUMIFS($L$5:$L$504,$E$5:$E$504,"LINE/SMS再販")+SUMIFS($L$5:$L$504,$E$5:$E$504,"SMS")+SUMIFS($L$5:$L$504,$E$5:$E$504,"広告")</f>
        <v/>
      </c>
      <c r="T4" s="40" t="n"/>
      <c r="U4" s="40" t="n"/>
      <c r="V4" s="40" t="n"/>
      <c r="W4" s="40" t="n"/>
      <c r="X4" s="40" t="n"/>
    </row>
    <row r="5">
      <c r="A5" s="43" t="n"/>
      <c r="C5" s="44" t="n"/>
      <c r="D5" s="44" t="n"/>
      <c r="L5" s="45" t="n"/>
      <c r="O5" s="44" t="n"/>
    </row>
    <row r="6">
      <c r="A6" s="43" t="n"/>
      <c r="C6" s="44" t="n"/>
      <c r="D6" s="44" t="n"/>
      <c r="L6" s="45" t="n"/>
      <c r="O6" s="44" t="n"/>
    </row>
    <row r="7">
      <c r="A7" s="43" t="n"/>
      <c r="C7" s="44" t="n"/>
      <c r="D7" s="44" t="n"/>
      <c r="L7" s="45" t="n"/>
      <c r="O7" s="44" t="n"/>
    </row>
    <row r="8">
      <c r="A8" s="43" t="n"/>
      <c r="C8" s="44" t="n"/>
      <c r="D8" s="44" t="n"/>
      <c r="L8" s="45" t="n"/>
      <c r="O8" s="44" t="n"/>
    </row>
    <row r="9">
      <c r="A9" s="43" t="n"/>
      <c r="C9" s="44" t="n"/>
      <c r="D9" s="44" t="n"/>
      <c r="L9" s="45" t="n"/>
      <c r="O9" s="44" t="n"/>
    </row>
    <row r="10">
      <c r="A10" s="43" t="n"/>
      <c r="C10" s="44" t="n"/>
      <c r="D10" s="44" t="n"/>
      <c r="L10" s="45" t="n"/>
      <c r="O10" s="44" t="n"/>
    </row>
    <row r="11">
      <c r="A11" s="43" t="n"/>
      <c r="C11" s="44" t="n"/>
      <c r="D11" s="44" t="n"/>
      <c r="L11" s="45" t="n"/>
      <c r="O11" s="44" t="n"/>
    </row>
    <row r="12">
      <c r="A12" s="43" t="n"/>
      <c r="C12" s="44" t="n"/>
      <c r="D12" s="44" t="n"/>
      <c r="L12" s="45" t="n"/>
      <c r="O12" s="44" t="n"/>
    </row>
    <row r="13">
      <c r="A13" s="43" t="n"/>
      <c r="C13" s="44" t="n"/>
      <c r="D13" s="44" t="n"/>
      <c r="L13" s="45" t="n"/>
      <c r="O13" s="44" t="n"/>
    </row>
    <row r="14">
      <c r="A14" s="43" t="n"/>
      <c r="C14" s="44" t="n"/>
      <c r="D14" s="44" t="n"/>
      <c r="L14" s="45" t="n"/>
      <c r="O14" s="44" t="n"/>
    </row>
    <row r="15">
      <c r="A15" s="43" t="n"/>
      <c r="C15" s="44" t="n"/>
      <c r="D15" s="44" t="n"/>
      <c r="L15" s="45" t="n"/>
      <c r="O15" s="44" t="n"/>
    </row>
    <row r="16">
      <c r="A16" s="43" t="n"/>
      <c r="C16" s="44" t="n"/>
      <c r="D16" s="44" t="n"/>
      <c r="L16" s="45" t="n"/>
      <c r="O16" s="44" t="n"/>
    </row>
    <row r="17">
      <c r="A17" s="43" t="n"/>
      <c r="C17" s="44" t="n"/>
      <c r="D17" s="44" t="n"/>
      <c r="L17" s="45" t="n"/>
      <c r="O17" s="44" t="n"/>
    </row>
    <row r="18">
      <c r="A18" s="43" t="n"/>
      <c r="C18" s="44" t="n"/>
      <c r="D18" s="44" t="n"/>
      <c r="L18" s="45" t="n"/>
      <c r="O18" s="44" t="n"/>
    </row>
    <row r="19">
      <c r="A19" s="43" t="n"/>
      <c r="C19" s="44" t="n"/>
      <c r="D19" s="44" t="n"/>
      <c r="L19" s="45" t="n"/>
      <c r="O19" s="44" t="n"/>
    </row>
    <row r="20">
      <c r="A20" s="43" t="n"/>
      <c r="C20" s="44" t="n"/>
      <c r="D20" s="44" t="n"/>
      <c r="L20" s="45" t="n"/>
      <c r="O20" s="44" t="n"/>
    </row>
    <row r="21">
      <c r="A21" s="43" t="n"/>
      <c r="C21" s="44" t="n"/>
      <c r="D21" s="44" t="n"/>
      <c r="L21" s="45" t="n"/>
      <c r="O21" s="44" t="n"/>
    </row>
    <row r="22">
      <c r="A22" s="43" t="n"/>
      <c r="C22" s="44" t="n"/>
      <c r="D22" s="44" t="n"/>
      <c r="L22" s="45" t="n"/>
      <c r="O22" s="44" t="n"/>
    </row>
    <row r="23">
      <c r="A23" s="43" t="n"/>
      <c r="C23" s="44" t="n"/>
      <c r="D23" s="44" t="n"/>
      <c r="L23" s="45" t="n"/>
      <c r="O23" s="44" t="n"/>
    </row>
    <row r="24">
      <c r="A24" s="43" t="n"/>
      <c r="C24" s="44" t="n"/>
      <c r="D24" s="44" t="n"/>
      <c r="L24" s="45" t="n"/>
      <c r="O24" s="44" t="n"/>
    </row>
    <row r="25">
      <c r="A25" s="43" t="n"/>
      <c r="C25" s="44" t="n"/>
      <c r="D25" s="44" t="n"/>
      <c r="L25" s="45" t="n"/>
      <c r="O25" s="44" t="n"/>
    </row>
    <row r="26">
      <c r="A26" s="43" t="n"/>
      <c r="C26" s="44" t="n"/>
      <c r="D26" s="44" t="n"/>
      <c r="L26" s="45" t="n"/>
      <c r="O26" s="44" t="n"/>
    </row>
    <row r="27">
      <c r="A27" s="43" t="n"/>
      <c r="C27" s="44" t="n"/>
      <c r="D27" s="44" t="n"/>
      <c r="L27" s="45" t="n"/>
      <c r="O27" s="44" t="n"/>
    </row>
    <row r="28">
      <c r="A28" s="43" t="n"/>
      <c r="C28" s="44" t="n"/>
      <c r="D28" s="44" t="n"/>
      <c r="L28" s="45" t="n"/>
      <c r="O28" s="44" t="n"/>
    </row>
    <row r="29">
      <c r="A29" s="43" t="n"/>
      <c r="C29" s="44" t="n"/>
      <c r="D29" s="44" t="n"/>
      <c r="L29" s="45" t="n"/>
      <c r="O29" s="44" t="n"/>
    </row>
    <row r="30">
      <c r="A30" s="43" t="n"/>
      <c r="C30" s="44" t="n"/>
      <c r="D30" s="44" t="n"/>
      <c r="L30" s="45" t="n"/>
      <c r="O30" s="44" t="n"/>
    </row>
    <row r="31">
      <c r="A31" s="43" t="n"/>
      <c r="C31" s="44" t="n"/>
      <c r="D31" s="44" t="n"/>
      <c r="L31" s="45" t="n"/>
      <c r="O31" s="44" t="n"/>
    </row>
    <row r="32">
      <c r="A32" s="43" t="n"/>
      <c r="C32" s="44" t="n"/>
      <c r="D32" s="44" t="n"/>
      <c r="L32" s="45" t="n"/>
      <c r="O32" s="44" t="n"/>
    </row>
    <row r="33">
      <c r="A33" s="43" t="n"/>
      <c r="C33" s="44" t="n"/>
      <c r="D33" s="44" t="n"/>
      <c r="L33" s="45" t="n"/>
      <c r="O33" s="44" t="n"/>
    </row>
    <row r="34">
      <c r="A34" s="43" t="n"/>
      <c r="C34" s="44" t="n"/>
      <c r="D34" s="44" t="n"/>
      <c r="L34" s="45" t="n"/>
      <c r="O34" s="44" t="n"/>
    </row>
    <row r="35">
      <c r="A35" s="43" t="n"/>
      <c r="C35" s="44" t="n"/>
      <c r="D35" s="44" t="n"/>
      <c r="L35" s="45" t="n"/>
      <c r="O35" s="44" t="n"/>
    </row>
    <row r="36">
      <c r="A36" s="43" t="n"/>
      <c r="C36" s="44" t="n"/>
      <c r="D36" s="44" t="n"/>
      <c r="L36" s="45" t="n"/>
      <c r="O36" s="44" t="n"/>
    </row>
    <row r="37">
      <c r="A37" s="43" t="n"/>
      <c r="C37" s="44" t="n"/>
      <c r="D37" s="44" t="n"/>
      <c r="L37" s="45" t="n"/>
      <c r="O37" s="44" t="n"/>
    </row>
    <row r="38">
      <c r="A38" s="43" t="n"/>
      <c r="C38" s="44" t="n"/>
      <c r="D38" s="44" t="n"/>
      <c r="L38" s="45" t="n"/>
      <c r="O38" s="44" t="n"/>
    </row>
    <row r="39">
      <c r="A39" s="43" t="n"/>
      <c r="C39" s="44" t="n"/>
      <c r="D39" s="44" t="n"/>
      <c r="L39" s="45" t="n"/>
      <c r="O39" s="44" t="n"/>
    </row>
    <row r="40">
      <c r="A40" s="43" t="n"/>
      <c r="C40" s="44" t="n"/>
      <c r="D40" s="44" t="n"/>
      <c r="L40" s="45" t="n"/>
      <c r="O40" s="44" t="n"/>
    </row>
    <row r="41">
      <c r="A41" s="43" t="n"/>
      <c r="C41" s="44" t="n"/>
      <c r="D41" s="44" t="n"/>
      <c r="L41" s="45" t="n"/>
      <c r="O41" s="44" t="n"/>
    </row>
    <row r="42">
      <c r="A42" s="43" t="n"/>
      <c r="C42" s="44" t="n"/>
      <c r="D42" s="44" t="n"/>
      <c r="L42" s="45" t="n"/>
      <c r="O42" s="44" t="n"/>
    </row>
    <row r="43">
      <c r="A43" s="43" t="n"/>
      <c r="C43" s="44" t="n"/>
      <c r="D43" s="44" t="n"/>
      <c r="L43" s="45" t="n"/>
      <c r="O43" s="44" t="n"/>
    </row>
    <row r="44">
      <c r="A44" s="43" t="n"/>
      <c r="C44" s="44" t="n"/>
      <c r="D44" s="44" t="n"/>
      <c r="L44" s="45" t="n"/>
      <c r="O44" s="44" t="n"/>
    </row>
    <row r="45">
      <c r="A45" s="43" t="n"/>
      <c r="C45" s="44" t="n"/>
      <c r="D45" s="44" t="n"/>
      <c r="L45" s="45" t="n"/>
      <c r="O45" s="44" t="n"/>
    </row>
    <row r="46">
      <c r="A46" s="43" t="n"/>
      <c r="C46" s="44" t="n"/>
      <c r="D46" s="44" t="n"/>
      <c r="L46" s="45" t="n"/>
      <c r="O46" s="44" t="n"/>
    </row>
    <row r="47">
      <c r="A47" s="43" t="n"/>
      <c r="C47" s="44" t="n"/>
      <c r="D47" s="44" t="n"/>
      <c r="L47" s="45" t="n"/>
      <c r="O47" s="44" t="n"/>
    </row>
    <row r="48">
      <c r="A48" s="43" t="n"/>
      <c r="C48" s="44" t="n"/>
      <c r="D48" s="44" t="n"/>
      <c r="L48" s="45" t="n"/>
      <c r="O48" s="44" t="n"/>
    </row>
    <row r="49">
      <c r="A49" s="43" t="n"/>
      <c r="C49" s="44" t="n"/>
      <c r="D49" s="44" t="n"/>
      <c r="L49" s="45" t="n"/>
      <c r="O49" s="44" t="n"/>
    </row>
    <row r="50">
      <c r="A50" s="43" t="n"/>
      <c r="C50" s="44" t="n"/>
      <c r="D50" s="44" t="n"/>
      <c r="L50" s="45" t="n"/>
      <c r="O50" s="44" t="n"/>
    </row>
    <row r="51">
      <c r="A51" s="43" t="n"/>
      <c r="C51" s="44" t="n"/>
      <c r="D51" s="44" t="n"/>
      <c r="L51" s="45" t="n"/>
      <c r="O51" s="44" t="n"/>
    </row>
    <row r="52">
      <c r="A52" s="43" t="n"/>
      <c r="C52" s="44" t="n"/>
      <c r="D52" s="44" t="n"/>
      <c r="L52" s="45" t="n"/>
      <c r="O52" s="44" t="n"/>
    </row>
    <row r="53">
      <c r="A53" s="43" t="n"/>
      <c r="C53" s="44" t="n"/>
      <c r="D53" s="44" t="n"/>
      <c r="L53" s="45" t="n"/>
      <c r="O53" s="44" t="n"/>
    </row>
    <row r="54">
      <c r="A54" s="43" t="n"/>
      <c r="C54" s="44" t="n"/>
      <c r="D54" s="44" t="n"/>
      <c r="L54" s="45" t="n"/>
      <c r="O54" s="44" t="n"/>
    </row>
    <row r="55">
      <c r="A55" s="43" t="n"/>
      <c r="C55" s="44" t="n"/>
      <c r="D55" s="44" t="n"/>
      <c r="L55" s="45" t="n"/>
      <c r="O55" s="44" t="n"/>
    </row>
    <row r="56">
      <c r="A56" s="43" t="n"/>
      <c r="C56" s="44" t="n"/>
      <c r="D56" s="44" t="n"/>
      <c r="L56" s="45" t="n"/>
      <c r="O56" s="44" t="n"/>
    </row>
    <row r="57">
      <c r="A57" s="43" t="n"/>
      <c r="C57" s="44" t="n"/>
      <c r="D57" s="44" t="n"/>
      <c r="L57" s="45" t="n"/>
      <c r="O57" s="44" t="n"/>
    </row>
    <row r="58">
      <c r="A58" s="43" t="n"/>
      <c r="C58" s="44" t="n"/>
      <c r="D58" s="44" t="n"/>
      <c r="L58" s="45" t="n"/>
      <c r="O58" s="44" t="n"/>
    </row>
    <row r="59">
      <c r="A59" s="43" t="n"/>
      <c r="C59" s="44" t="n"/>
      <c r="D59" s="44" t="n"/>
      <c r="L59" s="45" t="n"/>
      <c r="O59" s="44" t="n"/>
    </row>
    <row r="60">
      <c r="A60" s="43" t="n"/>
      <c r="C60" s="44" t="n"/>
      <c r="D60" s="44" t="n"/>
      <c r="L60" s="45" t="n"/>
      <c r="O60" s="44" t="n"/>
    </row>
    <row r="61">
      <c r="A61" s="43" t="n"/>
      <c r="C61" s="44" t="n"/>
      <c r="D61" s="44" t="n"/>
      <c r="L61" s="45" t="n"/>
      <c r="O61" s="44" t="n"/>
    </row>
    <row r="62">
      <c r="A62" s="43" t="n"/>
      <c r="C62" s="44" t="n"/>
      <c r="D62" s="44" t="n"/>
      <c r="L62" s="45" t="n"/>
      <c r="O62" s="44" t="n"/>
    </row>
    <row r="63">
      <c r="A63" s="43" t="n"/>
      <c r="C63" s="44" t="n"/>
      <c r="D63" s="44" t="n"/>
      <c r="L63" s="45" t="n"/>
      <c r="O63" s="44" t="n"/>
    </row>
    <row r="64">
      <c r="A64" s="43" t="n"/>
      <c r="C64" s="44" t="n"/>
      <c r="D64" s="44" t="n"/>
      <c r="L64" s="45" t="n"/>
      <c r="O64" s="44" t="n"/>
    </row>
    <row r="65">
      <c r="A65" s="43" t="n"/>
      <c r="C65" s="44" t="n"/>
      <c r="D65" s="44" t="n"/>
      <c r="L65" s="45" t="n"/>
      <c r="O65" s="44" t="n"/>
    </row>
    <row r="66">
      <c r="A66" s="43" t="n"/>
      <c r="C66" s="44" t="n"/>
      <c r="D66" s="44" t="n"/>
      <c r="L66" s="45" t="n"/>
      <c r="O66" s="44" t="n"/>
    </row>
    <row r="67">
      <c r="A67" s="43" t="n"/>
      <c r="C67" s="44" t="n"/>
      <c r="D67" s="44" t="n"/>
      <c r="L67" s="45" t="n"/>
      <c r="O67" s="44" t="n"/>
    </row>
    <row r="68">
      <c r="A68" s="43" t="n"/>
      <c r="C68" s="44" t="n"/>
      <c r="D68" s="44" t="n"/>
      <c r="L68" s="45" t="n"/>
      <c r="O68" s="44" t="n"/>
    </row>
    <row r="69">
      <c r="A69" s="43" t="n"/>
      <c r="C69" s="44" t="n"/>
      <c r="D69" s="44" t="n"/>
      <c r="L69" s="45" t="n"/>
      <c r="O69" s="44" t="n"/>
    </row>
    <row r="70">
      <c r="A70" s="43" t="n"/>
      <c r="C70" s="44" t="n"/>
      <c r="D70" s="44" t="n"/>
      <c r="L70" s="45" t="n"/>
      <c r="O70" s="44" t="n"/>
    </row>
    <row r="71">
      <c r="A71" s="43" t="n"/>
      <c r="C71" s="44" t="n"/>
      <c r="D71" s="44" t="n"/>
      <c r="L71" s="45" t="n"/>
      <c r="O71" s="44" t="n"/>
    </row>
    <row r="72">
      <c r="A72" s="43" t="n"/>
      <c r="C72" s="44" t="n"/>
      <c r="D72" s="44" t="n"/>
      <c r="L72" s="45" t="n"/>
      <c r="O72" s="44" t="n"/>
    </row>
    <row r="73">
      <c r="A73" s="43" t="n"/>
      <c r="C73" s="44" t="n"/>
      <c r="D73" s="44" t="n"/>
      <c r="L73" s="45" t="n"/>
      <c r="O73" s="44" t="n"/>
    </row>
    <row r="74">
      <c r="A74" s="43" t="n"/>
      <c r="C74" s="44" t="n"/>
      <c r="D74" s="44" t="n"/>
      <c r="L74" s="45" t="n"/>
      <c r="O74" s="44" t="n"/>
    </row>
    <row r="75">
      <c r="A75" s="43" t="n"/>
      <c r="C75" s="44" t="n"/>
      <c r="D75" s="44" t="n"/>
      <c r="L75" s="45" t="n"/>
      <c r="O75" s="44" t="n"/>
    </row>
    <row r="76">
      <c r="A76" s="43" t="n"/>
      <c r="C76" s="44" t="n"/>
      <c r="D76" s="44" t="n"/>
      <c r="L76" s="45" t="n"/>
      <c r="O76" s="44" t="n"/>
    </row>
    <row r="77">
      <c r="A77" s="43" t="n"/>
      <c r="C77" s="44" t="n"/>
      <c r="D77" s="44" t="n"/>
      <c r="L77" s="45" t="n"/>
      <c r="O77" s="44" t="n"/>
    </row>
    <row r="78">
      <c r="A78" s="43" t="n"/>
      <c r="C78" s="44" t="n"/>
      <c r="D78" s="44" t="n"/>
      <c r="L78" s="45" t="n"/>
      <c r="O78" s="44" t="n"/>
    </row>
    <row r="79">
      <c r="A79" s="43" t="n"/>
      <c r="C79" s="44" t="n"/>
      <c r="D79" s="44" t="n"/>
      <c r="L79" s="45" t="n"/>
      <c r="O79" s="44" t="n"/>
    </row>
    <row r="80">
      <c r="A80" s="43" t="n"/>
      <c r="C80" s="44" t="n"/>
      <c r="D80" s="44" t="n"/>
      <c r="L80" s="45" t="n"/>
      <c r="O80" s="44" t="n"/>
    </row>
    <row r="81">
      <c r="A81" s="43" t="n"/>
      <c r="C81" s="44" t="n"/>
      <c r="D81" s="44" t="n"/>
      <c r="L81" s="45" t="n"/>
      <c r="O81" s="44" t="n"/>
    </row>
    <row r="82">
      <c r="A82" s="43" t="n"/>
      <c r="C82" s="44" t="n"/>
      <c r="D82" s="44" t="n"/>
      <c r="L82" s="45" t="n"/>
      <c r="O82" s="44" t="n"/>
    </row>
    <row r="83">
      <c r="A83" s="43" t="n"/>
      <c r="C83" s="44" t="n"/>
      <c r="D83" s="44" t="n"/>
      <c r="L83" s="45" t="n"/>
      <c r="O83" s="44" t="n"/>
    </row>
    <row r="84">
      <c r="A84" s="43" t="n"/>
      <c r="C84" s="44" t="n"/>
      <c r="D84" s="44" t="n"/>
      <c r="L84" s="45" t="n"/>
      <c r="O84" s="44" t="n"/>
    </row>
    <row r="85">
      <c r="A85" s="43" t="n"/>
      <c r="C85" s="44" t="n"/>
      <c r="D85" s="44" t="n"/>
      <c r="L85" s="45" t="n"/>
      <c r="O85" s="44" t="n"/>
    </row>
    <row r="86">
      <c r="A86" s="43" t="n"/>
      <c r="C86" s="44" t="n"/>
      <c r="D86" s="44" t="n"/>
      <c r="L86" s="45" t="n"/>
      <c r="O86" s="44" t="n"/>
    </row>
    <row r="87">
      <c r="A87" s="43" t="n"/>
      <c r="C87" s="44" t="n"/>
      <c r="D87" s="44" t="n"/>
      <c r="L87" s="45" t="n"/>
      <c r="O87" s="44" t="n"/>
    </row>
    <row r="88">
      <c r="A88" s="43" t="n"/>
      <c r="C88" s="44" t="n"/>
      <c r="D88" s="44" t="n"/>
      <c r="L88" s="45" t="n"/>
      <c r="O88" s="44" t="n"/>
    </row>
    <row r="89">
      <c r="A89" s="43" t="n"/>
      <c r="C89" s="44" t="n"/>
      <c r="D89" s="44" t="n"/>
      <c r="L89" s="45" t="n"/>
      <c r="O89" s="44" t="n"/>
    </row>
    <row r="90">
      <c r="A90" s="43" t="n"/>
      <c r="C90" s="44" t="n"/>
      <c r="D90" s="44" t="n"/>
      <c r="L90" s="45" t="n"/>
      <c r="O90" s="44" t="n"/>
    </row>
    <row r="91">
      <c r="A91" s="43" t="n"/>
      <c r="C91" s="44" t="n"/>
      <c r="D91" s="44" t="n"/>
      <c r="L91" s="45" t="n"/>
      <c r="O91" s="44" t="n"/>
    </row>
    <row r="92">
      <c r="A92" s="43" t="n"/>
      <c r="C92" s="44" t="n"/>
      <c r="D92" s="44" t="n"/>
      <c r="L92" s="45" t="n"/>
      <c r="O92" s="44" t="n"/>
    </row>
    <row r="93">
      <c r="A93" s="43" t="n"/>
      <c r="C93" s="44" t="n"/>
      <c r="D93" s="44" t="n"/>
      <c r="L93" s="45" t="n"/>
      <c r="O93" s="44" t="n"/>
    </row>
    <row r="94">
      <c r="A94" s="43" t="n"/>
      <c r="C94" s="44" t="n"/>
      <c r="D94" s="44" t="n"/>
      <c r="L94" s="45" t="n"/>
      <c r="O94" s="44" t="n"/>
    </row>
    <row r="95">
      <c r="A95" s="43" t="n"/>
      <c r="C95" s="44" t="n"/>
      <c r="D95" s="44" t="n"/>
      <c r="L95" s="45" t="n"/>
      <c r="O95" s="44" t="n"/>
    </row>
    <row r="96">
      <c r="A96" s="43" t="n"/>
      <c r="C96" s="44" t="n"/>
      <c r="D96" s="44" t="n"/>
      <c r="L96" s="45" t="n"/>
      <c r="O96" s="44" t="n"/>
    </row>
    <row r="97">
      <c r="A97" s="43" t="n"/>
      <c r="C97" s="44" t="n"/>
      <c r="D97" s="44" t="n"/>
      <c r="L97" s="45" t="n"/>
      <c r="O97" s="44" t="n"/>
    </row>
    <row r="98">
      <c r="A98" s="43" t="n"/>
      <c r="C98" s="44" t="n"/>
      <c r="D98" s="44" t="n"/>
      <c r="L98" s="45" t="n"/>
      <c r="O98" s="44" t="n"/>
    </row>
    <row r="99">
      <c r="A99" s="43" t="n"/>
      <c r="C99" s="44" t="n"/>
      <c r="D99" s="44" t="n"/>
      <c r="L99" s="45" t="n"/>
      <c r="O99" s="44" t="n"/>
    </row>
    <row r="100">
      <c r="A100" s="43" t="n"/>
      <c r="C100" s="44" t="n"/>
      <c r="D100" s="44" t="n"/>
      <c r="L100" s="45" t="n"/>
      <c r="O100" s="44" t="n"/>
    </row>
    <row r="101">
      <c r="A101" s="43" t="n"/>
      <c r="C101" s="44" t="n"/>
      <c r="D101" s="44" t="n"/>
      <c r="L101" s="45" t="n"/>
      <c r="O101" s="44" t="n"/>
    </row>
    <row r="102">
      <c r="A102" s="43" t="n"/>
      <c r="C102" s="44" t="n"/>
      <c r="D102" s="44" t="n"/>
      <c r="L102" s="45" t="n"/>
      <c r="O102" s="44" t="n"/>
    </row>
    <row r="103">
      <c r="A103" s="43" t="n"/>
      <c r="C103" s="44" t="n"/>
      <c r="D103" s="44" t="n"/>
      <c r="L103" s="45" t="n"/>
      <c r="O103" s="44" t="n"/>
    </row>
    <row r="104">
      <c r="A104" s="43" t="n"/>
      <c r="C104" s="44" t="n"/>
      <c r="D104" s="44" t="n"/>
      <c r="L104" s="45" t="n"/>
      <c r="O104" s="44" t="n"/>
    </row>
    <row r="105">
      <c r="A105" s="43" t="n"/>
      <c r="C105" s="44" t="n"/>
      <c r="D105" s="44" t="n"/>
      <c r="L105" s="45" t="n"/>
      <c r="O105" s="44" t="n"/>
    </row>
    <row r="106">
      <c r="A106" s="43" t="n"/>
      <c r="C106" s="44" t="n"/>
      <c r="D106" s="44" t="n"/>
      <c r="L106" s="45" t="n"/>
      <c r="O106" s="44" t="n"/>
    </row>
    <row r="107">
      <c r="A107" s="43" t="n"/>
      <c r="C107" s="44" t="n"/>
      <c r="D107" s="44" t="n"/>
      <c r="L107" s="45" t="n"/>
      <c r="O107" s="44" t="n"/>
    </row>
    <row r="108">
      <c r="A108" s="43" t="n"/>
      <c r="C108" s="44" t="n"/>
      <c r="D108" s="44" t="n"/>
      <c r="L108" s="45" t="n"/>
      <c r="O108" s="44" t="n"/>
    </row>
    <row r="109">
      <c r="A109" s="43" t="n"/>
      <c r="C109" s="44" t="n"/>
      <c r="D109" s="44" t="n"/>
      <c r="L109" s="45" t="n"/>
      <c r="O109" s="44" t="n"/>
    </row>
    <row r="110">
      <c r="A110" s="43" t="n"/>
      <c r="C110" s="44" t="n"/>
      <c r="D110" s="44" t="n"/>
      <c r="L110" s="45" t="n"/>
      <c r="O110" s="44" t="n"/>
    </row>
    <row r="111">
      <c r="A111" s="43" t="n"/>
      <c r="C111" s="44" t="n"/>
      <c r="D111" s="44" t="n"/>
      <c r="L111" s="45" t="n"/>
      <c r="O111" s="44" t="n"/>
    </row>
    <row r="112">
      <c r="A112" s="43" t="n"/>
      <c r="C112" s="44" t="n"/>
      <c r="D112" s="44" t="n"/>
      <c r="L112" s="45" t="n"/>
      <c r="O112" s="44" t="n"/>
    </row>
    <row r="113">
      <c r="A113" s="43" t="n"/>
      <c r="C113" s="44" t="n"/>
      <c r="D113" s="44" t="n"/>
      <c r="L113" s="45" t="n"/>
      <c r="O113" s="44" t="n"/>
    </row>
    <row r="114">
      <c r="A114" s="43" t="n"/>
      <c r="C114" s="44" t="n"/>
      <c r="D114" s="44" t="n"/>
      <c r="L114" s="45" t="n"/>
      <c r="O114" s="44" t="n"/>
    </row>
    <row r="115">
      <c r="A115" s="43" t="n"/>
      <c r="C115" s="44" t="n"/>
      <c r="D115" s="44" t="n"/>
      <c r="L115" s="45" t="n"/>
      <c r="O115" s="44" t="n"/>
    </row>
    <row r="116">
      <c r="A116" s="43" t="n"/>
      <c r="C116" s="44" t="n"/>
      <c r="D116" s="44" t="n"/>
      <c r="L116" s="45" t="n"/>
      <c r="O116" s="44" t="n"/>
    </row>
    <row r="117">
      <c r="A117" s="43" t="n"/>
      <c r="C117" s="44" t="n"/>
      <c r="D117" s="44" t="n"/>
      <c r="L117" s="45" t="n"/>
      <c r="O117" s="44" t="n"/>
    </row>
    <row r="118">
      <c r="A118" s="43" t="n"/>
      <c r="C118" s="44" t="n"/>
      <c r="D118" s="44" t="n"/>
      <c r="L118" s="45" t="n"/>
      <c r="O118" s="44" t="n"/>
    </row>
    <row r="119">
      <c r="A119" s="43" t="n"/>
      <c r="C119" s="44" t="n"/>
      <c r="D119" s="44" t="n"/>
      <c r="L119" s="45" t="n"/>
      <c r="O119" s="44" t="n"/>
    </row>
    <row r="120">
      <c r="A120" s="43" t="n"/>
      <c r="C120" s="44" t="n"/>
      <c r="D120" s="44" t="n"/>
      <c r="L120" s="45" t="n"/>
      <c r="O120" s="44" t="n"/>
    </row>
    <row r="121">
      <c r="A121" s="43" t="n"/>
      <c r="C121" s="44" t="n"/>
      <c r="D121" s="44" t="n"/>
      <c r="L121" s="45" t="n"/>
      <c r="O121" s="44" t="n"/>
    </row>
    <row r="122">
      <c r="A122" s="43" t="n"/>
      <c r="C122" s="44" t="n"/>
      <c r="D122" s="44" t="n"/>
      <c r="L122" s="45" t="n"/>
      <c r="O122" s="44" t="n"/>
    </row>
    <row r="123">
      <c r="A123" s="43" t="n"/>
      <c r="C123" s="44" t="n"/>
      <c r="D123" s="44" t="n"/>
      <c r="L123" s="45" t="n"/>
      <c r="O123" s="44" t="n"/>
    </row>
    <row r="124">
      <c r="A124" s="43" t="n"/>
      <c r="C124" s="44" t="n"/>
      <c r="D124" s="44" t="n"/>
      <c r="L124" s="45" t="n"/>
      <c r="O124" s="44" t="n"/>
    </row>
    <row r="125">
      <c r="A125" s="43" t="n"/>
      <c r="C125" s="44" t="n"/>
      <c r="D125" s="44" t="n"/>
      <c r="L125" s="45" t="n"/>
      <c r="O125" s="44" t="n"/>
    </row>
    <row r="126">
      <c r="A126" s="43" t="n"/>
      <c r="C126" s="44" t="n"/>
      <c r="D126" s="44" t="n"/>
      <c r="L126" s="45" t="n"/>
      <c r="O126" s="44" t="n"/>
    </row>
    <row r="127">
      <c r="A127" s="43" t="n"/>
      <c r="C127" s="44" t="n"/>
      <c r="D127" s="44" t="n"/>
      <c r="L127" s="45" t="n"/>
      <c r="O127" s="44" t="n"/>
    </row>
    <row r="128">
      <c r="A128" s="43" t="n"/>
      <c r="C128" s="44" t="n"/>
      <c r="D128" s="44" t="n"/>
      <c r="L128" s="45" t="n"/>
      <c r="O128" s="44" t="n"/>
    </row>
    <row r="129">
      <c r="A129" s="43" t="n"/>
      <c r="C129" s="44" t="n"/>
      <c r="D129" s="44" t="n"/>
      <c r="L129" s="45" t="n"/>
      <c r="O129" s="44" t="n"/>
    </row>
    <row r="130">
      <c r="A130" s="43" t="n"/>
      <c r="C130" s="44" t="n"/>
      <c r="D130" s="44" t="n"/>
      <c r="L130" s="45" t="n"/>
      <c r="O130" s="44" t="n"/>
    </row>
    <row r="131">
      <c r="A131" s="43" t="n"/>
      <c r="C131" s="44" t="n"/>
      <c r="D131" s="44" t="n"/>
      <c r="L131" s="45" t="n"/>
      <c r="O131" s="44" t="n"/>
    </row>
    <row r="132">
      <c r="A132" s="43" t="n"/>
      <c r="C132" s="44" t="n"/>
      <c r="D132" s="44" t="n"/>
      <c r="L132" s="45" t="n"/>
      <c r="O132" s="44" t="n"/>
    </row>
    <row r="133">
      <c r="A133" s="43" t="n"/>
      <c r="C133" s="44" t="n"/>
      <c r="D133" s="44" t="n"/>
      <c r="L133" s="45" t="n"/>
      <c r="O133" s="44" t="n"/>
    </row>
    <row r="134">
      <c r="A134" s="43" t="n"/>
      <c r="C134" s="44" t="n"/>
      <c r="D134" s="44" t="n"/>
      <c r="L134" s="45" t="n"/>
      <c r="O134" s="44" t="n"/>
    </row>
    <row r="135">
      <c r="A135" s="43" t="n"/>
      <c r="C135" s="44" t="n"/>
      <c r="D135" s="44" t="n"/>
      <c r="L135" s="45" t="n"/>
      <c r="O135" s="44" t="n"/>
    </row>
    <row r="136">
      <c r="A136" s="43" t="n"/>
      <c r="C136" s="44" t="n"/>
      <c r="D136" s="44" t="n"/>
      <c r="L136" s="45" t="n"/>
      <c r="O136" s="44" t="n"/>
    </row>
    <row r="137">
      <c r="A137" s="43" t="n"/>
      <c r="C137" s="44" t="n"/>
      <c r="D137" s="44" t="n"/>
      <c r="L137" s="45" t="n"/>
      <c r="O137" s="44" t="n"/>
    </row>
    <row r="138">
      <c r="A138" s="43" t="n"/>
      <c r="C138" s="44" t="n"/>
      <c r="D138" s="44" t="n"/>
      <c r="L138" s="45" t="n"/>
      <c r="O138" s="44" t="n"/>
    </row>
    <row r="139">
      <c r="A139" s="43" t="n"/>
      <c r="C139" s="44" t="n"/>
      <c r="D139" s="44" t="n"/>
      <c r="L139" s="45" t="n"/>
      <c r="O139" s="44" t="n"/>
    </row>
    <row r="140">
      <c r="A140" s="43" t="n"/>
      <c r="C140" s="44" t="n"/>
      <c r="D140" s="44" t="n"/>
      <c r="L140" s="45" t="n"/>
      <c r="O140" s="44" t="n"/>
    </row>
    <row r="141">
      <c r="A141" s="43" t="n"/>
      <c r="C141" s="44" t="n"/>
      <c r="D141" s="44" t="n"/>
      <c r="L141" s="45" t="n"/>
      <c r="O141" s="44" t="n"/>
    </row>
    <row r="142">
      <c r="A142" s="43" t="n"/>
      <c r="C142" s="44" t="n"/>
      <c r="D142" s="44" t="n"/>
      <c r="L142" s="45" t="n"/>
      <c r="O142" s="44" t="n"/>
    </row>
    <row r="143">
      <c r="A143" s="43" t="n"/>
      <c r="C143" s="44" t="n"/>
      <c r="D143" s="44" t="n"/>
      <c r="L143" s="45" t="n"/>
      <c r="O143" s="44" t="n"/>
    </row>
    <row r="144">
      <c r="A144" s="43" t="n"/>
      <c r="C144" s="44" t="n"/>
      <c r="D144" s="44" t="n"/>
      <c r="L144" s="45" t="n"/>
      <c r="O144" s="44" t="n"/>
    </row>
    <row r="145">
      <c r="A145" s="43" t="n"/>
      <c r="C145" s="44" t="n"/>
      <c r="D145" s="44" t="n"/>
      <c r="L145" s="45" t="n"/>
      <c r="O145" s="44" t="n"/>
    </row>
    <row r="146">
      <c r="A146" s="43" t="n"/>
      <c r="C146" s="44" t="n"/>
      <c r="D146" s="44" t="n"/>
      <c r="L146" s="45" t="n"/>
      <c r="O146" s="44" t="n"/>
    </row>
    <row r="147">
      <c r="A147" s="43" t="n"/>
      <c r="C147" s="44" t="n"/>
      <c r="D147" s="44" t="n"/>
      <c r="L147" s="45" t="n"/>
      <c r="O147" s="44" t="n"/>
    </row>
    <row r="148">
      <c r="A148" s="43" t="n"/>
      <c r="C148" s="44" t="n"/>
      <c r="D148" s="44" t="n"/>
      <c r="L148" s="45" t="n"/>
      <c r="O148" s="44" t="n"/>
    </row>
    <row r="149">
      <c r="A149" s="43" t="n"/>
      <c r="C149" s="44" t="n"/>
      <c r="D149" s="44" t="n"/>
      <c r="L149" s="45" t="n"/>
      <c r="O149" s="44" t="n"/>
    </row>
    <row r="150">
      <c r="A150" s="43" t="n"/>
      <c r="C150" s="44" t="n"/>
      <c r="D150" s="44" t="n"/>
      <c r="L150" s="45" t="n"/>
      <c r="O150" s="44" t="n"/>
    </row>
    <row r="151">
      <c r="A151" s="43" t="n"/>
      <c r="C151" s="44" t="n"/>
      <c r="D151" s="44" t="n"/>
      <c r="L151" s="45" t="n"/>
      <c r="O151" s="44" t="n"/>
    </row>
    <row r="152">
      <c r="A152" s="43" t="n"/>
      <c r="C152" s="44" t="n"/>
      <c r="D152" s="44" t="n"/>
      <c r="L152" s="45" t="n"/>
      <c r="O152" s="44" t="n"/>
    </row>
    <row r="153">
      <c r="A153" s="43" t="n"/>
      <c r="C153" s="44" t="n"/>
      <c r="D153" s="44" t="n"/>
      <c r="L153" s="45" t="n"/>
      <c r="O153" s="44" t="n"/>
    </row>
    <row r="154">
      <c r="A154" s="43" t="n"/>
      <c r="C154" s="44" t="n"/>
      <c r="D154" s="44" t="n"/>
      <c r="L154" s="45" t="n"/>
      <c r="O154" s="44" t="n"/>
    </row>
    <row r="155">
      <c r="A155" s="43" t="n"/>
      <c r="C155" s="44" t="n"/>
      <c r="D155" s="44" t="n"/>
      <c r="L155" s="45" t="n"/>
      <c r="O155" s="44" t="n"/>
    </row>
    <row r="156">
      <c r="A156" s="43" t="n"/>
      <c r="C156" s="44" t="n"/>
      <c r="D156" s="44" t="n"/>
      <c r="L156" s="45" t="n"/>
      <c r="O156" s="44" t="n"/>
    </row>
    <row r="157">
      <c r="A157" s="43" t="n"/>
      <c r="C157" s="44" t="n"/>
      <c r="D157" s="44" t="n"/>
      <c r="L157" s="45" t="n"/>
      <c r="O157" s="44" t="n"/>
    </row>
    <row r="158">
      <c r="A158" s="43" t="n"/>
      <c r="C158" s="44" t="n"/>
      <c r="D158" s="44" t="n"/>
      <c r="L158" s="45" t="n"/>
      <c r="O158" s="44" t="n"/>
    </row>
    <row r="159">
      <c r="A159" s="43" t="n"/>
      <c r="C159" s="44" t="n"/>
      <c r="D159" s="44" t="n"/>
      <c r="L159" s="45" t="n"/>
      <c r="O159" s="44" t="n"/>
    </row>
    <row r="160">
      <c r="A160" s="43" t="n"/>
      <c r="C160" s="44" t="n"/>
      <c r="D160" s="44" t="n"/>
      <c r="L160" s="45" t="n"/>
      <c r="O160" s="44" t="n"/>
    </row>
    <row r="161">
      <c r="A161" s="43" t="n"/>
      <c r="C161" s="44" t="n"/>
      <c r="D161" s="44" t="n"/>
      <c r="L161" s="45" t="n"/>
      <c r="O161" s="44" t="n"/>
    </row>
    <row r="162">
      <c r="A162" s="43" t="n"/>
      <c r="C162" s="44" t="n"/>
      <c r="D162" s="44" t="n"/>
      <c r="L162" s="45" t="n"/>
      <c r="O162" s="44" t="n"/>
    </row>
    <row r="163">
      <c r="A163" s="43" t="n"/>
      <c r="C163" s="44" t="n"/>
      <c r="D163" s="44" t="n"/>
      <c r="L163" s="45" t="n"/>
      <c r="O163" s="44" t="n"/>
    </row>
    <row r="164">
      <c r="A164" s="43" t="n"/>
      <c r="C164" s="44" t="n"/>
      <c r="D164" s="44" t="n"/>
      <c r="L164" s="45" t="n"/>
      <c r="O164" s="44" t="n"/>
    </row>
    <row r="165">
      <c r="A165" s="43" t="n"/>
      <c r="C165" s="44" t="n"/>
      <c r="D165" s="44" t="n"/>
      <c r="L165" s="45" t="n"/>
      <c r="O165" s="44" t="n"/>
    </row>
    <row r="166">
      <c r="A166" s="43" t="n"/>
      <c r="C166" s="44" t="n"/>
      <c r="D166" s="44" t="n"/>
      <c r="L166" s="45" t="n"/>
      <c r="O166" s="44" t="n"/>
    </row>
    <row r="167">
      <c r="A167" s="43" t="n"/>
      <c r="C167" s="44" t="n"/>
      <c r="D167" s="44" t="n"/>
      <c r="L167" s="45" t="n"/>
      <c r="O167" s="44" t="n"/>
    </row>
    <row r="168">
      <c r="A168" s="43" t="n"/>
      <c r="C168" s="44" t="n"/>
      <c r="D168" s="44" t="n"/>
      <c r="L168" s="45" t="n"/>
      <c r="O168" s="44" t="n"/>
    </row>
    <row r="169">
      <c r="A169" s="43" t="n"/>
      <c r="C169" s="44" t="n"/>
      <c r="D169" s="44" t="n"/>
      <c r="L169" s="45" t="n"/>
      <c r="O169" s="44" t="n"/>
    </row>
    <row r="170">
      <c r="A170" s="43" t="n"/>
      <c r="C170" s="44" t="n"/>
      <c r="D170" s="44" t="n"/>
      <c r="L170" s="45" t="n"/>
      <c r="O170" s="44" t="n"/>
    </row>
    <row r="171">
      <c r="A171" s="43" t="n"/>
      <c r="C171" s="44" t="n"/>
      <c r="D171" s="44" t="n"/>
      <c r="L171" s="45" t="n"/>
      <c r="O171" s="44" t="n"/>
    </row>
    <row r="172">
      <c r="A172" s="43" t="n"/>
      <c r="C172" s="44" t="n"/>
      <c r="D172" s="44" t="n"/>
      <c r="L172" s="45" t="n"/>
      <c r="O172" s="44" t="n"/>
    </row>
    <row r="173">
      <c r="A173" s="43" t="n"/>
      <c r="C173" s="44" t="n"/>
      <c r="D173" s="44" t="n"/>
      <c r="L173" s="45" t="n"/>
      <c r="O173" s="44" t="n"/>
    </row>
    <row r="174">
      <c r="A174" s="43" t="n"/>
      <c r="C174" s="44" t="n"/>
      <c r="D174" s="44" t="n"/>
      <c r="L174" s="45" t="n"/>
      <c r="O174" s="44" t="n"/>
    </row>
    <row r="175">
      <c r="A175" s="43" t="n"/>
      <c r="C175" s="44" t="n"/>
      <c r="D175" s="44" t="n"/>
      <c r="L175" s="45" t="n"/>
      <c r="O175" s="44" t="n"/>
    </row>
    <row r="176">
      <c r="A176" s="43" t="n"/>
      <c r="C176" s="44" t="n"/>
      <c r="D176" s="44" t="n"/>
      <c r="L176" s="45" t="n"/>
      <c r="O176" s="44" t="n"/>
    </row>
    <row r="177">
      <c r="A177" s="43" t="n"/>
      <c r="C177" s="44" t="n"/>
      <c r="D177" s="44" t="n"/>
      <c r="L177" s="45" t="n"/>
      <c r="O177" s="44" t="n"/>
    </row>
    <row r="178">
      <c r="A178" s="43" t="n"/>
      <c r="C178" s="44" t="n"/>
      <c r="D178" s="44" t="n"/>
      <c r="L178" s="45" t="n"/>
      <c r="O178" s="44" t="n"/>
    </row>
    <row r="179">
      <c r="A179" s="43" t="n"/>
      <c r="C179" s="44" t="n"/>
      <c r="D179" s="44" t="n"/>
      <c r="L179" s="45" t="n"/>
      <c r="O179" s="44" t="n"/>
    </row>
    <row r="180">
      <c r="A180" s="43" t="n"/>
      <c r="C180" s="44" t="n"/>
      <c r="D180" s="44" t="n"/>
      <c r="L180" s="45" t="n"/>
      <c r="O180" s="44" t="n"/>
    </row>
    <row r="181">
      <c r="A181" s="43" t="n"/>
      <c r="C181" s="44" t="n"/>
      <c r="D181" s="44" t="n"/>
      <c r="L181" s="45" t="n"/>
      <c r="O181" s="44" t="n"/>
    </row>
    <row r="182">
      <c r="A182" s="43" t="n"/>
      <c r="C182" s="44" t="n"/>
      <c r="D182" s="44" t="n"/>
      <c r="L182" s="45" t="n"/>
      <c r="O182" s="44" t="n"/>
    </row>
    <row r="183">
      <c r="A183" s="43" t="n"/>
      <c r="C183" s="44" t="n"/>
      <c r="D183" s="44" t="n"/>
      <c r="L183" s="45" t="n"/>
      <c r="O183" s="44" t="n"/>
    </row>
    <row r="184">
      <c r="A184" s="43" t="n"/>
      <c r="C184" s="44" t="n"/>
      <c r="D184" s="44" t="n"/>
      <c r="L184" s="45" t="n"/>
      <c r="O184" s="44" t="n"/>
    </row>
    <row r="185">
      <c r="A185" s="43" t="n"/>
      <c r="C185" s="44" t="n"/>
      <c r="D185" s="44" t="n"/>
      <c r="L185" s="45" t="n"/>
      <c r="O185" s="44" t="n"/>
    </row>
    <row r="186">
      <c r="A186" s="43" t="n"/>
      <c r="C186" s="44" t="n"/>
      <c r="D186" s="44" t="n"/>
      <c r="L186" s="45" t="n"/>
      <c r="O186" s="44" t="n"/>
    </row>
    <row r="187">
      <c r="A187" s="43" t="n"/>
      <c r="C187" s="44" t="n"/>
      <c r="D187" s="44" t="n"/>
      <c r="L187" s="45" t="n"/>
      <c r="O187" s="44" t="n"/>
    </row>
    <row r="188">
      <c r="A188" s="43" t="n"/>
      <c r="C188" s="44" t="n"/>
      <c r="D188" s="44" t="n"/>
      <c r="L188" s="45" t="n"/>
      <c r="O188" s="44" t="n"/>
    </row>
    <row r="189">
      <c r="A189" s="43" t="n"/>
      <c r="C189" s="44" t="n"/>
      <c r="D189" s="44" t="n"/>
      <c r="L189" s="45" t="n"/>
      <c r="O189" s="44" t="n"/>
    </row>
    <row r="190">
      <c r="A190" s="43" t="n"/>
      <c r="C190" s="44" t="n"/>
      <c r="D190" s="44" t="n"/>
      <c r="L190" s="45" t="n"/>
      <c r="O190" s="44" t="n"/>
    </row>
    <row r="191">
      <c r="A191" s="43" t="n"/>
      <c r="C191" s="44" t="n"/>
      <c r="D191" s="44" t="n"/>
      <c r="L191" s="45" t="n"/>
      <c r="O191" s="44" t="n"/>
    </row>
    <row r="192">
      <c r="A192" s="43" t="n"/>
      <c r="C192" s="44" t="n"/>
      <c r="D192" s="44" t="n"/>
      <c r="L192" s="45" t="n"/>
      <c r="O192" s="44" t="n"/>
    </row>
    <row r="193">
      <c r="A193" s="43" t="n"/>
      <c r="C193" s="44" t="n"/>
      <c r="D193" s="44" t="n"/>
      <c r="L193" s="45" t="n"/>
      <c r="O193" s="44" t="n"/>
    </row>
    <row r="194">
      <c r="A194" s="43" t="n"/>
      <c r="C194" s="44" t="n"/>
      <c r="D194" s="44" t="n"/>
      <c r="L194" s="45" t="n"/>
      <c r="O194" s="44" t="n"/>
    </row>
    <row r="195">
      <c r="A195" s="43" t="n"/>
      <c r="C195" s="44" t="n"/>
      <c r="D195" s="44" t="n"/>
      <c r="L195" s="45" t="n"/>
      <c r="O195" s="44" t="n"/>
    </row>
    <row r="196">
      <c r="A196" s="43" t="n"/>
      <c r="C196" s="44" t="n"/>
      <c r="D196" s="44" t="n"/>
      <c r="L196" s="45" t="n"/>
      <c r="O196" s="44" t="n"/>
    </row>
    <row r="197">
      <c r="A197" s="43" t="n"/>
      <c r="C197" s="44" t="n"/>
      <c r="D197" s="44" t="n"/>
      <c r="L197" s="45" t="n"/>
      <c r="O197" s="44" t="n"/>
    </row>
    <row r="198">
      <c r="A198" s="43" t="n"/>
      <c r="C198" s="44" t="n"/>
      <c r="D198" s="44" t="n"/>
      <c r="L198" s="45" t="n"/>
      <c r="O198" s="44" t="n"/>
    </row>
    <row r="199">
      <c r="A199" s="43" t="n"/>
      <c r="C199" s="44" t="n"/>
      <c r="D199" s="44" t="n"/>
      <c r="L199" s="45" t="n"/>
      <c r="O199" s="44" t="n"/>
    </row>
    <row r="200">
      <c r="A200" s="43" t="n"/>
      <c r="C200" s="44" t="n"/>
      <c r="D200" s="44" t="n"/>
      <c r="L200" s="45" t="n"/>
      <c r="O200" s="44" t="n"/>
    </row>
    <row r="201">
      <c r="A201" s="43" t="n"/>
      <c r="C201" s="44" t="n"/>
      <c r="D201" s="44" t="n"/>
      <c r="L201" s="45" t="n"/>
      <c r="O201" s="44" t="n"/>
    </row>
    <row r="202">
      <c r="A202" s="43" t="n"/>
      <c r="C202" s="44" t="n"/>
      <c r="D202" s="44" t="n"/>
      <c r="L202" s="45" t="n"/>
      <c r="O202" s="44" t="n"/>
    </row>
    <row r="203">
      <c r="A203" s="43" t="n"/>
      <c r="C203" s="44" t="n"/>
      <c r="D203" s="44" t="n"/>
      <c r="L203" s="45" t="n"/>
      <c r="O203" s="44" t="n"/>
    </row>
    <row r="204">
      <c r="A204" s="43" t="n"/>
      <c r="C204" s="44" t="n"/>
      <c r="D204" s="44" t="n"/>
      <c r="L204" s="45" t="n"/>
      <c r="O204" s="44" t="n"/>
    </row>
    <row r="205">
      <c r="A205" s="43" t="n"/>
      <c r="C205" s="44" t="n"/>
      <c r="D205" s="44" t="n"/>
      <c r="L205" s="45" t="n"/>
      <c r="O205" s="44" t="n"/>
    </row>
    <row r="206">
      <c r="A206" s="43" t="n"/>
      <c r="C206" s="44" t="n"/>
      <c r="D206" s="44" t="n"/>
      <c r="L206" s="45" t="n"/>
      <c r="O206" s="44" t="n"/>
    </row>
    <row r="207">
      <c r="A207" s="43" t="n"/>
      <c r="C207" s="44" t="n"/>
      <c r="D207" s="44" t="n"/>
      <c r="L207" s="45" t="n"/>
      <c r="O207" s="44" t="n"/>
    </row>
    <row r="208">
      <c r="A208" s="43" t="n"/>
      <c r="C208" s="44" t="n"/>
      <c r="D208" s="44" t="n"/>
      <c r="L208" s="45" t="n"/>
      <c r="O208" s="44" t="n"/>
    </row>
    <row r="209">
      <c r="A209" s="43" t="n"/>
      <c r="C209" s="44" t="n"/>
      <c r="D209" s="44" t="n"/>
      <c r="L209" s="45" t="n"/>
      <c r="O209" s="44" t="n"/>
    </row>
    <row r="210">
      <c r="A210" s="43" t="n"/>
      <c r="C210" s="44" t="n"/>
      <c r="D210" s="44" t="n"/>
      <c r="L210" s="45" t="n"/>
      <c r="O210" s="44" t="n"/>
    </row>
    <row r="211">
      <c r="A211" s="43" t="n"/>
      <c r="C211" s="44" t="n"/>
      <c r="D211" s="44" t="n"/>
      <c r="L211" s="45" t="n"/>
      <c r="O211" s="44" t="n"/>
    </row>
    <row r="212">
      <c r="A212" s="43" t="n"/>
      <c r="C212" s="44" t="n"/>
      <c r="D212" s="44" t="n"/>
      <c r="L212" s="45" t="n"/>
      <c r="O212" s="44" t="n"/>
    </row>
    <row r="213">
      <c r="A213" s="43" t="n"/>
      <c r="C213" s="44" t="n"/>
      <c r="D213" s="44" t="n"/>
      <c r="L213" s="45" t="n"/>
      <c r="O213" s="44" t="n"/>
    </row>
    <row r="214">
      <c r="A214" s="43" t="n"/>
      <c r="C214" s="44" t="n"/>
      <c r="D214" s="44" t="n"/>
      <c r="L214" s="45" t="n"/>
      <c r="O214" s="44" t="n"/>
    </row>
    <row r="215">
      <c r="A215" s="43" t="n"/>
      <c r="C215" s="44" t="n"/>
      <c r="D215" s="44" t="n"/>
      <c r="L215" s="45" t="n"/>
      <c r="O215" s="44" t="n"/>
    </row>
    <row r="216">
      <c r="A216" s="43" t="n"/>
      <c r="C216" s="44" t="n"/>
      <c r="D216" s="44" t="n"/>
      <c r="L216" s="45" t="n"/>
      <c r="O216" s="44" t="n"/>
    </row>
    <row r="217">
      <c r="A217" s="43" t="n"/>
      <c r="C217" s="44" t="n"/>
      <c r="D217" s="44" t="n"/>
      <c r="L217" s="45" t="n"/>
      <c r="O217" s="44" t="n"/>
    </row>
    <row r="218">
      <c r="A218" s="43" t="n"/>
      <c r="C218" s="44" t="n"/>
      <c r="D218" s="44" t="n"/>
      <c r="L218" s="45" t="n"/>
      <c r="O218" s="44" t="n"/>
    </row>
    <row r="219">
      <c r="A219" s="43" t="n"/>
      <c r="C219" s="44" t="n"/>
      <c r="D219" s="44" t="n"/>
      <c r="L219" s="45" t="n"/>
      <c r="O219" s="44" t="n"/>
    </row>
    <row r="220">
      <c r="A220" s="43" t="n"/>
      <c r="C220" s="44" t="n"/>
      <c r="D220" s="44" t="n"/>
      <c r="L220" s="45" t="n"/>
      <c r="O220" s="44" t="n"/>
    </row>
    <row r="221">
      <c r="A221" s="43" t="n"/>
      <c r="C221" s="44" t="n"/>
      <c r="D221" s="44" t="n"/>
      <c r="L221" s="45" t="n"/>
      <c r="O221" s="44" t="n"/>
    </row>
    <row r="222">
      <c r="A222" s="43" t="n"/>
      <c r="C222" s="44" t="n"/>
      <c r="D222" s="44" t="n"/>
      <c r="L222" s="45" t="n"/>
      <c r="O222" s="44" t="n"/>
    </row>
    <row r="223">
      <c r="A223" s="43" t="n"/>
      <c r="C223" s="44" t="n"/>
      <c r="D223" s="44" t="n"/>
      <c r="L223" s="45" t="n"/>
      <c r="O223" s="44" t="n"/>
    </row>
    <row r="224">
      <c r="A224" s="43" t="n"/>
      <c r="C224" s="44" t="n"/>
      <c r="D224" s="44" t="n"/>
      <c r="L224" s="45" t="n"/>
      <c r="O224" s="44" t="n"/>
    </row>
    <row r="225">
      <c r="A225" s="43" t="n"/>
      <c r="C225" s="44" t="n"/>
      <c r="D225" s="44" t="n"/>
      <c r="L225" s="45" t="n"/>
      <c r="O225" s="44" t="n"/>
    </row>
    <row r="226">
      <c r="A226" s="43" t="n"/>
      <c r="C226" s="44" t="n"/>
      <c r="D226" s="44" t="n"/>
      <c r="L226" s="45" t="n"/>
      <c r="O226" s="44" t="n"/>
    </row>
    <row r="227">
      <c r="A227" s="43" t="n"/>
      <c r="C227" s="44" t="n"/>
      <c r="D227" s="44" t="n"/>
      <c r="L227" s="45" t="n"/>
      <c r="O227" s="44" t="n"/>
    </row>
    <row r="228">
      <c r="A228" s="43" t="n"/>
      <c r="C228" s="44" t="n"/>
      <c r="D228" s="44" t="n"/>
      <c r="L228" s="45" t="n"/>
      <c r="O228" s="44" t="n"/>
    </row>
    <row r="229">
      <c r="A229" s="43" t="n"/>
      <c r="C229" s="44" t="n"/>
      <c r="D229" s="44" t="n"/>
      <c r="L229" s="45" t="n"/>
      <c r="O229" s="44" t="n"/>
    </row>
    <row r="230">
      <c r="A230" s="43" t="n"/>
      <c r="C230" s="44" t="n"/>
      <c r="D230" s="44" t="n"/>
      <c r="L230" s="45" t="n"/>
      <c r="O230" s="44" t="n"/>
    </row>
    <row r="231">
      <c r="A231" s="43" t="n"/>
      <c r="C231" s="44" t="n"/>
      <c r="D231" s="44" t="n"/>
      <c r="L231" s="45" t="n"/>
      <c r="O231" s="44" t="n"/>
    </row>
    <row r="232">
      <c r="A232" s="43" t="n"/>
      <c r="C232" s="44" t="n"/>
      <c r="D232" s="44" t="n"/>
      <c r="L232" s="45" t="n"/>
      <c r="O232" s="44" t="n"/>
    </row>
    <row r="233">
      <c r="A233" s="43" t="n"/>
      <c r="C233" s="44" t="n"/>
      <c r="D233" s="44" t="n"/>
      <c r="L233" s="45" t="n"/>
      <c r="O233" s="44" t="n"/>
    </row>
    <row r="234">
      <c r="A234" s="43" t="n"/>
      <c r="C234" s="44" t="n"/>
      <c r="D234" s="44" t="n"/>
      <c r="L234" s="45" t="n"/>
      <c r="O234" s="44" t="n"/>
    </row>
    <row r="235">
      <c r="A235" s="43" t="n"/>
      <c r="C235" s="44" t="n"/>
      <c r="D235" s="44" t="n"/>
      <c r="L235" s="45" t="n"/>
      <c r="O235" s="44" t="n"/>
    </row>
    <row r="236">
      <c r="A236" s="43" t="n"/>
      <c r="C236" s="44" t="n"/>
      <c r="D236" s="44" t="n"/>
      <c r="L236" s="45" t="n"/>
      <c r="O236" s="44" t="n"/>
    </row>
    <row r="237">
      <c r="A237" s="43" t="n"/>
      <c r="C237" s="44" t="n"/>
      <c r="D237" s="44" t="n"/>
      <c r="L237" s="45" t="n"/>
      <c r="O237" s="44" t="n"/>
    </row>
    <row r="238">
      <c r="A238" s="43" t="n"/>
      <c r="C238" s="44" t="n"/>
      <c r="D238" s="44" t="n"/>
      <c r="L238" s="45" t="n"/>
      <c r="O238" s="44" t="n"/>
    </row>
    <row r="239">
      <c r="A239" s="43" t="n"/>
      <c r="C239" s="44" t="n"/>
      <c r="D239" s="44" t="n"/>
      <c r="L239" s="45" t="n"/>
      <c r="O239" s="44" t="n"/>
    </row>
    <row r="240">
      <c r="A240" s="43" t="n"/>
      <c r="C240" s="44" t="n"/>
      <c r="D240" s="44" t="n"/>
      <c r="L240" s="45" t="n"/>
      <c r="O240" s="44" t="n"/>
    </row>
    <row r="241">
      <c r="A241" s="43" t="n"/>
      <c r="C241" s="44" t="n"/>
      <c r="D241" s="44" t="n"/>
      <c r="L241" s="45" t="n"/>
      <c r="O241" s="44" t="n"/>
    </row>
    <row r="242">
      <c r="A242" s="43" t="n"/>
      <c r="C242" s="44" t="n"/>
      <c r="D242" s="44" t="n"/>
      <c r="L242" s="45" t="n"/>
      <c r="O242" s="44" t="n"/>
    </row>
    <row r="243">
      <c r="A243" s="43" t="n"/>
      <c r="C243" s="44" t="n"/>
      <c r="D243" s="44" t="n"/>
      <c r="L243" s="45" t="n"/>
      <c r="O243" s="44" t="n"/>
    </row>
    <row r="244">
      <c r="A244" s="43" t="n"/>
      <c r="C244" s="44" t="n"/>
      <c r="D244" s="44" t="n"/>
      <c r="L244" s="45" t="n"/>
      <c r="O244" s="44" t="n"/>
    </row>
    <row r="245">
      <c r="A245" s="43" t="n"/>
      <c r="C245" s="44" t="n"/>
      <c r="D245" s="44" t="n"/>
      <c r="L245" s="45" t="n"/>
      <c r="O245" s="44" t="n"/>
    </row>
    <row r="246">
      <c r="A246" s="43" t="n"/>
      <c r="C246" s="44" t="n"/>
      <c r="D246" s="44" t="n"/>
      <c r="L246" s="45" t="n"/>
      <c r="O246" s="44" t="n"/>
    </row>
    <row r="247">
      <c r="A247" s="43" t="n"/>
      <c r="C247" s="44" t="n"/>
      <c r="D247" s="44" t="n"/>
      <c r="L247" s="45" t="n"/>
      <c r="O247" s="44" t="n"/>
    </row>
    <row r="248">
      <c r="A248" s="43" t="n"/>
      <c r="C248" s="44" t="n"/>
      <c r="D248" s="44" t="n"/>
      <c r="L248" s="45" t="n"/>
      <c r="O248" s="44" t="n"/>
    </row>
    <row r="249">
      <c r="A249" s="43" t="n"/>
      <c r="C249" s="44" t="n"/>
      <c r="D249" s="44" t="n"/>
      <c r="L249" s="45" t="n"/>
      <c r="O249" s="44" t="n"/>
    </row>
    <row r="250">
      <c r="A250" s="43" t="n"/>
      <c r="C250" s="44" t="n"/>
      <c r="D250" s="44" t="n"/>
      <c r="L250" s="45" t="n"/>
      <c r="O250" s="44" t="n"/>
    </row>
    <row r="251">
      <c r="A251" s="43" t="n"/>
      <c r="C251" s="44" t="n"/>
      <c r="D251" s="44" t="n"/>
      <c r="L251" s="45" t="n"/>
      <c r="O251" s="44" t="n"/>
    </row>
    <row r="252">
      <c r="A252" s="43" t="n"/>
      <c r="C252" s="44" t="n"/>
      <c r="D252" s="44" t="n"/>
      <c r="L252" s="45" t="n"/>
      <c r="O252" s="44" t="n"/>
    </row>
    <row r="253">
      <c r="A253" s="43" t="n"/>
      <c r="C253" s="44" t="n"/>
      <c r="D253" s="44" t="n"/>
      <c r="L253" s="45" t="n"/>
      <c r="O253" s="44" t="n"/>
    </row>
    <row r="254">
      <c r="A254" s="43" t="n"/>
      <c r="C254" s="44" t="n"/>
      <c r="D254" s="44" t="n"/>
      <c r="L254" s="45" t="n"/>
      <c r="O254" s="44" t="n"/>
    </row>
    <row r="255">
      <c r="A255" s="43" t="n"/>
      <c r="C255" s="44" t="n"/>
      <c r="D255" s="44" t="n"/>
      <c r="L255" s="45" t="n"/>
      <c r="O255" s="44" t="n"/>
    </row>
    <row r="256">
      <c r="A256" s="43" t="n"/>
      <c r="C256" s="44" t="n"/>
      <c r="D256" s="44" t="n"/>
      <c r="L256" s="45" t="n"/>
      <c r="O256" s="44" t="n"/>
    </row>
    <row r="257">
      <c r="A257" s="43" t="n"/>
      <c r="C257" s="44" t="n"/>
      <c r="D257" s="44" t="n"/>
      <c r="L257" s="45" t="n"/>
      <c r="O257" s="44" t="n"/>
    </row>
    <row r="258">
      <c r="A258" s="43" t="n"/>
      <c r="C258" s="44" t="n"/>
      <c r="D258" s="44" t="n"/>
      <c r="L258" s="45" t="n"/>
      <c r="O258" s="44" t="n"/>
    </row>
    <row r="259">
      <c r="A259" s="43" t="n"/>
      <c r="C259" s="44" t="n"/>
      <c r="D259" s="44" t="n"/>
      <c r="L259" s="45" t="n"/>
      <c r="O259" s="44" t="n"/>
    </row>
    <row r="260">
      <c r="A260" s="43" t="n"/>
      <c r="C260" s="44" t="n"/>
      <c r="D260" s="44" t="n"/>
      <c r="L260" s="45" t="n"/>
      <c r="O260" s="44" t="n"/>
    </row>
    <row r="261">
      <c r="A261" s="43" t="n"/>
      <c r="C261" s="44" t="n"/>
      <c r="D261" s="44" t="n"/>
      <c r="L261" s="45" t="n"/>
      <c r="O261" s="44" t="n"/>
    </row>
    <row r="262">
      <c r="A262" s="43" t="n"/>
      <c r="C262" s="44" t="n"/>
      <c r="D262" s="44" t="n"/>
      <c r="L262" s="45" t="n"/>
      <c r="O262" s="44" t="n"/>
    </row>
    <row r="263">
      <c r="A263" s="43" t="n"/>
      <c r="C263" s="44" t="n"/>
      <c r="D263" s="44" t="n"/>
      <c r="L263" s="45" t="n"/>
      <c r="O263" s="44" t="n"/>
    </row>
    <row r="264">
      <c r="A264" s="43" t="n"/>
      <c r="C264" s="44" t="n"/>
      <c r="D264" s="44" t="n"/>
      <c r="L264" s="45" t="n"/>
      <c r="O264" s="44" t="n"/>
    </row>
    <row r="265">
      <c r="A265" s="43" t="n"/>
      <c r="C265" s="44" t="n"/>
      <c r="D265" s="44" t="n"/>
      <c r="L265" s="45" t="n"/>
      <c r="O265" s="44" t="n"/>
    </row>
    <row r="266">
      <c r="A266" s="43" t="n"/>
      <c r="C266" s="44" t="n"/>
      <c r="D266" s="44" t="n"/>
      <c r="L266" s="45" t="n"/>
      <c r="O266" s="44" t="n"/>
    </row>
    <row r="267">
      <c r="A267" s="43" t="n"/>
      <c r="C267" s="44" t="n"/>
      <c r="D267" s="44" t="n"/>
      <c r="L267" s="45" t="n"/>
      <c r="O267" s="44" t="n"/>
    </row>
    <row r="268">
      <c r="A268" s="43" t="n"/>
      <c r="C268" s="44" t="n"/>
      <c r="D268" s="44" t="n"/>
      <c r="L268" s="45" t="n"/>
      <c r="O268" s="44" t="n"/>
    </row>
    <row r="269">
      <c r="A269" s="43" t="n"/>
      <c r="C269" s="44" t="n"/>
      <c r="D269" s="44" t="n"/>
      <c r="L269" s="45" t="n"/>
      <c r="O269" s="44" t="n"/>
    </row>
    <row r="270">
      <c r="A270" s="43" t="n"/>
      <c r="C270" s="44" t="n"/>
      <c r="D270" s="44" t="n"/>
      <c r="L270" s="45" t="n"/>
      <c r="O270" s="44" t="n"/>
    </row>
    <row r="271">
      <c r="A271" s="43" t="n"/>
      <c r="C271" s="44" t="n"/>
      <c r="D271" s="44" t="n"/>
      <c r="L271" s="45" t="n"/>
      <c r="O271" s="44" t="n"/>
    </row>
    <row r="272">
      <c r="A272" s="43" t="n"/>
      <c r="C272" s="44" t="n"/>
      <c r="D272" s="44" t="n"/>
      <c r="L272" s="45" t="n"/>
      <c r="O272" s="44" t="n"/>
    </row>
    <row r="273">
      <c r="A273" s="43" t="n"/>
      <c r="C273" s="44" t="n"/>
      <c r="D273" s="44" t="n"/>
      <c r="L273" s="45" t="n"/>
      <c r="O273" s="44" t="n"/>
    </row>
    <row r="274">
      <c r="A274" s="43" t="n"/>
      <c r="C274" s="44" t="n"/>
      <c r="D274" s="44" t="n"/>
      <c r="L274" s="45" t="n"/>
      <c r="O274" s="44" t="n"/>
    </row>
    <row r="275">
      <c r="A275" s="43" t="n"/>
      <c r="C275" s="44" t="n"/>
      <c r="D275" s="44" t="n"/>
      <c r="L275" s="45" t="n"/>
      <c r="O275" s="44" t="n"/>
    </row>
    <row r="276">
      <c r="A276" s="43" t="n"/>
      <c r="C276" s="44" t="n"/>
      <c r="D276" s="44" t="n"/>
      <c r="L276" s="45" t="n"/>
      <c r="O276" s="44" t="n"/>
    </row>
    <row r="277">
      <c r="A277" s="43" t="n"/>
      <c r="C277" s="44" t="n"/>
      <c r="D277" s="44" t="n"/>
      <c r="L277" s="45" t="n"/>
      <c r="O277" s="44" t="n"/>
    </row>
    <row r="278">
      <c r="A278" s="43" t="n"/>
      <c r="C278" s="44" t="n"/>
      <c r="D278" s="44" t="n"/>
      <c r="L278" s="45" t="n"/>
      <c r="O278" s="44" t="n"/>
    </row>
    <row r="279">
      <c r="A279" s="43" t="n"/>
      <c r="C279" s="44" t="n"/>
      <c r="D279" s="44" t="n"/>
      <c r="L279" s="45" t="n"/>
      <c r="O279" s="44" t="n"/>
    </row>
    <row r="280">
      <c r="A280" s="43" t="n"/>
      <c r="C280" s="44" t="n"/>
      <c r="D280" s="44" t="n"/>
      <c r="L280" s="45" t="n"/>
      <c r="O280" s="44" t="n"/>
    </row>
    <row r="281">
      <c r="A281" s="43" t="n"/>
      <c r="C281" s="44" t="n"/>
      <c r="D281" s="44" t="n"/>
      <c r="L281" s="45" t="n"/>
      <c r="O281" s="44" t="n"/>
    </row>
    <row r="282">
      <c r="A282" s="43" t="n"/>
      <c r="C282" s="44" t="n"/>
      <c r="D282" s="44" t="n"/>
      <c r="L282" s="45" t="n"/>
      <c r="O282" s="44" t="n"/>
    </row>
    <row r="283">
      <c r="A283" s="43" t="n"/>
      <c r="C283" s="44" t="n"/>
      <c r="D283" s="44" t="n"/>
      <c r="L283" s="45" t="n"/>
      <c r="O283" s="44" t="n"/>
    </row>
    <row r="284">
      <c r="A284" s="43" t="n"/>
      <c r="C284" s="44" t="n"/>
      <c r="D284" s="44" t="n"/>
      <c r="L284" s="45" t="n"/>
      <c r="O284" s="44" t="n"/>
    </row>
    <row r="285">
      <c r="A285" s="43" t="n"/>
      <c r="C285" s="44" t="n"/>
      <c r="D285" s="44" t="n"/>
      <c r="L285" s="45" t="n"/>
      <c r="O285" s="44" t="n"/>
    </row>
    <row r="286">
      <c r="A286" s="43" t="n"/>
      <c r="C286" s="44" t="n"/>
      <c r="D286" s="44" t="n"/>
      <c r="L286" s="45" t="n"/>
      <c r="O286" s="44" t="n"/>
    </row>
    <row r="287">
      <c r="A287" s="43" t="n"/>
      <c r="C287" s="44" t="n"/>
      <c r="D287" s="44" t="n"/>
      <c r="L287" s="45" t="n"/>
      <c r="O287" s="44" t="n"/>
    </row>
    <row r="288">
      <c r="A288" s="43" t="n"/>
      <c r="C288" s="44" t="n"/>
      <c r="D288" s="44" t="n"/>
      <c r="L288" s="45" t="n"/>
      <c r="O288" s="44" t="n"/>
    </row>
    <row r="289">
      <c r="A289" s="43" t="n"/>
      <c r="C289" s="44" t="n"/>
      <c r="D289" s="44" t="n"/>
      <c r="L289" s="45" t="n"/>
      <c r="O289" s="44" t="n"/>
    </row>
    <row r="290">
      <c r="A290" s="43" t="n"/>
      <c r="C290" s="44" t="n"/>
      <c r="D290" s="44" t="n"/>
      <c r="L290" s="45" t="n"/>
      <c r="O290" s="44" t="n"/>
    </row>
    <row r="291">
      <c r="A291" s="43" t="n"/>
      <c r="C291" s="44" t="n"/>
      <c r="D291" s="44" t="n"/>
      <c r="L291" s="45" t="n"/>
      <c r="O291" s="44" t="n"/>
    </row>
    <row r="292">
      <c r="A292" s="43" t="n"/>
      <c r="C292" s="44" t="n"/>
      <c r="D292" s="44" t="n"/>
      <c r="L292" s="45" t="n"/>
      <c r="O292" s="44" t="n"/>
    </row>
    <row r="293">
      <c r="A293" s="43" t="n"/>
      <c r="C293" s="44" t="n"/>
      <c r="D293" s="44" t="n"/>
      <c r="L293" s="45" t="n"/>
      <c r="O293" s="44" t="n"/>
    </row>
    <row r="294">
      <c r="A294" s="43" t="n"/>
      <c r="C294" s="44" t="n"/>
      <c r="D294" s="44" t="n"/>
      <c r="L294" s="45" t="n"/>
      <c r="O294" s="44" t="n"/>
    </row>
    <row r="295">
      <c r="A295" s="43" t="n"/>
      <c r="C295" s="44" t="n"/>
      <c r="D295" s="44" t="n"/>
      <c r="L295" s="45" t="n"/>
      <c r="O295" s="44" t="n"/>
    </row>
    <row r="296">
      <c r="A296" s="43" t="n"/>
      <c r="C296" s="44" t="n"/>
      <c r="D296" s="44" t="n"/>
      <c r="L296" s="45" t="n"/>
      <c r="O296" s="44" t="n"/>
    </row>
    <row r="297">
      <c r="A297" s="43" t="n"/>
      <c r="C297" s="44" t="n"/>
      <c r="D297" s="44" t="n"/>
      <c r="L297" s="45" t="n"/>
      <c r="O297" s="44" t="n"/>
    </row>
    <row r="298">
      <c r="A298" s="43" t="n"/>
      <c r="C298" s="44" t="n"/>
      <c r="D298" s="44" t="n"/>
      <c r="L298" s="45" t="n"/>
      <c r="O298" s="44" t="n"/>
    </row>
    <row r="299">
      <c r="A299" s="43" t="n"/>
      <c r="C299" s="44" t="n"/>
      <c r="D299" s="44" t="n"/>
      <c r="L299" s="45" t="n"/>
      <c r="O299" s="44" t="n"/>
    </row>
    <row r="300">
      <c r="A300" s="43" t="n"/>
      <c r="C300" s="44" t="n"/>
      <c r="D300" s="44" t="n"/>
      <c r="L300" s="45" t="n"/>
      <c r="O300" s="44" t="n"/>
    </row>
    <row r="301">
      <c r="A301" s="43" t="n"/>
      <c r="C301" s="44" t="n"/>
      <c r="D301" s="44" t="n"/>
      <c r="L301" s="45" t="n"/>
      <c r="O301" s="44" t="n"/>
    </row>
    <row r="302">
      <c r="A302" s="43" t="n"/>
      <c r="C302" s="44" t="n"/>
      <c r="D302" s="44" t="n"/>
      <c r="L302" s="45" t="n"/>
      <c r="O302" s="44" t="n"/>
    </row>
    <row r="303">
      <c r="A303" s="43" t="n"/>
      <c r="C303" s="44" t="n"/>
      <c r="D303" s="44" t="n"/>
      <c r="L303" s="45" t="n"/>
      <c r="O303" s="44" t="n"/>
    </row>
    <row r="304">
      <c r="A304" s="43" t="n"/>
      <c r="C304" s="44" t="n"/>
      <c r="D304" s="44" t="n"/>
      <c r="L304" s="45" t="n"/>
      <c r="O304" s="44" t="n"/>
    </row>
    <row r="305">
      <c r="A305" s="43" t="n"/>
      <c r="C305" s="44" t="n"/>
      <c r="D305" s="44" t="n"/>
      <c r="L305" s="45" t="n"/>
      <c r="O305" s="44" t="n"/>
    </row>
    <row r="306">
      <c r="A306" s="43" t="n"/>
      <c r="C306" s="44" t="n"/>
      <c r="D306" s="44" t="n"/>
      <c r="L306" s="45" t="n"/>
      <c r="O306" s="44" t="n"/>
    </row>
    <row r="307">
      <c r="A307" s="43" t="n"/>
      <c r="C307" s="44" t="n"/>
      <c r="D307" s="44" t="n"/>
      <c r="L307" s="45" t="n"/>
      <c r="O307" s="44" t="n"/>
    </row>
    <row r="308">
      <c r="A308" s="43" t="n"/>
      <c r="C308" s="44" t="n"/>
      <c r="D308" s="44" t="n"/>
      <c r="L308" s="45" t="n"/>
      <c r="O308" s="44" t="n"/>
    </row>
    <row r="309">
      <c r="A309" s="43" t="n"/>
      <c r="C309" s="44" t="n"/>
      <c r="D309" s="44" t="n"/>
      <c r="L309" s="45" t="n"/>
      <c r="O309" s="44" t="n"/>
    </row>
    <row r="310">
      <c r="A310" s="43" t="n"/>
      <c r="C310" s="44" t="n"/>
      <c r="D310" s="44" t="n"/>
      <c r="L310" s="45" t="n"/>
      <c r="O310" s="44" t="n"/>
    </row>
    <row r="311">
      <c r="A311" s="43" t="n"/>
      <c r="C311" s="44" t="n"/>
      <c r="D311" s="44" t="n"/>
      <c r="L311" s="45" t="n"/>
      <c r="O311" s="44" t="n"/>
    </row>
    <row r="312">
      <c r="A312" s="43" t="n"/>
      <c r="C312" s="44" t="n"/>
      <c r="D312" s="44" t="n"/>
      <c r="L312" s="45" t="n"/>
      <c r="O312" s="44" t="n"/>
    </row>
    <row r="313">
      <c r="A313" s="43" t="n"/>
      <c r="C313" s="44" t="n"/>
      <c r="D313" s="44" t="n"/>
      <c r="L313" s="45" t="n"/>
      <c r="O313" s="44" t="n"/>
    </row>
    <row r="314">
      <c r="A314" s="43" t="n"/>
      <c r="C314" s="44" t="n"/>
      <c r="D314" s="44" t="n"/>
      <c r="L314" s="45" t="n"/>
      <c r="O314" s="44" t="n"/>
    </row>
    <row r="315">
      <c r="A315" s="43" t="n"/>
      <c r="C315" s="44" t="n"/>
      <c r="D315" s="44" t="n"/>
      <c r="L315" s="45" t="n"/>
      <c r="O315" s="44" t="n"/>
    </row>
    <row r="316">
      <c r="A316" s="43" t="n"/>
      <c r="C316" s="44" t="n"/>
      <c r="D316" s="44" t="n"/>
      <c r="L316" s="45" t="n"/>
      <c r="O316" s="44" t="n"/>
    </row>
    <row r="317">
      <c r="A317" s="43" t="n"/>
      <c r="C317" s="44" t="n"/>
      <c r="D317" s="44" t="n"/>
      <c r="L317" s="45" t="n"/>
      <c r="O317" s="44" t="n"/>
    </row>
    <row r="318">
      <c r="A318" s="43" t="n"/>
      <c r="C318" s="44" t="n"/>
      <c r="D318" s="44" t="n"/>
      <c r="L318" s="45" t="n"/>
      <c r="O318" s="44" t="n"/>
    </row>
    <row r="319">
      <c r="A319" s="43" t="n"/>
      <c r="C319" s="44" t="n"/>
      <c r="D319" s="44" t="n"/>
      <c r="L319" s="45" t="n"/>
      <c r="O319" s="44" t="n"/>
    </row>
    <row r="320">
      <c r="A320" s="43" t="n"/>
      <c r="C320" s="44" t="n"/>
      <c r="D320" s="44" t="n"/>
      <c r="L320" s="45" t="n"/>
      <c r="O320" s="44" t="n"/>
    </row>
    <row r="321">
      <c r="A321" s="43" t="n"/>
      <c r="C321" s="44" t="n"/>
      <c r="D321" s="44" t="n"/>
      <c r="L321" s="45" t="n"/>
      <c r="O321" s="44" t="n"/>
    </row>
    <row r="322">
      <c r="A322" s="43" t="n"/>
      <c r="C322" s="44" t="n"/>
      <c r="D322" s="44" t="n"/>
      <c r="L322" s="45" t="n"/>
      <c r="O322" s="44" t="n"/>
    </row>
    <row r="323">
      <c r="A323" s="43" t="n"/>
      <c r="C323" s="44" t="n"/>
      <c r="D323" s="44" t="n"/>
      <c r="L323" s="45" t="n"/>
      <c r="O323" s="44" t="n"/>
    </row>
    <row r="324">
      <c r="A324" s="43" t="n"/>
      <c r="C324" s="44" t="n"/>
      <c r="D324" s="44" t="n"/>
      <c r="L324" s="45" t="n"/>
      <c r="O324" s="44" t="n"/>
    </row>
    <row r="325">
      <c r="A325" s="43" t="n"/>
      <c r="C325" s="44" t="n"/>
      <c r="D325" s="44" t="n"/>
      <c r="L325" s="45" t="n"/>
      <c r="O325" s="44" t="n"/>
    </row>
    <row r="326">
      <c r="A326" s="43" t="n"/>
      <c r="C326" s="44" t="n"/>
      <c r="D326" s="44" t="n"/>
      <c r="L326" s="45" t="n"/>
      <c r="O326" s="44" t="n"/>
    </row>
    <row r="327">
      <c r="A327" s="43" t="n"/>
      <c r="C327" s="44" t="n"/>
      <c r="D327" s="44" t="n"/>
      <c r="L327" s="45" t="n"/>
      <c r="O327" s="44" t="n"/>
    </row>
    <row r="328">
      <c r="A328" s="43" t="n"/>
      <c r="C328" s="44" t="n"/>
      <c r="D328" s="44" t="n"/>
      <c r="L328" s="45" t="n"/>
      <c r="O328" s="44" t="n"/>
    </row>
    <row r="329">
      <c r="A329" s="43" t="n"/>
      <c r="C329" s="44" t="n"/>
      <c r="D329" s="44" t="n"/>
      <c r="L329" s="45" t="n"/>
      <c r="O329" s="44" t="n"/>
    </row>
    <row r="330">
      <c r="A330" s="43" t="n"/>
      <c r="C330" s="44" t="n"/>
      <c r="D330" s="44" t="n"/>
      <c r="L330" s="45" t="n"/>
      <c r="O330" s="44" t="n"/>
    </row>
    <row r="331">
      <c r="A331" s="43" t="n"/>
      <c r="C331" s="44" t="n"/>
      <c r="D331" s="44" t="n"/>
      <c r="L331" s="45" t="n"/>
      <c r="O331" s="44" t="n"/>
    </row>
    <row r="332">
      <c r="A332" s="43" t="n"/>
      <c r="C332" s="44" t="n"/>
      <c r="D332" s="44" t="n"/>
      <c r="L332" s="45" t="n"/>
      <c r="O332" s="44" t="n"/>
    </row>
    <row r="333">
      <c r="A333" s="43" t="n"/>
      <c r="C333" s="44" t="n"/>
      <c r="D333" s="44" t="n"/>
      <c r="L333" s="45" t="n"/>
      <c r="O333" s="44" t="n"/>
    </row>
    <row r="334">
      <c r="A334" s="43" t="n"/>
      <c r="C334" s="44" t="n"/>
      <c r="D334" s="44" t="n"/>
      <c r="L334" s="45" t="n"/>
      <c r="O334" s="44" t="n"/>
    </row>
    <row r="335">
      <c r="A335" s="43" t="n"/>
      <c r="C335" s="44" t="n"/>
      <c r="D335" s="44" t="n"/>
      <c r="L335" s="45" t="n"/>
      <c r="O335" s="44" t="n"/>
    </row>
    <row r="336">
      <c r="A336" s="43" t="n"/>
      <c r="C336" s="44" t="n"/>
      <c r="D336" s="44" t="n"/>
      <c r="L336" s="45" t="n"/>
      <c r="O336" s="44" t="n"/>
    </row>
    <row r="337">
      <c r="A337" s="43" t="n"/>
      <c r="C337" s="44" t="n"/>
      <c r="D337" s="44" t="n"/>
      <c r="L337" s="45" t="n"/>
      <c r="O337" s="44" t="n"/>
    </row>
    <row r="338">
      <c r="A338" s="43" t="n"/>
      <c r="C338" s="44" t="n"/>
      <c r="D338" s="44" t="n"/>
      <c r="L338" s="45" t="n"/>
      <c r="O338" s="44" t="n"/>
    </row>
    <row r="339">
      <c r="A339" s="43" t="n"/>
      <c r="C339" s="44" t="n"/>
      <c r="D339" s="44" t="n"/>
      <c r="L339" s="45" t="n"/>
      <c r="O339" s="44" t="n"/>
    </row>
    <row r="340">
      <c r="A340" s="43" t="n"/>
      <c r="C340" s="44" t="n"/>
      <c r="D340" s="44" t="n"/>
      <c r="L340" s="45" t="n"/>
      <c r="O340" s="44" t="n"/>
    </row>
    <row r="341">
      <c r="A341" s="43" t="n"/>
      <c r="C341" s="44" t="n"/>
      <c r="D341" s="44" t="n"/>
      <c r="L341" s="45" t="n"/>
      <c r="O341" s="44" t="n"/>
    </row>
    <row r="342">
      <c r="A342" s="43" t="n"/>
      <c r="C342" s="44" t="n"/>
      <c r="D342" s="44" t="n"/>
      <c r="L342" s="45" t="n"/>
      <c r="O342" s="44" t="n"/>
    </row>
    <row r="343">
      <c r="A343" s="43" t="n"/>
      <c r="C343" s="44" t="n"/>
      <c r="D343" s="44" t="n"/>
      <c r="L343" s="45" t="n"/>
      <c r="O343" s="44" t="n"/>
    </row>
    <row r="344">
      <c r="A344" s="43" t="n"/>
      <c r="C344" s="44" t="n"/>
      <c r="D344" s="44" t="n"/>
      <c r="L344" s="45" t="n"/>
      <c r="O344" s="44" t="n"/>
    </row>
    <row r="345">
      <c r="A345" s="43" t="n"/>
      <c r="C345" s="44" t="n"/>
      <c r="D345" s="44" t="n"/>
      <c r="L345" s="45" t="n"/>
      <c r="O345" s="44" t="n"/>
    </row>
    <row r="346">
      <c r="A346" s="43" t="n"/>
      <c r="C346" s="44" t="n"/>
      <c r="D346" s="44" t="n"/>
      <c r="L346" s="45" t="n"/>
      <c r="O346" s="44" t="n"/>
    </row>
    <row r="347">
      <c r="A347" s="43" t="n"/>
      <c r="C347" s="44" t="n"/>
      <c r="D347" s="44" t="n"/>
      <c r="L347" s="45" t="n"/>
      <c r="O347" s="44" t="n"/>
    </row>
    <row r="348">
      <c r="A348" s="43" t="n"/>
      <c r="C348" s="44" t="n"/>
      <c r="D348" s="44" t="n"/>
      <c r="L348" s="45" t="n"/>
      <c r="O348" s="44" t="n"/>
    </row>
    <row r="349">
      <c r="A349" s="43" t="n"/>
      <c r="C349" s="44" t="n"/>
      <c r="D349" s="44" t="n"/>
      <c r="L349" s="45" t="n"/>
      <c r="O349" s="44" t="n"/>
    </row>
    <row r="350">
      <c r="A350" s="43" t="n"/>
      <c r="C350" s="44" t="n"/>
      <c r="D350" s="44" t="n"/>
      <c r="L350" s="45" t="n"/>
      <c r="O350" s="44" t="n"/>
    </row>
    <row r="351">
      <c r="A351" s="43" t="n"/>
      <c r="C351" s="44" t="n"/>
      <c r="D351" s="44" t="n"/>
      <c r="L351" s="45" t="n"/>
      <c r="O351" s="44" t="n"/>
    </row>
    <row r="352">
      <c r="A352" s="43" t="n"/>
      <c r="C352" s="44" t="n"/>
      <c r="D352" s="44" t="n"/>
      <c r="L352" s="45" t="n"/>
      <c r="O352" s="44" t="n"/>
    </row>
    <row r="353">
      <c r="A353" s="43" t="n"/>
      <c r="C353" s="44" t="n"/>
      <c r="D353" s="44" t="n"/>
      <c r="L353" s="45" t="n"/>
      <c r="O353" s="44" t="n"/>
    </row>
    <row r="354">
      <c r="A354" s="43" t="n"/>
      <c r="C354" s="44" t="n"/>
      <c r="D354" s="44" t="n"/>
      <c r="L354" s="45" t="n"/>
      <c r="O354" s="44" t="n"/>
    </row>
    <row r="355">
      <c r="A355" s="43" t="n"/>
      <c r="C355" s="44" t="n"/>
      <c r="D355" s="44" t="n"/>
      <c r="L355" s="45" t="n"/>
      <c r="O355" s="44" t="n"/>
    </row>
    <row r="356">
      <c r="A356" s="43" t="n"/>
      <c r="C356" s="44" t="n"/>
      <c r="D356" s="44" t="n"/>
      <c r="L356" s="45" t="n"/>
      <c r="O356" s="44" t="n"/>
    </row>
    <row r="357">
      <c r="A357" s="43" t="n"/>
      <c r="C357" s="44" t="n"/>
      <c r="D357" s="44" t="n"/>
      <c r="L357" s="45" t="n"/>
      <c r="O357" s="44" t="n"/>
    </row>
    <row r="358">
      <c r="A358" s="43" t="n"/>
      <c r="C358" s="44" t="n"/>
      <c r="D358" s="44" t="n"/>
      <c r="L358" s="45" t="n"/>
      <c r="O358" s="44" t="n"/>
    </row>
    <row r="359">
      <c r="A359" s="43" t="n"/>
      <c r="C359" s="44" t="n"/>
      <c r="D359" s="44" t="n"/>
      <c r="L359" s="45" t="n"/>
      <c r="O359" s="44" t="n"/>
    </row>
    <row r="360">
      <c r="A360" s="43" t="n"/>
      <c r="C360" s="44" t="n"/>
      <c r="D360" s="44" t="n"/>
      <c r="L360" s="45" t="n"/>
      <c r="O360" s="44" t="n"/>
    </row>
    <row r="361">
      <c r="A361" s="43" t="n"/>
      <c r="C361" s="44" t="n"/>
      <c r="D361" s="44" t="n"/>
      <c r="L361" s="45" t="n"/>
      <c r="O361" s="44" t="n"/>
    </row>
    <row r="362">
      <c r="A362" s="43" t="n"/>
      <c r="C362" s="44" t="n"/>
      <c r="D362" s="44" t="n"/>
      <c r="L362" s="45" t="n"/>
      <c r="O362" s="44" t="n"/>
    </row>
    <row r="363">
      <c r="A363" s="43" t="n"/>
      <c r="C363" s="44" t="n"/>
      <c r="D363" s="44" t="n"/>
      <c r="L363" s="45" t="n"/>
      <c r="O363" s="44" t="n"/>
    </row>
    <row r="364">
      <c r="A364" s="43" t="n"/>
      <c r="C364" s="44" t="n"/>
      <c r="D364" s="44" t="n"/>
      <c r="L364" s="45" t="n"/>
      <c r="O364" s="44" t="n"/>
    </row>
    <row r="365">
      <c r="A365" s="43" t="n"/>
      <c r="C365" s="44" t="n"/>
      <c r="D365" s="44" t="n"/>
      <c r="L365" s="45" t="n"/>
      <c r="O365" s="44" t="n"/>
    </row>
    <row r="366">
      <c r="A366" s="43" t="n"/>
      <c r="C366" s="44" t="n"/>
      <c r="D366" s="44" t="n"/>
      <c r="L366" s="45" t="n"/>
      <c r="O366" s="44" t="n"/>
    </row>
    <row r="367">
      <c r="A367" s="43" t="n"/>
      <c r="C367" s="44" t="n"/>
      <c r="D367" s="44" t="n"/>
      <c r="L367" s="45" t="n"/>
      <c r="O367" s="44" t="n"/>
    </row>
    <row r="368">
      <c r="A368" s="43" t="n"/>
      <c r="C368" s="44" t="n"/>
      <c r="D368" s="44" t="n"/>
      <c r="L368" s="45" t="n"/>
      <c r="O368" s="44" t="n"/>
    </row>
    <row r="369">
      <c r="A369" s="43" t="n"/>
      <c r="C369" s="44" t="n"/>
      <c r="D369" s="44" t="n"/>
      <c r="L369" s="45" t="n"/>
      <c r="O369" s="44" t="n"/>
    </row>
    <row r="370">
      <c r="A370" s="43" t="n"/>
      <c r="C370" s="44" t="n"/>
      <c r="D370" s="44" t="n"/>
      <c r="L370" s="45" t="n"/>
      <c r="O370" s="44" t="n"/>
    </row>
    <row r="371">
      <c r="A371" s="43" t="n"/>
      <c r="C371" s="44" t="n"/>
      <c r="D371" s="44" t="n"/>
      <c r="L371" s="45" t="n"/>
      <c r="O371" s="44" t="n"/>
    </row>
    <row r="372">
      <c r="A372" s="43" t="n"/>
      <c r="C372" s="44" t="n"/>
      <c r="D372" s="44" t="n"/>
      <c r="L372" s="45" t="n"/>
      <c r="O372" s="44" t="n"/>
    </row>
    <row r="373">
      <c r="A373" s="43" t="n"/>
      <c r="C373" s="44" t="n"/>
      <c r="D373" s="44" t="n"/>
      <c r="L373" s="45" t="n"/>
      <c r="O373" s="44" t="n"/>
    </row>
    <row r="374">
      <c r="A374" s="43" t="n"/>
      <c r="C374" s="44" t="n"/>
      <c r="D374" s="44" t="n"/>
      <c r="L374" s="45" t="n"/>
      <c r="O374" s="44" t="n"/>
    </row>
    <row r="375">
      <c r="A375" s="43" t="n"/>
      <c r="C375" s="44" t="n"/>
      <c r="D375" s="44" t="n"/>
      <c r="L375" s="45" t="n"/>
      <c r="O375" s="44" t="n"/>
    </row>
    <row r="376">
      <c r="A376" s="43" t="n"/>
      <c r="C376" s="44" t="n"/>
      <c r="D376" s="44" t="n"/>
      <c r="L376" s="45" t="n"/>
      <c r="O376" s="44" t="n"/>
    </row>
    <row r="377">
      <c r="A377" s="43" t="n"/>
      <c r="C377" s="44" t="n"/>
      <c r="D377" s="44" t="n"/>
      <c r="L377" s="45" t="n"/>
      <c r="O377" s="44" t="n"/>
    </row>
    <row r="378">
      <c r="A378" s="43" t="n"/>
      <c r="C378" s="44" t="n"/>
      <c r="D378" s="44" t="n"/>
      <c r="L378" s="45" t="n"/>
      <c r="O378" s="44" t="n"/>
    </row>
    <row r="379">
      <c r="A379" s="43" t="n"/>
      <c r="C379" s="44" t="n"/>
      <c r="D379" s="44" t="n"/>
      <c r="L379" s="45" t="n"/>
      <c r="O379" s="44" t="n"/>
    </row>
    <row r="380">
      <c r="A380" s="43" t="n"/>
      <c r="C380" s="44" t="n"/>
      <c r="D380" s="44" t="n"/>
      <c r="L380" s="45" t="n"/>
      <c r="O380" s="44" t="n"/>
    </row>
    <row r="381">
      <c r="A381" s="43" t="n"/>
      <c r="C381" s="44" t="n"/>
      <c r="D381" s="44" t="n"/>
      <c r="L381" s="45" t="n"/>
      <c r="O381" s="44" t="n"/>
    </row>
    <row r="382">
      <c r="A382" s="43" t="n"/>
      <c r="C382" s="44" t="n"/>
      <c r="D382" s="44" t="n"/>
      <c r="L382" s="45" t="n"/>
      <c r="O382" s="44" t="n"/>
    </row>
    <row r="383">
      <c r="A383" s="43" t="n"/>
      <c r="C383" s="44" t="n"/>
      <c r="D383" s="44" t="n"/>
      <c r="L383" s="45" t="n"/>
      <c r="O383" s="44" t="n"/>
    </row>
    <row r="384">
      <c r="A384" s="43" t="n"/>
      <c r="C384" s="44" t="n"/>
      <c r="D384" s="44" t="n"/>
      <c r="L384" s="45" t="n"/>
      <c r="O384" s="44" t="n"/>
    </row>
    <row r="385">
      <c r="A385" s="43" t="n"/>
      <c r="C385" s="44" t="n"/>
      <c r="D385" s="44" t="n"/>
      <c r="L385" s="45" t="n"/>
      <c r="O385" s="44" t="n"/>
    </row>
    <row r="386">
      <c r="A386" s="43" t="n"/>
      <c r="C386" s="44" t="n"/>
      <c r="D386" s="44" t="n"/>
      <c r="L386" s="45" t="n"/>
      <c r="O386" s="44" t="n"/>
    </row>
    <row r="387">
      <c r="A387" s="43" t="n"/>
      <c r="C387" s="44" t="n"/>
      <c r="D387" s="44" t="n"/>
      <c r="L387" s="45" t="n"/>
      <c r="O387" s="44" t="n"/>
    </row>
    <row r="388">
      <c r="A388" s="43" t="n"/>
      <c r="C388" s="44" t="n"/>
      <c r="D388" s="44" t="n"/>
      <c r="L388" s="45" t="n"/>
      <c r="O388" s="44" t="n"/>
    </row>
    <row r="389">
      <c r="A389" s="43" t="n"/>
      <c r="C389" s="44" t="n"/>
      <c r="D389" s="44" t="n"/>
      <c r="L389" s="45" t="n"/>
      <c r="O389" s="44" t="n"/>
    </row>
    <row r="390">
      <c r="A390" s="43" t="n"/>
      <c r="C390" s="44" t="n"/>
      <c r="D390" s="44" t="n"/>
      <c r="L390" s="45" t="n"/>
      <c r="O390" s="44" t="n"/>
    </row>
    <row r="391">
      <c r="A391" s="43" t="n"/>
      <c r="C391" s="44" t="n"/>
      <c r="D391" s="44" t="n"/>
      <c r="L391" s="45" t="n"/>
      <c r="O391" s="44" t="n"/>
    </row>
    <row r="392">
      <c r="A392" s="43" t="n"/>
      <c r="C392" s="44" t="n"/>
      <c r="D392" s="44" t="n"/>
      <c r="L392" s="45" t="n"/>
      <c r="O392" s="44" t="n"/>
    </row>
    <row r="393">
      <c r="A393" s="43" t="n"/>
      <c r="C393" s="44" t="n"/>
      <c r="D393" s="44" t="n"/>
      <c r="L393" s="45" t="n"/>
      <c r="O393" s="44" t="n"/>
    </row>
    <row r="394">
      <c r="A394" s="43" t="n"/>
      <c r="C394" s="44" t="n"/>
      <c r="D394" s="44" t="n"/>
      <c r="L394" s="45" t="n"/>
      <c r="O394" s="44" t="n"/>
    </row>
    <row r="395">
      <c r="A395" s="43" t="n"/>
      <c r="C395" s="44" t="n"/>
      <c r="D395" s="44" t="n"/>
      <c r="L395" s="45" t="n"/>
      <c r="O395" s="44" t="n"/>
    </row>
    <row r="396">
      <c r="A396" s="43" t="n"/>
      <c r="C396" s="44" t="n"/>
      <c r="D396" s="44" t="n"/>
      <c r="L396" s="45" t="n"/>
      <c r="O396" s="44" t="n"/>
    </row>
    <row r="397">
      <c r="A397" s="43" t="n"/>
      <c r="C397" s="44" t="n"/>
      <c r="D397" s="44" t="n"/>
      <c r="L397" s="45" t="n"/>
      <c r="O397" s="44" t="n"/>
    </row>
    <row r="398">
      <c r="A398" s="43" t="n"/>
      <c r="C398" s="44" t="n"/>
      <c r="D398" s="44" t="n"/>
      <c r="L398" s="45" t="n"/>
      <c r="O398" s="44" t="n"/>
    </row>
    <row r="399">
      <c r="A399" s="43" t="n"/>
      <c r="C399" s="44" t="n"/>
      <c r="D399" s="44" t="n"/>
      <c r="L399" s="45" t="n"/>
      <c r="O399" s="44" t="n"/>
    </row>
    <row r="400">
      <c r="A400" s="43" t="n"/>
      <c r="C400" s="44" t="n"/>
      <c r="D400" s="44" t="n"/>
      <c r="L400" s="45" t="n"/>
      <c r="O400" s="44" t="n"/>
    </row>
    <row r="401">
      <c r="A401" s="43" t="n"/>
      <c r="C401" s="44" t="n"/>
      <c r="D401" s="44" t="n"/>
      <c r="L401" s="45" t="n"/>
      <c r="O401" s="44" t="n"/>
    </row>
    <row r="402">
      <c r="A402" s="43" t="n"/>
      <c r="C402" s="44" t="n"/>
      <c r="D402" s="44" t="n"/>
      <c r="L402" s="45" t="n"/>
      <c r="O402" s="44" t="n"/>
    </row>
    <row r="403">
      <c r="A403" s="43" t="n"/>
      <c r="C403" s="44" t="n"/>
      <c r="D403" s="44" t="n"/>
      <c r="L403" s="45" t="n"/>
      <c r="O403" s="44" t="n"/>
    </row>
    <row r="404">
      <c r="A404" s="43" t="n"/>
      <c r="C404" s="44" t="n"/>
      <c r="D404" s="44" t="n"/>
      <c r="L404" s="45" t="n"/>
      <c r="O404" s="44" t="n"/>
    </row>
    <row r="405">
      <c r="A405" s="43" t="n"/>
      <c r="C405" s="44" t="n"/>
      <c r="D405" s="44" t="n"/>
      <c r="L405" s="45" t="n"/>
      <c r="O405" s="44" t="n"/>
    </row>
    <row r="406">
      <c r="A406" s="43" t="n"/>
      <c r="C406" s="44" t="n"/>
      <c r="D406" s="44" t="n"/>
      <c r="L406" s="45" t="n"/>
      <c r="O406" s="44" t="n"/>
    </row>
    <row r="407">
      <c r="A407" s="43" t="n"/>
      <c r="C407" s="44" t="n"/>
      <c r="D407" s="44" t="n"/>
      <c r="L407" s="45" t="n"/>
      <c r="O407" s="44" t="n"/>
    </row>
    <row r="408">
      <c r="A408" s="43" t="n"/>
      <c r="C408" s="44" t="n"/>
      <c r="D408" s="44" t="n"/>
      <c r="L408" s="45" t="n"/>
      <c r="O408" s="44" t="n"/>
    </row>
    <row r="409">
      <c r="A409" s="43" t="n"/>
      <c r="C409" s="44" t="n"/>
      <c r="D409" s="44" t="n"/>
      <c r="L409" s="45" t="n"/>
      <c r="O409" s="44" t="n"/>
    </row>
    <row r="410">
      <c r="A410" s="43" t="n"/>
      <c r="C410" s="44" t="n"/>
      <c r="D410" s="44" t="n"/>
      <c r="L410" s="45" t="n"/>
      <c r="O410" s="44" t="n"/>
    </row>
    <row r="411">
      <c r="A411" s="43" t="n"/>
      <c r="C411" s="44" t="n"/>
      <c r="D411" s="44" t="n"/>
      <c r="L411" s="45" t="n"/>
      <c r="O411" s="44" t="n"/>
    </row>
    <row r="412">
      <c r="A412" s="43" t="n"/>
      <c r="C412" s="44" t="n"/>
      <c r="D412" s="44" t="n"/>
      <c r="L412" s="45" t="n"/>
      <c r="O412" s="44" t="n"/>
    </row>
    <row r="413">
      <c r="A413" s="43" t="n"/>
      <c r="C413" s="44" t="n"/>
      <c r="D413" s="44" t="n"/>
      <c r="L413" s="45" t="n"/>
      <c r="O413" s="44" t="n"/>
    </row>
    <row r="414">
      <c r="A414" s="43" t="n"/>
      <c r="C414" s="44" t="n"/>
      <c r="D414" s="44" t="n"/>
      <c r="L414" s="45" t="n"/>
      <c r="O414" s="44" t="n"/>
    </row>
    <row r="415">
      <c r="A415" s="43" t="n"/>
      <c r="C415" s="44" t="n"/>
      <c r="D415" s="44" t="n"/>
      <c r="L415" s="45" t="n"/>
      <c r="O415" s="44" t="n"/>
    </row>
    <row r="416">
      <c r="A416" s="43" t="n"/>
      <c r="C416" s="44" t="n"/>
      <c r="D416" s="44" t="n"/>
      <c r="L416" s="45" t="n"/>
      <c r="O416" s="44" t="n"/>
    </row>
    <row r="417">
      <c r="A417" s="43" t="n"/>
      <c r="C417" s="44" t="n"/>
      <c r="D417" s="44" t="n"/>
      <c r="L417" s="45" t="n"/>
      <c r="O417" s="44" t="n"/>
    </row>
    <row r="418">
      <c r="A418" s="43" t="n"/>
      <c r="C418" s="44" t="n"/>
      <c r="D418" s="44" t="n"/>
      <c r="L418" s="45" t="n"/>
      <c r="O418" s="44" t="n"/>
    </row>
    <row r="419">
      <c r="A419" s="43" t="n"/>
      <c r="C419" s="44" t="n"/>
      <c r="D419" s="44" t="n"/>
      <c r="L419" s="45" t="n"/>
      <c r="O419" s="44" t="n"/>
    </row>
    <row r="420">
      <c r="A420" s="43" t="n"/>
      <c r="C420" s="44" t="n"/>
      <c r="D420" s="44" t="n"/>
      <c r="L420" s="45" t="n"/>
      <c r="O420" s="44" t="n"/>
    </row>
    <row r="421">
      <c r="A421" s="43" t="n"/>
      <c r="C421" s="44" t="n"/>
      <c r="D421" s="44" t="n"/>
      <c r="L421" s="45" t="n"/>
      <c r="O421" s="44" t="n"/>
    </row>
    <row r="422">
      <c r="A422" s="43" t="n"/>
      <c r="C422" s="44" t="n"/>
      <c r="D422" s="44" t="n"/>
      <c r="L422" s="45" t="n"/>
      <c r="O422" s="44" t="n"/>
    </row>
    <row r="423">
      <c r="A423" s="43" t="n"/>
      <c r="C423" s="44" t="n"/>
      <c r="D423" s="44" t="n"/>
      <c r="L423" s="45" t="n"/>
      <c r="O423" s="44" t="n"/>
    </row>
    <row r="424">
      <c r="A424" s="43" t="n"/>
      <c r="C424" s="44" t="n"/>
      <c r="D424" s="44" t="n"/>
      <c r="L424" s="45" t="n"/>
      <c r="O424" s="44" t="n"/>
    </row>
    <row r="425">
      <c r="A425" s="43" t="n"/>
      <c r="C425" s="44" t="n"/>
      <c r="D425" s="44" t="n"/>
      <c r="L425" s="45" t="n"/>
      <c r="O425" s="44" t="n"/>
    </row>
    <row r="426">
      <c r="A426" s="43" t="n"/>
      <c r="C426" s="44" t="n"/>
      <c r="D426" s="44" t="n"/>
      <c r="L426" s="45" t="n"/>
      <c r="O426" s="44" t="n"/>
    </row>
    <row r="427">
      <c r="A427" s="43" t="n"/>
      <c r="C427" s="44" t="n"/>
      <c r="D427" s="44" t="n"/>
      <c r="L427" s="45" t="n"/>
      <c r="O427" s="44" t="n"/>
    </row>
    <row r="428">
      <c r="A428" s="43" t="n"/>
      <c r="C428" s="44" t="n"/>
      <c r="D428" s="44" t="n"/>
      <c r="L428" s="45" t="n"/>
      <c r="O428" s="44" t="n"/>
    </row>
    <row r="429">
      <c r="A429" s="43" t="n"/>
      <c r="C429" s="44" t="n"/>
      <c r="D429" s="44" t="n"/>
      <c r="L429" s="45" t="n"/>
      <c r="O429" s="44" t="n"/>
    </row>
    <row r="430">
      <c r="A430" s="43" t="n"/>
      <c r="C430" s="44" t="n"/>
      <c r="D430" s="44" t="n"/>
      <c r="L430" s="45" t="n"/>
      <c r="O430" s="44" t="n"/>
    </row>
    <row r="431">
      <c r="A431" s="43" t="n"/>
      <c r="C431" s="44" t="n"/>
      <c r="D431" s="44" t="n"/>
      <c r="L431" s="45" t="n"/>
      <c r="O431" s="44" t="n"/>
    </row>
    <row r="432">
      <c r="A432" s="43" t="n"/>
      <c r="C432" s="44" t="n"/>
      <c r="D432" s="44" t="n"/>
      <c r="L432" s="45" t="n"/>
      <c r="O432" s="44" t="n"/>
    </row>
    <row r="433">
      <c r="A433" s="43" t="n"/>
      <c r="C433" s="44" t="n"/>
      <c r="D433" s="44" t="n"/>
      <c r="L433" s="45" t="n"/>
      <c r="O433" s="44" t="n"/>
    </row>
    <row r="434">
      <c r="A434" s="43" t="n"/>
      <c r="C434" s="44" t="n"/>
      <c r="D434" s="44" t="n"/>
      <c r="L434" s="45" t="n"/>
      <c r="O434" s="44" t="n"/>
    </row>
    <row r="435">
      <c r="A435" s="43" t="n"/>
      <c r="C435" s="44" t="n"/>
      <c r="D435" s="44" t="n"/>
      <c r="L435" s="45" t="n"/>
      <c r="O435" s="44" t="n"/>
    </row>
    <row r="436">
      <c r="A436" s="43" t="n"/>
      <c r="C436" s="44" t="n"/>
      <c r="D436" s="44" t="n"/>
      <c r="L436" s="45" t="n"/>
      <c r="O436" s="44" t="n"/>
    </row>
    <row r="437">
      <c r="A437" s="43" t="n"/>
      <c r="C437" s="44" t="n"/>
      <c r="D437" s="44" t="n"/>
      <c r="L437" s="45" t="n"/>
      <c r="O437" s="44" t="n"/>
    </row>
    <row r="438">
      <c r="A438" s="43" t="n"/>
      <c r="C438" s="44" t="n"/>
      <c r="D438" s="44" t="n"/>
      <c r="L438" s="45" t="n"/>
      <c r="O438" s="44" t="n"/>
    </row>
    <row r="439">
      <c r="A439" s="43" t="n"/>
      <c r="C439" s="44" t="n"/>
      <c r="D439" s="44" t="n"/>
      <c r="L439" s="45" t="n"/>
      <c r="O439" s="44" t="n"/>
    </row>
    <row r="440">
      <c r="A440" s="43" t="n"/>
      <c r="C440" s="44" t="n"/>
      <c r="D440" s="44" t="n"/>
      <c r="L440" s="45" t="n"/>
      <c r="O440" s="44" t="n"/>
    </row>
    <row r="441">
      <c r="A441" s="43" t="n"/>
      <c r="C441" s="44" t="n"/>
      <c r="D441" s="44" t="n"/>
      <c r="L441" s="45" t="n"/>
      <c r="O441" s="44" t="n"/>
    </row>
    <row r="442">
      <c r="A442" s="43" t="n"/>
      <c r="C442" s="44" t="n"/>
      <c r="D442" s="44" t="n"/>
      <c r="L442" s="45" t="n"/>
      <c r="O442" s="44" t="n"/>
    </row>
    <row r="443">
      <c r="A443" s="43" t="n"/>
      <c r="C443" s="44" t="n"/>
      <c r="D443" s="44" t="n"/>
      <c r="L443" s="45" t="n"/>
      <c r="O443" s="44" t="n"/>
    </row>
    <row r="444">
      <c r="A444" s="43" t="n"/>
      <c r="C444" s="44" t="n"/>
      <c r="D444" s="44" t="n"/>
      <c r="L444" s="45" t="n"/>
      <c r="O444" s="44" t="n"/>
    </row>
    <row r="445">
      <c r="A445" s="43" t="n"/>
      <c r="C445" s="44" t="n"/>
      <c r="D445" s="44" t="n"/>
      <c r="L445" s="45" t="n"/>
      <c r="O445" s="44" t="n"/>
    </row>
    <row r="446">
      <c r="A446" s="43" t="n"/>
      <c r="C446" s="44" t="n"/>
      <c r="D446" s="44" t="n"/>
      <c r="L446" s="45" t="n"/>
      <c r="O446" s="44" t="n"/>
    </row>
    <row r="447">
      <c r="A447" s="43" t="n"/>
      <c r="C447" s="44" t="n"/>
      <c r="D447" s="44" t="n"/>
      <c r="L447" s="45" t="n"/>
      <c r="O447" s="44" t="n"/>
    </row>
    <row r="448">
      <c r="A448" s="43" t="n"/>
      <c r="C448" s="44" t="n"/>
      <c r="D448" s="44" t="n"/>
      <c r="L448" s="45" t="n"/>
      <c r="O448" s="44" t="n"/>
    </row>
    <row r="449">
      <c r="A449" s="43" t="n"/>
      <c r="C449" s="44" t="n"/>
      <c r="D449" s="44" t="n"/>
      <c r="L449" s="45" t="n"/>
      <c r="O449" s="44" t="n"/>
    </row>
    <row r="450">
      <c r="A450" s="43" t="n"/>
      <c r="C450" s="44" t="n"/>
      <c r="D450" s="44" t="n"/>
      <c r="L450" s="45" t="n"/>
      <c r="O450" s="44" t="n"/>
    </row>
    <row r="451">
      <c r="A451" s="43" t="n"/>
      <c r="C451" s="44" t="n"/>
      <c r="D451" s="44" t="n"/>
      <c r="L451" s="45" t="n"/>
      <c r="O451" s="44" t="n"/>
    </row>
    <row r="452">
      <c r="A452" s="43" t="n"/>
      <c r="C452" s="44" t="n"/>
      <c r="D452" s="44" t="n"/>
      <c r="L452" s="45" t="n"/>
      <c r="O452" s="44" t="n"/>
    </row>
    <row r="453">
      <c r="A453" s="43" t="n"/>
      <c r="C453" s="44" t="n"/>
      <c r="D453" s="44" t="n"/>
      <c r="L453" s="45" t="n"/>
      <c r="O453" s="44" t="n"/>
    </row>
    <row r="454">
      <c r="A454" s="43" t="n"/>
      <c r="C454" s="44" t="n"/>
      <c r="D454" s="44" t="n"/>
      <c r="L454" s="45" t="n"/>
      <c r="O454" s="44" t="n"/>
    </row>
    <row r="455">
      <c r="A455" s="43" t="n"/>
      <c r="C455" s="44" t="n"/>
      <c r="D455" s="44" t="n"/>
      <c r="L455" s="45" t="n"/>
      <c r="O455" s="44" t="n"/>
    </row>
    <row r="456">
      <c r="A456" s="43" t="n"/>
      <c r="C456" s="44" t="n"/>
      <c r="D456" s="44" t="n"/>
      <c r="L456" s="45" t="n"/>
      <c r="O456" s="44" t="n"/>
    </row>
    <row r="457">
      <c r="A457" s="43" t="n"/>
      <c r="C457" s="44" t="n"/>
      <c r="D457" s="44" t="n"/>
      <c r="L457" s="45" t="n"/>
      <c r="O457" s="44" t="n"/>
    </row>
    <row r="458">
      <c r="A458" s="43" t="n"/>
      <c r="C458" s="44" t="n"/>
      <c r="D458" s="44" t="n"/>
      <c r="L458" s="45" t="n"/>
      <c r="O458" s="44" t="n"/>
    </row>
    <row r="459">
      <c r="A459" s="43" t="n"/>
      <c r="C459" s="44" t="n"/>
      <c r="D459" s="44" t="n"/>
      <c r="L459" s="45" t="n"/>
      <c r="O459" s="44" t="n"/>
    </row>
    <row r="460">
      <c r="A460" s="43" t="n"/>
      <c r="C460" s="44" t="n"/>
      <c r="D460" s="44" t="n"/>
      <c r="L460" s="45" t="n"/>
      <c r="O460" s="44" t="n"/>
    </row>
    <row r="461">
      <c r="A461" s="43" t="n"/>
      <c r="C461" s="44" t="n"/>
      <c r="D461" s="44" t="n"/>
      <c r="L461" s="45" t="n"/>
      <c r="O461" s="44" t="n"/>
    </row>
    <row r="462">
      <c r="A462" s="43" t="n"/>
      <c r="C462" s="44" t="n"/>
      <c r="D462" s="44" t="n"/>
      <c r="L462" s="45" t="n"/>
      <c r="O462" s="44" t="n"/>
    </row>
    <row r="463">
      <c r="A463" s="43" t="n"/>
      <c r="C463" s="44" t="n"/>
      <c r="D463" s="44" t="n"/>
      <c r="L463" s="45" t="n"/>
      <c r="O463" s="44" t="n"/>
    </row>
    <row r="464">
      <c r="A464" s="43" t="n"/>
      <c r="C464" s="44" t="n"/>
      <c r="D464" s="44" t="n"/>
      <c r="L464" s="45" t="n"/>
      <c r="O464" s="44" t="n"/>
    </row>
    <row r="465">
      <c r="A465" s="43" t="n"/>
      <c r="C465" s="44" t="n"/>
      <c r="D465" s="44" t="n"/>
      <c r="L465" s="45" t="n"/>
      <c r="O465" s="44" t="n"/>
    </row>
    <row r="466">
      <c r="A466" s="43" t="n"/>
      <c r="C466" s="44" t="n"/>
      <c r="D466" s="44" t="n"/>
      <c r="L466" s="45" t="n"/>
      <c r="O466" s="44" t="n"/>
    </row>
    <row r="467">
      <c r="A467" s="43" t="n"/>
      <c r="C467" s="44" t="n"/>
      <c r="D467" s="44" t="n"/>
      <c r="L467" s="45" t="n"/>
      <c r="O467" s="44" t="n"/>
    </row>
    <row r="468">
      <c r="A468" s="43" t="n"/>
      <c r="C468" s="44" t="n"/>
      <c r="D468" s="44" t="n"/>
      <c r="L468" s="45" t="n"/>
      <c r="O468" s="44" t="n"/>
    </row>
    <row r="469">
      <c r="A469" s="43" t="n"/>
      <c r="C469" s="44" t="n"/>
      <c r="D469" s="44" t="n"/>
      <c r="L469" s="45" t="n"/>
      <c r="O469" s="44" t="n"/>
    </row>
    <row r="470">
      <c r="A470" s="43" t="n"/>
      <c r="C470" s="44" t="n"/>
      <c r="D470" s="44" t="n"/>
      <c r="L470" s="45" t="n"/>
      <c r="O470" s="44" t="n"/>
    </row>
    <row r="471">
      <c r="A471" s="43" t="n"/>
      <c r="C471" s="44" t="n"/>
      <c r="D471" s="44" t="n"/>
      <c r="L471" s="45" t="n"/>
      <c r="O471" s="44" t="n"/>
    </row>
    <row r="472">
      <c r="A472" s="43" t="n"/>
      <c r="C472" s="44" t="n"/>
      <c r="D472" s="44" t="n"/>
      <c r="L472" s="45" t="n"/>
      <c r="O472" s="44" t="n"/>
    </row>
    <row r="473">
      <c r="A473" s="43" t="n"/>
      <c r="C473" s="44" t="n"/>
      <c r="D473" s="44" t="n"/>
      <c r="L473" s="45" t="n"/>
      <c r="O473" s="44" t="n"/>
    </row>
    <row r="474">
      <c r="A474" s="43" t="n"/>
      <c r="C474" s="44" t="n"/>
      <c r="D474" s="44" t="n"/>
      <c r="L474" s="45" t="n"/>
      <c r="O474" s="44" t="n"/>
    </row>
    <row r="475">
      <c r="A475" s="43" t="n"/>
      <c r="C475" s="44" t="n"/>
      <c r="D475" s="44" t="n"/>
      <c r="L475" s="45" t="n"/>
      <c r="O475" s="44" t="n"/>
    </row>
    <row r="476">
      <c r="A476" s="43" t="n"/>
      <c r="C476" s="44" t="n"/>
      <c r="D476" s="44" t="n"/>
      <c r="L476" s="45" t="n"/>
      <c r="O476" s="44" t="n"/>
    </row>
    <row r="477">
      <c r="A477" s="43" t="n"/>
      <c r="C477" s="44" t="n"/>
      <c r="D477" s="44" t="n"/>
      <c r="L477" s="45" t="n"/>
      <c r="O477" s="44" t="n"/>
    </row>
    <row r="478">
      <c r="A478" s="43" t="n"/>
      <c r="C478" s="44" t="n"/>
      <c r="D478" s="44" t="n"/>
      <c r="L478" s="45" t="n"/>
      <c r="O478" s="44" t="n"/>
    </row>
    <row r="479">
      <c r="A479" s="43" t="n"/>
      <c r="C479" s="44" t="n"/>
      <c r="D479" s="44" t="n"/>
      <c r="L479" s="45" t="n"/>
      <c r="O479" s="44" t="n"/>
    </row>
    <row r="480">
      <c r="A480" s="43" t="n"/>
      <c r="C480" s="44" t="n"/>
      <c r="D480" s="44" t="n"/>
      <c r="L480" s="45" t="n"/>
      <c r="O480" s="44" t="n"/>
    </row>
    <row r="481">
      <c r="A481" s="43" t="n"/>
      <c r="C481" s="44" t="n"/>
      <c r="D481" s="44" t="n"/>
      <c r="L481" s="45" t="n"/>
      <c r="O481" s="44" t="n"/>
    </row>
    <row r="482">
      <c r="A482" s="43" t="n"/>
      <c r="C482" s="44" t="n"/>
      <c r="D482" s="44" t="n"/>
      <c r="L482" s="45" t="n"/>
      <c r="O482" s="44" t="n"/>
    </row>
    <row r="483">
      <c r="A483" s="43" t="n"/>
      <c r="C483" s="44" t="n"/>
      <c r="D483" s="44" t="n"/>
      <c r="L483" s="45" t="n"/>
      <c r="O483" s="44" t="n"/>
    </row>
    <row r="484">
      <c r="A484" s="43" t="n"/>
      <c r="C484" s="44" t="n"/>
      <c r="D484" s="44" t="n"/>
      <c r="L484" s="45" t="n"/>
      <c r="O484" s="44" t="n"/>
    </row>
    <row r="485">
      <c r="A485" s="43" t="n"/>
      <c r="C485" s="44" t="n"/>
      <c r="D485" s="44" t="n"/>
      <c r="L485" s="45" t="n"/>
      <c r="O485" s="44" t="n"/>
    </row>
    <row r="486">
      <c r="A486" s="43" t="n"/>
      <c r="C486" s="44" t="n"/>
      <c r="D486" s="44" t="n"/>
      <c r="L486" s="45" t="n"/>
      <c r="O486" s="44" t="n"/>
    </row>
    <row r="487">
      <c r="A487" s="43" t="n"/>
      <c r="C487" s="44" t="n"/>
      <c r="D487" s="44" t="n"/>
      <c r="L487" s="45" t="n"/>
      <c r="O487" s="44" t="n"/>
    </row>
    <row r="488">
      <c r="A488" s="43" t="n"/>
      <c r="C488" s="44" t="n"/>
      <c r="D488" s="44" t="n"/>
      <c r="L488" s="45" t="n"/>
      <c r="O488" s="44" t="n"/>
    </row>
    <row r="489">
      <c r="A489" s="43" t="n"/>
      <c r="C489" s="44" t="n"/>
      <c r="D489" s="44" t="n"/>
      <c r="L489" s="45" t="n"/>
      <c r="O489" s="44" t="n"/>
    </row>
    <row r="490">
      <c r="A490" s="43" t="n"/>
      <c r="C490" s="44" t="n"/>
      <c r="D490" s="44" t="n"/>
      <c r="L490" s="45" t="n"/>
      <c r="O490" s="44" t="n"/>
    </row>
    <row r="491">
      <c r="A491" s="43" t="n"/>
      <c r="C491" s="44" t="n"/>
      <c r="D491" s="44" t="n"/>
      <c r="L491" s="45" t="n"/>
      <c r="O491" s="44" t="n"/>
    </row>
    <row r="492">
      <c r="A492" s="43" t="n"/>
      <c r="C492" s="44" t="n"/>
      <c r="D492" s="44" t="n"/>
      <c r="L492" s="45" t="n"/>
      <c r="O492" s="44" t="n"/>
    </row>
    <row r="493">
      <c r="A493" s="43" t="n"/>
      <c r="C493" s="44" t="n"/>
      <c r="D493" s="44" t="n"/>
      <c r="L493" s="45" t="n"/>
      <c r="O493" s="44" t="n"/>
    </row>
    <row r="494">
      <c r="A494" s="43" t="n"/>
      <c r="C494" s="44" t="n"/>
      <c r="D494" s="44" t="n"/>
      <c r="L494" s="45" t="n"/>
      <c r="O494" s="44" t="n"/>
    </row>
    <row r="495">
      <c r="A495" s="43" t="n"/>
      <c r="C495" s="44" t="n"/>
      <c r="D495" s="44" t="n"/>
      <c r="L495" s="45" t="n"/>
      <c r="O495" s="44" t="n"/>
    </row>
    <row r="496">
      <c r="A496" s="43" t="n"/>
      <c r="C496" s="44" t="n"/>
      <c r="D496" s="44" t="n"/>
      <c r="L496" s="45" t="n"/>
      <c r="O496" s="44" t="n"/>
    </row>
    <row r="497">
      <c r="A497" s="43" t="n"/>
      <c r="C497" s="44" t="n"/>
      <c r="D497" s="44" t="n"/>
      <c r="L497" s="45" t="n"/>
      <c r="O497" s="44" t="n"/>
    </row>
    <row r="498">
      <c r="A498" s="43" t="n"/>
      <c r="C498" s="44" t="n"/>
      <c r="D498" s="44" t="n"/>
      <c r="L498" s="45" t="n"/>
      <c r="O498" s="44" t="n"/>
    </row>
    <row r="499">
      <c r="A499" s="43" t="n"/>
      <c r="C499" s="44" t="n"/>
      <c r="D499" s="44" t="n"/>
      <c r="L499" s="45" t="n"/>
      <c r="O499" s="44" t="n"/>
    </row>
    <row r="500">
      <c r="A500" s="43" t="n"/>
      <c r="C500" s="44" t="n"/>
      <c r="D500" s="44" t="n"/>
      <c r="L500" s="45" t="n"/>
      <c r="O500" s="44" t="n"/>
    </row>
    <row r="501">
      <c r="A501" s="43" t="n"/>
      <c r="C501" s="44" t="n"/>
      <c r="D501" s="44" t="n"/>
      <c r="L501" s="45" t="n"/>
      <c r="O501" s="44" t="n"/>
    </row>
    <row r="502">
      <c r="A502" s="43" t="n"/>
      <c r="C502" s="44" t="n"/>
      <c r="D502" s="44" t="n"/>
      <c r="L502" s="45" t="n"/>
      <c r="O502" s="44" t="n"/>
    </row>
    <row r="503">
      <c r="A503" s="43" t="n"/>
      <c r="C503" s="44" t="n"/>
      <c r="D503" s="44" t="n"/>
      <c r="L503" s="45" t="n"/>
      <c r="O503" s="44" t="n"/>
    </row>
    <row r="504">
      <c r="A504" s="43" t="n"/>
      <c r="C504" s="44" t="n"/>
      <c r="D504" s="44" t="n"/>
      <c r="L504" s="45" t="n"/>
      <c r="O504" s="44" t="n"/>
    </row>
  </sheetData>
  <autoFilter ref="A3:X504"/>
  <conditionalFormatting sqref="F2">
    <cfRule type="cellIs" priority="1" operator="lessThan" dxfId="0">
      <formula>0</formula>
    </cfRule>
    <cfRule type="cellIs" priority="2" operator="greaterThanOrEqual" dxfId="1">
      <formula>0</formula>
    </cfRule>
  </conditionalFormatting>
  <conditionalFormatting sqref="H2">
    <cfRule type="cellIs" priority="3" operator="lessThan" dxfId="0">
      <formula>0.9</formula>
    </cfRule>
    <cfRule type="cellIs" priority="4" operator="greaterThanOrEqual" dxfId="1">
      <formula>1</formula>
    </cfRule>
  </conditionalFormatting>
  <conditionalFormatting sqref="R2">
    <cfRule type="cellIs" priority="5" operator="lessThan" dxfId="0">
      <formula>P2</formula>
    </cfRule>
  </conditionalFormatting>
  <dataValidations count="10">
    <dataValidation sqref="B5:B504" showDropDown="0" showInputMessage="0" showErrorMessage="0" allowBlank="1" type="list">
      <formula1>'選択肢マスター'!$A$2:$A$3</formula1>
    </dataValidation>
    <dataValidation sqref="E5:E504" showDropDown="0" showInputMessage="0" showErrorMessage="0" allowBlank="1" type="list">
      <formula1>'選択肢マスター'!$B$2:$B$23</formula1>
    </dataValidation>
    <dataValidation sqref="M5:M504" showDropDown="0" showInputMessage="0" showErrorMessage="0" allowBlank="1" type="list">
      <formula1>'選択肢マスター'!$C$2:$C$16</formula1>
    </dataValidation>
    <dataValidation sqref="N5:N504" showDropDown="0" showInputMessage="0" showErrorMessage="0" allowBlank="1" type="list">
      <formula1>'選択肢マスター'!$D$2:$D$7</formula1>
    </dataValidation>
    <dataValidation sqref="P5:P504" showDropDown="0" showInputMessage="0" showErrorMessage="0" allowBlank="1" type="list">
      <formula1>'選択肢マスター'!$E$2:$E$5</formula1>
    </dataValidation>
    <dataValidation sqref="Q5:Q504" showDropDown="0" showInputMessage="0" showErrorMessage="0" allowBlank="1" type="list">
      <formula1>'選択肢マスター'!$F$2:$F$5</formula1>
    </dataValidation>
    <dataValidation sqref="S5:S504" showDropDown="0" showInputMessage="0" showErrorMessage="0" allowBlank="1" type="list">
      <formula1>'選択肢マスター'!$G$2:$G$8</formula1>
    </dataValidation>
    <dataValidation sqref="T5:T504" showDropDown="0" showInputMessage="0" showErrorMessage="0" allowBlank="1" type="list">
      <formula1>'選択肢マスター'!$J$2:$J$3</formula1>
    </dataValidation>
    <dataValidation sqref="U5:U504" showDropDown="0" showInputMessage="0" showErrorMessage="0" allowBlank="1" type="list">
      <formula1>'選択肢マスター'!$H$2:$H$5</formula1>
    </dataValidation>
    <dataValidation sqref="V5:V504" showDropDown="0" showInputMessage="0" showErrorMessage="0" allowBlank="1" type="list">
      <formula1>'選択肢マスター'!$I$2:$I$5</formula1>
    </dataValidation>
  </dataValidation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X504"/>
  <sheetViews>
    <sheetView workbookViewId="0">
      <pane ySplit="4" topLeftCell="A5" activePane="bottomLeft" state="frozen"/>
      <selection pane="bottomLeft" activeCell="A1" sqref="A1"/>
    </sheetView>
  </sheetViews>
  <sheetFormatPr baseColWidth="8" defaultRowHeight="15"/>
  <cols>
    <col width="9" customWidth="1" min="1" max="1"/>
    <col width="11" customWidth="1" min="2" max="2"/>
    <col width="12" customWidth="1" min="3" max="3"/>
    <col width="12" customWidth="1" min="4" max="4"/>
    <col width="17" customWidth="1" min="5" max="5"/>
    <col width="20" customWidth="1" min="6" max="6"/>
    <col width="14" customWidth="1" min="7" max="7"/>
    <col width="16" customWidth="1" min="8" max="8"/>
    <col width="14" customWidth="1" min="9" max="9"/>
    <col width="11" customWidth="1" min="10" max="10"/>
    <col width="30" customWidth="1" min="11" max="11"/>
    <col width="12" customWidth="1" min="12" max="12"/>
    <col width="20" customWidth="1" min="13" max="13"/>
    <col width="12" customWidth="1" min="14" max="14"/>
    <col width="14" customWidth="1" min="15" max="15"/>
    <col width="12" customWidth="1" min="16" max="16"/>
    <col width="12" customWidth="1" min="17" max="17"/>
    <col width="34" customWidth="1" min="18" max="18"/>
    <col width="14" customWidth="1" min="19" max="19"/>
    <col width="11" customWidth="1" min="20" max="20"/>
    <col width="11" customWidth="1" min="21" max="21"/>
    <col width="12" customWidth="1" min="22" max="22"/>
    <col width="24" customWidth="1" min="23" max="23"/>
    <col width="10" customWidth="1" min="24" max="24"/>
  </cols>
  <sheetData>
    <row r="1" ht="18" customHeight="1">
      <c r="A1" s="8" t="inlineStr">
        <is>
          <t>◆ 3月の売上・顧客。入力は 5 行目から。2行目＝今月の目標、4行目＝自動集計（数式・触らない）</t>
        </is>
      </c>
    </row>
    <row r="2" ht="20" customHeight="1">
      <c r="A2" s="24" t="inlineStr">
        <is>
          <t>今月目標(売上)</t>
        </is>
      </c>
      <c r="B2" s="25" t="n">
        <v>1850000</v>
      </c>
      <c r="C2" s="24" t="inlineStr">
        <is>
          <t>売上 現在</t>
        </is>
      </c>
      <c r="D2" s="25">
        <f>$L$4</f>
        <v/>
      </c>
      <c r="E2" s="24" t="inlineStr">
        <is>
          <t>過不足</t>
        </is>
      </c>
      <c r="F2" s="25">
        <f>D2-B2</f>
        <v/>
      </c>
      <c r="G2" s="24" t="inlineStr">
        <is>
          <t>達成率</t>
        </is>
      </c>
      <c r="H2" s="26">
        <f>IFERROR(D2/B2,0)</f>
        <v/>
      </c>
      <c r="I2" s="24" t="inlineStr">
        <is>
          <t>必要件数</t>
        </is>
      </c>
      <c r="J2" s="27" t="n">
        <v>46</v>
      </c>
      <c r="K2" s="24" t="inlineStr">
        <is>
          <t>件数 現在</t>
        </is>
      </c>
      <c r="L2" s="27">
        <f>$E$4</f>
        <v/>
      </c>
      <c r="M2" s="24" t="inlineStr">
        <is>
          <t>残り件数</t>
        </is>
      </c>
      <c r="N2" s="27">
        <f>J2-L2</f>
        <v/>
      </c>
      <c r="O2" s="24" t="inlineStr">
        <is>
          <t>④ネット新規 目標</t>
        </is>
      </c>
      <c r="P2" s="27" t="n">
        <v>8</v>
      </c>
      <c r="Q2" s="24" t="inlineStr">
        <is>
          <t>④ 現在</t>
        </is>
      </c>
      <c r="R2" s="27">
        <f>$R$4</f>
        <v/>
      </c>
    </row>
    <row r="3" ht="30" customHeight="1">
      <c r="A3" s="3" t="inlineStr">
        <is>
          <t>通し番号</t>
        </is>
      </c>
      <c r="B3" s="3" t="inlineStr">
        <is>
          <t>売上種類</t>
        </is>
      </c>
      <c r="C3" s="3" t="inlineStr">
        <is>
          <t>受注日</t>
        </is>
      </c>
      <c r="D3" s="3" t="inlineStr">
        <is>
          <t>施工日付</t>
        </is>
      </c>
      <c r="E3" s="3" t="inlineStr">
        <is>
          <t>流入経路</t>
        </is>
      </c>
      <c r="F3" s="3" t="inlineStr">
        <is>
          <t>流入元の識別子(?src=)</t>
        </is>
      </c>
      <c r="G3" s="3" t="inlineStr">
        <is>
          <t>紹介者（顧客ID）</t>
        </is>
      </c>
      <c r="H3" s="3" t="inlineStr">
        <is>
          <t>氏名</t>
        </is>
      </c>
      <c r="I3" s="3" t="inlineStr">
        <is>
          <t>TEL(-無し)</t>
        </is>
      </c>
      <c r="J3" s="3" t="inlineStr">
        <is>
          <t>郵便番号(-無し)</t>
        </is>
      </c>
      <c r="K3" s="3" t="inlineStr">
        <is>
          <t>住所</t>
        </is>
      </c>
      <c r="L3" s="3" t="inlineStr">
        <is>
          <t>売上（税込）</t>
        </is>
      </c>
      <c r="M3" s="3" t="inlineStr">
        <is>
          <t>実施メニュー</t>
        </is>
      </c>
      <c r="N3" s="3" t="inlineStr">
        <is>
          <t>施工担当</t>
        </is>
      </c>
      <c r="O3" s="3" t="inlineStr">
        <is>
          <t>フォローコール日</t>
        </is>
      </c>
      <c r="P3" s="3" t="inlineStr">
        <is>
          <t>早期予約提案</t>
        </is>
      </c>
      <c r="Q3" s="3" t="inlineStr">
        <is>
          <t>フォローコール</t>
        </is>
      </c>
      <c r="R3" s="3" t="inlineStr">
        <is>
          <t>備考(お客様の声)</t>
        </is>
      </c>
      <c r="S3" s="3" t="inlineStr">
        <is>
          <t>入金経路</t>
        </is>
      </c>
      <c r="T3" s="3" t="inlineStr">
        <is>
          <t>入金額照合</t>
        </is>
      </c>
      <c r="U3" s="3" t="inlineStr">
        <is>
          <t>ＯＨ打診</t>
        </is>
      </c>
      <c r="V3" s="3" t="inlineStr">
        <is>
          <t>本舗ロイ区分</t>
        </is>
      </c>
      <c r="W3" s="3" t="inlineStr">
        <is>
          <t>お客様周辺/環境情報</t>
        </is>
      </c>
      <c r="X3" s="3" t="inlineStr">
        <is>
          <t>カウント用</t>
        </is>
      </c>
    </row>
    <row r="4" ht="20" customHeight="1">
      <c r="A4" s="28">
        <f>"▼自動集計"</f>
        <v/>
      </c>
      <c r="B4" s="29">
        <f>COUNTIFS($B$5:$B$504,"One Hitter")</f>
        <v/>
      </c>
      <c r="C4" s="30">
        <f>IFERROR(SUMPRODUCT(($C$5:$C$504&lt;&gt;"")*($D$5:$D$504&lt;&gt;"")*($D$5:$D$504-$C$5:$C$504))/SUMPRODUCT(($C$5:$C$504&lt;&gt;"")*($D$5:$D$504&lt;&gt;"")),0)</f>
        <v/>
      </c>
      <c r="D4" s="31">
        <f>COUNTIFS($B$5:$B$504,"本舗")</f>
        <v/>
      </c>
      <c r="E4" s="32">
        <f>COUNTA($D$5:$D$504)</f>
        <v/>
      </c>
      <c r="F4" s="33">
        <f>IFERROR(SUM($L$5:$L$504)/COUNTA($D$5:$D$504),0)</f>
        <v/>
      </c>
      <c r="G4" s="34">
        <f>COUNTA($G$5:$G$504)</f>
        <v/>
      </c>
      <c r="H4" s="35">
        <f>IFERROR(SUMIFS($L$5:$L$504,$B$5:$B$504,"One Hitter")/COUNTIFS($B$5:$B$504,"One Hitter"),0)</f>
        <v/>
      </c>
      <c r="I4" s="36">
        <f>IFERROR(SUMIFS($L$5:$L$504,$B$5:$B$504,"本舗")/COUNTIFS($B$5:$B$504,"本舗"),0)</f>
        <v/>
      </c>
      <c r="J4" s="37">
        <f>SUMIFS($L$5:$L$504,$B$5:$B$504,"One Hitter")</f>
        <v/>
      </c>
      <c r="K4" s="38">
        <f>SUMIFS($L$5:$L$504,$B$5:$B$504,"本舗")</f>
        <v/>
      </c>
      <c r="L4" s="39">
        <f>SUM($L$5:$L$504)</f>
        <v/>
      </c>
      <c r="M4" s="40" t="n"/>
      <c r="N4" s="40" t="n"/>
      <c r="O4" s="40" t="n"/>
      <c r="P4" s="40" t="n"/>
      <c r="Q4" s="40" t="n"/>
      <c r="R4" s="41">
        <f>COUNTIFS($E$5:$E$504,"HP")+COUNTIFS($E$5:$E$504,"LP")+COUNTIFS($E$5:$E$504,"SNS")+COUNTIFS($E$5:$E$504,"GBP(地図検索)")+COUNTIFS($E$5:$E$504,"公式LINE")+COUNTIFS($E$5:$E$504,"アフィリエイト")+COUNTIFS($E$5:$E$504,"LINE/SMS再販")+COUNTIFS($E$5:$E$504,"SMS")+COUNTIFS($E$5:$E$504,"広告")</f>
        <v/>
      </c>
      <c r="S4" s="42">
        <f>SUMIFS($L$5:$L$504,$E$5:$E$504,"HP")+SUMIFS($L$5:$L$504,$E$5:$E$504,"LP")+SUMIFS($L$5:$L$504,$E$5:$E$504,"SNS")+SUMIFS($L$5:$L$504,$E$5:$E$504,"GBP(地図検索)")+SUMIFS($L$5:$L$504,$E$5:$E$504,"公式LINE")+SUMIFS($L$5:$L$504,$E$5:$E$504,"アフィリエイト")+SUMIFS($L$5:$L$504,$E$5:$E$504,"LINE/SMS再販")+SUMIFS($L$5:$L$504,$E$5:$E$504,"SMS")+SUMIFS($L$5:$L$504,$E$5:$E$504,"広告")</f>
        <v/>
      </c>
      <c r="T4" s="40" t="n"/>
      <c r="U4" s="40" t="n"/>
      <c r="V4" s="40" t="n"/>
      <c r="W4" s="40" t="n"/>
      <c r="X4" s="40" t="n"/>
    </row>
    <row r="5">
      <c r="A5" s="43" t="n"/>
      <c r="C5" s="44" t="n"/>
      <c r="D5" s="44" t="n"/>
      <c r="L5" s="45" t="n"/>
      <c r="O5" s="44" t="n"/>
    </row>
    <row r="6">
      <c r="A6" s="43" t="n"/>
      <c r="C6" s="44" t="n"/>
      <c r="D6" s="44" t="n"/>
      <c r="L6" s="45" t="n"/>
      <c r="O6" s="44" t="n"/>
    </row>
    <row r="7">
      <c r="A7" s="43" t="n"/>
      <c r="C7" s="44" t="n"/>
      <c r="D7" s="44" t="n"/>
      <c r="L7" s="45" t="n"/>
      <c r="O7" s="44" t="n"/>
    </row>
    <row r="8">
      <c r="A8" s="43" t="n"/>
      <c r="C8" s="44" t="n"/>
      <c r="D8" s="44" t="n"/>
      <c r="L8" s="45" t="n"/>
      <c r="O8" s="44" t="n"/>
    </row>
    <row r="9">
      <c r="A9" s="43" t="n"/>
      <c r="C9" s="44" t="n"/>
      <c r="D9" s="44" t="n"/>
      <c r="L9" s="45" t="n"/>
      <c r="O9" s="44" t="n"/>
    </row>
    <row r="10">
      <c r="A10" s="43" t="n"/>
      <c r="C10" s="44" t="n"/>
      <c r="D10" s="44" t="n"/>
      <c r="L10" s="45" t="n"/>
      <c r="O10" s="44" t="n"/>
    </row>
    <row r="11">
      <c r="A11" s="43" t="n"/>
      <c r="C11" s="44" t="n"/>
      <c r="D11" s="44" t="n"/>
      <c r="L11" s="45" t="n"/>
      <c r="O11" s="44" t="n"/>
    </row>
    <row r="12">
      <c r="A12" s="43" t="n"/>
      <c r="C12" s="44" t="n"/>
      <c r="D12" s="44" t="n"/>
      <c r="L12" s="45" t="n"/>
      <c r="O12" s="44" t="n"/>
    </row>
    <row r="13">
      <c r="A13" s="43" t="n"/>
      <c r="C13" s="44" t="n"/>
      <c r="D13" s="44" t="n"/>
      <c r="L13" s="45" t="n"/>
      <c r="O13" s="44" t="n"/>
    </row>
    <row r="14">
      <c r="A14" s="43" t="n"/>
      <c r="C14" s="44" t="n"/>
      <c r="D14" s="44" t="n"/>
      <c r="L14" s="45" t="n"/>
      <c r="O14" s="44" t="n"/>
    </row>
    <row r="15">
      <c r="A15" s="43" t="n"/>
      <c r="C15" s="44" t="n"/>
      <c r="D15" s="44" t="n"/>
      <c r="L15" s="45" t="n"/>
      <c r="O15" s="44" t="n"/>
    </row>
    <row r="16">
      <c r="A16" s="43" t="n"/>
      <c r="C16" s="44" t="n"/>
      <c r="D16" s="44" t="n"/>
      <c r="L16" s="45" t="n"/>
      <c r="O16" s="44" t="n"/>
    </row>
    <row r="17">
      <c r="A17" s="43" t="n"/>
      <c r="C17" s="44" t="n"/>
      <c r="D17" s="44" t="n"/>
      <c r="L17" s="45" t="n"/>
      <c r="O17" s="44" t="n"/>
    </row>
    <row r="18">
      <c r="A18" s="43" t="n"/>
      <c r="C18" s="44" t="n"/>
      <c r="D18" s="44" t="n"/>
      <c r="L18" s="45" t="n"/>
      <c r="O18" s="44" t="n"/>
    </row>
    <row r="19">
      <c r="A19" s="43" t="n"/>
      <c r="C19" s="44" t="n"/>
      <c r="D19" s="44" t="n"/>
      <c r="L19" s="45" t="n"/>
      <c r="O19" s="44" t="n"/>
    </row>
    <row r="20">
      <c r="A20" s="43" t="n"/>
      <c r="C20" s="44" t="n"/>
      <c r="D20" s="44" t="n"/>
      <c r="L20" s="45" t="n"/>
      <c r="O20" s="44" t="n"/>
    </row>
    <row r="21">
      <c r="A21" s="43" t="n"/>
      <c r="C21" s="44" t="n"/>
      <c r="D21" s="44" t="n"/>
      <c r="L21" s="45" t="n"/>
      <c r="O21" s="44" t="n"/>
    </row>
    <row r="22">
      <c r="A22" s="43" t="n"/>
      <c r="C22" s="44" t="n"/>
      <c r="D22" s="44" t="n"/>
      <c r="L22" s="45" t="n"/>
      <c r="O22" s="44" t="n"/>
    </row>
    <row r="23">
      <c r="A23" s="43" t="n"/>
      <c r="C23" s="44" t="n"/>
      <c r="D23" s="44" t="n"/>
      <c r="L23" s="45" t="n"/>
      <c r="O23" s="44" t="n"/>
    </row>
    <row r="24">
      <c r="A24" s="43" t="n"/>
      <c r="C24" s="44" t="n"/>
      <c r="D24" s="44" t="n"/>
      <c r="L24" s="45" t="n"/>
      <c r="O24" s="44" t="n"/>
    </row>
    <row r="25">
      <c r="A25" s="43" t="n"/>
      <c r="C25" s="44" t="n"/>
      <c r="D25" s="44" t="n"/>
      <c r="L25" s="45" t="n"/>
      <c r="O25" s="44" t="n"/>
    </row>
    <row r="26">
      <c r="A26" s="43" t="n"/>
      <c r="C26" s="44" t="n"/>
      <c r="D26" s="44" t="n"/>
      <c r="L26" s="45" t="n"/>
      <c r="O26" s="44" t="n"/>
    </row>
    <row r="27">
      <c r="A27" s="43" t="n"/>
      <c r="C27" s="44" t="n"/>
      <c r="D27" s="44" t="n"/>
      <c r="L27" s="45" t="n"/>
      <c r="O27" s="44" t="n"/>
    </row>
    <row r="28">
      <c r="A28" s="43" t="n"/>
      <c r="C28" s="44" t="n"/>
      <c r="D28" s="44" t="n"/>
      <c r="L28" s="45" t="n"/>
      <c r="O28" s="44" t="n"/>
    </row>
    <row r="29">
      <c r="A29" s="43" t="n"/>
      <c r="C29" s="44" t="n"/>
      <c r="D29" s="44" t="n"/>
      <c r="L29" s="45" t="n"/>
      <c r="O29" s="44" t="n"/>
    </row>
    <row r="30">
      <c r="A30" s="43" t="n"/>
      <c r="C30" s="44" t="n"/>
      <c r="D30" s="44" t="n"/>
      <c r="L30" s="45" t="n"/>
      <c r="O30" s="44" t="n"/>
    </row>
    <row r="31">
      <c r="A31" s="43" t="n"/>
      <c r="C31" s="44" t="n"/>
      <c r="D31" s="44" t="n"/>
      <c r="L31" s="45" t="n"/>
      <c r="O31" s="44" t="n"/>
    </row>
    <row r="32">
      <c r="A32" s="43" t="n"/>
      <c r="C32" s="44" t="n"/>
      <c r="D32" s="44" t="n"/>
      <c r="L32" s="45" t="n"/>
      <c r="O32" s="44" t="n"/>
    </row>
    <row r="33">
      <c r="A33" s="43" t="n"/>
      <c r="C33" s="44" t="n"/>
      <c r="D33" s="44" t="n"/>
      <c r="L33" s="45" t="n"/>
      <c r="O33" s="44" t="n"/>
    </row>
    <row r="34">
      <c r="A34" s="43" t="n"/>
      <c r="C34" s="44" t="n"/>
      <c r="D34" s="44" t="n"/>
      <c r="L34" s="45" t="n"/>
      <c r="O34" s="44" t="n"/>
    </row>
    <row r="35">
      <c r="A35" s="43" t="n"/>
      <c r="C35" s="44" t="n"/>
      <c r="D35" s="44" t="n"/>
      <c r="L35" s="45" t="n"/>
      <c r="O35" s="44" t="n"/>
    </row>
    <row r="36">
      <c r="A36" s="43" t="n"/>
      <c r="C36" s="44" t="n"/>
      <c r="D36" s="44" t="n"/>
      <c r="L36" s="45" t="n"/>
      <c r="O36" s="44" t="n"/>
    </row>
    <row r="37">
      <c r="A37" s="43" t="n"/>
      <c r="C37" s="44" t="n"/>
      <c r="D37" s="44" t="n"/>
      <c r="L37" s="45" t="n"/>
      <c r="O37" s="44" t="n"/>
    </row>
    <row r="38">
      <c r="A38" s="43" t="n"/>
      <c r="C38" s="44" t="n"/>
      <c r="D38" s="44" t="n"/>
      <c r="L38" s="45" t="n"/>
      <c r="O38" s="44" t="n"/>
    </row>
    <row r="39">
      <c r="A39" s="43" t="n"/>
      <c r="C39" s="44" t="n"/>
      <c r="D39" s="44" t="n"/>
      <c r="L39" s="45" t="n"/>
      <c r="O39" s="44" t="n"/>
    </row>
    <row r="40">
      <c r="A40" s="43" t="n"/>
      <c r="C40" s="44" t="n"/>
      <c r="D40" s="44" t="n"/>
      <c r="L40" s="45" t="n"/>
      <c r="O40" s="44" t="n"/>
    </row>
    <row r="41">
      <c r="A41" s="43" t="n"/>
      <c r="C41" s="44" t="n"/>
      <c r="D41" s="44" t="n"/>
      <c r="L41" s="45" t="n"/>
      <c r="O41" s="44" t="n"/>
    </row>
    <row r="42">
      <c r="A42" s="43" t="n"/>
      <c r="C42" s="44" t="n"/>
      <c r="D42" s="44" t="n"/>
      <c r="L42" s="45" t="n"/>
      <c r="O42" s="44" t="n"/>
    </row>
    <row r="43">
      <c r="A43" s="43" t="n"/>
      <c r="C43" s="44" t="n"/>
      <c r="D43" s="44" t="n"/>
      <c r="L43" s="45" t="n"/>
      <c r="O43" s="44" t="n"/>
    </row>
    <row r="44">
      <c r="A44" s="43" t="n"/>
      <c r="C44" s="44" t="n"/>
      <c r="D44" s="44" t="n"/>
      <c r="L44" s="45" t="n"/>
      <c r="O44" s="44" t="n"/>
    </row>
    <row r="45">
      <c r="A45" s="43" t="n"/>
      <c r="C45" s="44" t="n"/>
      <c r="D45" s="44" t="n"/>
      <c r="L45" s="45" t="n"/>
      <c r="O45" s="44" t="n"/>
    </row>
    <row r="46">
      <c r="A46" s="43" t="n"/>
      <c r="C46" s="44" t="n"/>
      <c r="D46" s="44" t="n"/>
      <c r="L46" s="45" t="n"/>
      <c r="O46" s="44" t="n"/>
    </row>
    <row r="47">
      <c r="A47" s="43" t="n"/>
      <c r="C47" s="44" t="n"/>
      <c r="D47" s="44" t="n"/>
      <c r="L47" s="45" t="n"/>
      <c r="O47" s="44" t="n"/>
    </row>
    <row r="48">
      <c r="A48" s="43" t="n"/>
      <c r="C48" s="44" t="n"/>
      <c r="D48" s="44" t="n"/>
      <c r="L48" s="45" t="n"/>
      <c r="O48" s="44" t="n"/>
    </row>
    <row r="49">
      <c r="A49" s="43" t="n"/>
      <c r="C49" s="44" t="n"/>
      <c r="D49" s="44" t="n"/>
      <c r="L49" s="45" t="n"/>
      <c r="O49" s="44" t="n"/>
    </row>
    <row r="50">
      <c r="A50" s="43" t="n"/>
      <c r="C50" s="44" t="n"/>
      <c r="D50" s="44" t="n"/>
      <c r="L50" s="45" t="n"/>
      <c r="O50" s="44" t="n"/>
    </row>
    <row r="51">
      <c r="A51" s="43" t="n"/>
      <c r="C51" s="44" t="n"/>
      <c r="D51" s="44" t="n"/>
      <c r="L51" s="45" t="n"/>
      <c r="O51" s="44" t="n"/>
    </row>
    <row r="52">
      <c r="A52" s="43" t="n"/>
      <c r="C52" s="44" t="n"/>
      <c r="D52" s="44" t="n"/>
      <c r="L52" s="45" t="n"/>
      <c r="O52" s="44" t="n"/>
    </row>
    <row r="53">
      <c r="A53" s="43" t="n"/>
      <c r="C53" s="44" t="n"/>
      <c r="D53" s="44" t="n"/>
      <c r="L53" s="45" t="n"/>
      <c r="O53" s="44" t="n"/>
    </row>
    <row r="54">
      <c r="A54" s="43" t="n"/>
      <c r="C54" s="44" t="n"/>
      <c r="D54" s="44" t="n"/>
      <c r="L54" s="45" t="n"/>
      <c r="O54" s="44" t="n"/>
    </row>
    <row r="55">
      <c r="A55" s="43" t="n"/>
      <c r="C55" s="44" t="n"/>
      <c r="D55" s="44" t="n"/>
      <c r="L55" s="45" t="n"/>
      <c r="O55" s="44" t="n"/>
    </row>
    <row r="56">
      <c r="A56" s="43" t="n"/>
      <c r="C56" s="44" t="n"/>
      <c r="D56" s="44" t="n"/>
      <c r="L56" s="45" t="n"/>
      <c r="O56" s="44" t="n"/>
    </row>
    <row r="57">
      <c r="A57" s="43" t="n"/>
      <c r="C57" s="44" t="n"/>
      <c r="D57" s="44" t="n"/>
      <c r="L57" s="45" t="n"/>
      <c r="O57" s="44" t="n"/>
    </row>
    <row r="58">
      <c r="A58" s="43" t="n"/>
      <c r="C58" s="44" t="n"/>
      <c r="D58" s="44" t="n"/>
      <c r="L58" s="45" t="n"/>
      <c r="O58" s="44" t="n"/>
    </row>
    <row r="59">
      <c r="A59" s="43" t="n"/>
      <c r="C59" s="44" t="n"/>
      <c r="D59" s="44" t="n"/>
      <c r="L59" s="45" t="n"/>
      <c r="O59" s="44" t="n"/>
    </row>
    <row r="60">
      <c r="A60" s="43" t="n"/>
      <c r="C60" s="44" t="n"/>
      <c r="D60" s="44" t="n"/>
      <c r="L60" s="45" t="n"/>
      <c r="O60" s="44" t="n"/>
    </row>
    <row r="61">
      <c r="A61" s="43" t="n"/>
      <c r="C61" s="44" t="n"/>
      <c r="D61" s="44" t="n"/>
      <c r="L61" s="45" t="n"/>
      <c r="O61" s="44" t="n"/>
    </row>
    <row r="62">
      <c r="A62" s="43" t="n"/>
      <c r="C62" s="44" t="n"/>
      <c r="D62" s="44" t="n"/>
      <c r="L62" s="45" t="n"/>
      <c r="O62" s="44" t="n"/>
    </row>
    <row r="63">
      <c r="A63" s="43" t="n"/>
      <c r="C63" s="44" t="n"/>
      <c r="D63" s="44" t="n"/>
      <c r="L63" s="45" t="n"/>
      <c r="O63" s="44" t="n"/>
    </row>
    <row r="64">
      <c r="A64" s="43" t="n"/>
      <c r="C64" s="44" t="n"/>
      <c r="D64" s="44" t="n"/>
      <c r="L64" s="45" t="n"/>
      <c r="O64" s="44" t="n"/>
    </row>
    <row r="65">
      <c r="A65" s="43" t="n"/>
      <c r="C65" s="44" t="n"/>
      <c r="D65" s="44" t="n"/>
      <c r="L65" s="45" t="n"/>
      <c r="O65" s="44" t="n"/>
    </row>
    <row r="66">
      <c r="A66" s="43" t="n"/>
      <c r="C66" s="44" t="n"/>
      <c r="D66" s="44" t="n"/>
      <c r="L66" s="45" t="n"/>
      <c r="O66" s="44" t="n"/>
    </row>
    <row r="67">
      <c r="A67" s="43" t="n"/>
      <c r="C67" s="44" t="n"/>
      <c r="D67" s="44" t="n"/>
      <c r="L67" s="45" t="n"/>
      <c r="O67" s="44" t="n"/>
    </row>
    <row r="68">
      <c r="A68" s="43" t="n"/>
      <c r="C68" s="44" t="n"/>
      <c r="D68" s="44" t="n"/>
      <c r="L68" s="45" t="n"/>
      <c r="O68" s="44" t="n"/>
    </row>
    <row r="69">
      <c r="A69" s="43" t="n"/>
      <c r="C69" s="44" t="n"/>
      <c r="D69" s="44" t="n"/>
      <c r="L69" s="45" t="n"/>
      <c r="O69" s="44" t="n"/>
    </row>
    <row r="70">
      <c r="A70" s="43" t="n"/>
      <c r="C70" s="44" t="n"/>
      <c r="D70" s="44" t="n"/>
      <c r="L70" s="45" t="n"/>
      <c r="O70" s="44" t="n"/>
    </row>
    <row r="71">
      <c r="A71" s="43" t="n"/>
      <c r="C71" s="44" t="n"/>
      <c r="D71" s="44" t="n"/>
      <c r="L71" s="45" t="n"/>
      <c r="O71" s="44" t="n"/>
    </row>
    <row r="72">
      <c r="A72" s="43" t="n"/>
      <c r="C72" s="44" t="n"/>
      <c r="D72" s="44" t="n"/>
      <c r="L72" s="45" t="n"/>
      <c r="O72" s="44" t="n"/>
    </row>
    <row r="73">
      <c r="A73" s="43" t="n"/>
      <c r="C73" s="44" t="n"/>
      <c r="D73" s="44" t="n"/>
      <c r="L73" s="45" t="n"/>
      <c r="O73" s="44" t="n"/>
    </row>
    <row r="74">
      <c r="A74" s="43" t="n"/>
      <c r="C74" s="44" t="n"/>
      <c r="D74" s="44" t="n"/>
      <c r="L74" s="45" t="n"/>
      <c r="O74" s="44" t="n"/>
    </row>
    <row r="75">
      <c r="A75" s="43" t="n"/>
      <c r="C75" s="44" t="n"/>
      <c r="D75" s="44" t="n"/>
      <c r="L75" s="45" t="n"/>
      <c r="O75" s="44" t="n"/>
    </row>
    <row r="76">
      <c r="A76" s="43" t="n"/>
      <c r="C76" s="44" t="n"/>
      <c r="D76" s="44" t="n"/>
      <c r="L76" s="45" t="n"/>
      <c r="O76" s="44" t="n"/>
    </row>
    <row r="77">
      <c r="A77" s="43" t="n"/>
      <c r="C77" s="44" t="n"/>
      <c r="D77" s="44" t="n"/>
      <c r="L77" s="45" t="n"/>
      <c r="O77" s="44" t="n"/>
    </row>
    <row r="78">
      <c r="A78" s="43" t="n"/>
      <c r="C78" s="44" t="n"/>
      <c r="D78" s="44" t="n"/>
      <c r="L78" s="45" t="n"/>
      <c r="O78" s="44" t="n"/>
    </row>
    <row r="79">
      <c r="A79" s="43" t="n"/>
      <c r="C79" s="44" t="n"/>
      <c r="D79" s="44" t="n"/>
      <c r="L79" s="45" t="n"/>
      <c r="O79" s="44" t="n"/>
    </row>
    <row r="80">
      <c r="A80" s="43" t="n"/>
      <c r="C80" s="44" t="n"/>
      <c r="D80" s="44" t="n"/>
      <c r="L80" s="45" t="n"/>
      <c r="O80" s="44" t="n"/>
    </row>
    <row r="81">
      <c r="A81" s="43" t="n"/>
      <c r="C81" s="44" t="n"/>
      <c r="D81" s="44" t="n"/>
      <c r="L81" s="45" t="n"/>
      <c r="O81" s="44" t="n"/>
    </row>
    <row r="82">
      <c r="A82" s="43" t="n"/>
      <c r="C82" s="44" t="n"/>
      <c r="D82" s="44" t="n"/>
      <c r="L82" s="45" t="n"/>
      <c r="O82" s="44" t="n"/>
    </row>
    <row r="83">
      <c r="A83" s="43" t="n"/>
      <c r="C83" s="44" t="n"/>
      <c r="D83" s="44" t="n"/>
      <c r="L83" s="45" t="n"/>
      <c r="O83" s="44" t="n"/>
    </row>
    <row r="84">
      <c r="A84" s="43" t="n"/>
      <c r="C84" s="44" t="n"/>
      <c r="D84" s="44" t="n"/>
      <c r="L84" s="45" t="n"/>
      <c r="O84" s="44" t="n"/>
    </row>
    <row r="85">
      <c r="A85" s="43" t="n"/>
      <c r="C85" s="44" t="n"/>
      <c r="D85" s="44" t="n"/>
      <c r="L85" s="45" t="n"/>
      <c r="O85" s="44" t="n"/>
    </row>
    <row r="86">
      <c r="A86" s="43" t="n"/>
      <c r="C86" s="44" t="n"/>
      <c r="D86" s="44" t="n"/>
      <c r="L86" s="45" t="n"/>
      <c r="O86" s="44" t="n"/>
    </row>
    <row r="87">
      <c r="A87" s="43" t="n"/>
      <c r="C87" s="44" t="n"/>
      <c r="D87" s="44" t="n"/>
      <c r="L87" s="45" t="n"/>
      <c r="O87" s="44" t="n"/>
    </row>
    <row r="88">
      <c r="A88" s="43" t="n"/>
      <c r="C88" s="44" t="n"/>
      <c r="D88" s="44" t="n"/>
      <c r="L88" s="45" t="n"/>
      <c r="O88" s="44" t="n"/>
    </row>
    <row r="89">
      <c r="A89" s="43" t="n"/>
      <c r="C89" s="44" t="n"/>
      <c r="D89" s="44" t="n"/>
      <c r="L89" s="45" t="n"/>
      <c r="O89" s="44" t="n"/>
    </row>
    <row r="90">
      <c r="A90" s="43" t="n"/>
      <c r="C90" s="44" t="n"/>
      <c r="D90" s="44" t="n"/>
      <c r="L90" s="45" t="n"/>
      <c r="O90" s="44" t="n"/>
    </row>
    <row r="91">
      <c r="A91" s="43" t="n"/>
      <c r="C91" s="44" t="n"/>
      <c r="D91" s="44" t="n"/>
      <c r="L91" s="45" t="n"/>
      <c r="O91" s="44" t="n"/>
    </row>
    <row r="92">
      <c r="A92" s="43" t="n"/>
      <c r="C92" s="44" t="n"/>
      <c r="D92" s="44" t="n"/>
      <c r="L92" s="45" t="n"/>
      <c r="O92" s="44" t="n"/>
    </row>
    <row r="93">
      <c r="A93" s="43" t="n"/>
      <c r="C93" s="44" t="n"/>
      <c r="D93" s="44" t="n"/>
      <c r="L93" s="45" t="n"/>
      <c r="O93" s="44" t="n"/>
    </row>
    <row r="94">
      <c r="A94" s="43" t="n"/>
      <c r="C94" s="44" t="n"/>
      <c r="D94" s="44" t="n"/>
      <c r="L94" s="45" t="n"/>
      <c r="O94" s="44" t="n"/>
    </row>
    <row r="95">
      <c r="A95" s="43" t="n"/>
      <c r="C95" s="44" t="n"/>
      <c r="D95" s="44" t="n"/>
      <c r="L95" s="45" t="n"/>
      <c r="O95" s="44" t="n"/>
    </row>
    <row r="96">
      <c r="A96" s="43" t="n"/>
      <c r="C96" s="44" t="n"/>
      <c r="D96" s="44" t="n"/>
      <c r="L96" s="45" t="n"/>
      <c r="O96" s="44" t="n"/>
    </row>
    <row r="97">
      <c r="A97" s="43" t="n"/>
      <c r="C97" s="44" t="n"/>
      <c r="D97" s="44" t="n"/>
      <c r="L97" s="45" t="n"/>
      <c r="O97" s="44" t="n"/>
    </row>
    <row r="98">
      <c r="A98" s="43" t="n"/>
      <c r="C98" s="44" t="n"/>
      <c r="D98" s="44" t="n"/>
      <c r="L98" s="45" t="n"/>
      <c r="O98" s="44" t="n"/>
    </row>
    <row r="99">
      <c r="A99" s="43" t="n"/>
      <c r="C99" s="44" t="n"/>
      <c r="D99" s="44" t="n"/>
      <c r="L99" s="45" t="n"/>
      <c r="O99" s="44" t="n"/>
    </row>
    <row r="100">
      <c r="A100" s="43" t="n"/>
      <c r="C100" s="44" t="n"/>
      <c r="D100" s="44" t="n"/>
      <c r="L100" s="45" t="n"/>
      <c r="O100" s="44" t="n"/>
    </row>
    <row r="101">
      <c r="A101" s="43" t="n"/>
      <c r="C101" s="44" t="n"/>
      <c r="D101" s="44" t="n"/>
      <c r="L101" s="45" t="n"/>
      <c r="O101" s="44" t="n"/>
    </row>
    <row r="102">
      <c r="A102" s="43" t="n"/>
      <c r="C102" s="44" t="n"/>
      <c r="D102" s="44" t="n"/>
      <c r="L102" s="45" t="n"/>
      <c r="O102" s="44" t="n"/>
    </row>
    <row r="103">
      <c r="A103" s="43" t="n"/>
      <c r="C103" s="44" t="n"/>
      <c r="D103" s="44" t="n"/>
      <c r="L103" s="45" t="n"/>
      <c r="O103" s="44" t="n"/>
    </row>
    <row r="104">
      <c r="A104" s="43" t="n"/>
      <c r="C104" s="44" t="n"/>
      <c r="D104" s="44" t="n"/>
      <c r="L104" s="45" t="n"/>
      <c r="O104" s="44" t="n"/>
    </row>
    <row r="105">
      <c r="A105" s="43" t="n"/>
      <c r="C105" s="44" t="n"/>
      <c r="D105" s="44" t="n"/>
      <c r="L105" s="45" t="n"/>
      <c r="O105" s="44" t="n"/>
    </row>
    <row r="106">
      <c r="A106" s="43" t="n"/>
      <c r="C106" s="44" t="n"/>
      <c r="D106" s="44" t="n"/>
      <c r="L106" s="45" t="n"/>
      <c r="O106" s="44" t="n"/>
    </row>
    <row r="107">
      <c r="A107" s="43" t="n"/>
      <c r="C107" s="44" t="n"/>
      <c r="D107" s="44" t="n"/>
      <c r="L107" s="45" t="n"/>
      <c r="O107" s="44" t="n"/>
    </row>
    <row r="108">
      <c r="A108" s="43" t="n"/>
      <c r="C108" s="44" t="n"/>
      <c r="D108" s="44" t="n"/>
      <c r="L108" s="45" t="n"/>
      <c r="O108" s="44" t="n"/>
    </row>
    <row r="109">
      <c r="A109" s="43" t="n"/>
      <c r="C109" s="44" t="n"/>
      <c r="D109" s="44" t="n"/>
      <c r="L109" s="45" t="n"/>
      <c r="O109" s="44" t="n"/>
    </row>
    <row r="110">
      <c r="A110" s="43" t="n"/>
      <c r="C110" s="44" t="n"/>
      <c r="D110" s="44" t="n"/>
      <c r="L110" s="45" t="n"/>
      <c r="O110" s="44" t="n"/>
    </row>
    <row r="111">
      <c r="A111" s="43" t="n"/>
      <c r="C111" s="44" t="n"/>
      <c r="D111" s="44" t="n"/>
      <c r="L111" s="45" t="n"/>
      <c r="O111" s="44" t="n"/>
    </row>
    <row r="112">
      <c r="A112" s="43" t="n"/>
      <c r="C112" s="44" t="n"/>
      <c r="D112" s="44" t="n"/>
      <c r="L112" s="45" t="n"/>
      <c r="O112" s="44" t="n"/>
    </row>
    <row r="113">
      <c r="A113" s="43" t="n"/>
      <c r="C113" s="44" t="n"/>
      <c r="D113" s="44" t="n"/>
      <c r="L113" s="45" t="n"/>
      <c r="O113" s="44" t="n"/>
    </row>
    <row r="114">
      <c r="A114" s="43" t="n"/>
      <c r="C114" s="44" t="n"/>
      <c r="D114" s="44" t="n"/>
      <c r="L114" s="45" t="n"/>
      <c r="O114" s="44" t="n"/>
    </row>
    <row r="115">
      <c r="A115" s="43" t="n"/>
      <c r="C115" s="44" t="n"/>
      <c r="D115" s="44" t="n"/>
      <c r="L115" s="45" t="n"/>
      <c r="O115" s="44" t="n"/>
    </row>
    <row r="116">
      <c r="A116" s="43" t="n"/>
      <c r="C116" s="44" t="n"/>
      <c r="D116" s="44" t="n"/>
      <c r="L116" s="45" t="n"/>
      <c r="O116" s="44" t="n"/>
    </row>
    <row r="117">
      <c r="A117" s="43" t="n"/>
      <c r="C117" s="44" t="n"/>
      <c r="D117" s="44" t="n"/>
      <c r="L117" s="45" t="n"/>
      <c r="O117" s="44" t="n"/>
    </row>
    <row r="118">
      <c r="A118" s="43" t="n"/>
      <c r="C118" s="44" t="n"/>
      <c r="D118" s="44" t="n"/>
      <c r="L118" s="45" t="n"/>
      <c r="O118" s="44" t="n"/>
    </row>
    <row r="119">
      <c r="A119" s="43" t="n"/>
      <c r="C119" s="44" t="n"/>
      <c r="D119" s="44" t="n"/>
      <c r="L119" s="45" t="n"/>
      <c r="O119" s="44" t="n"/>
    </row>
    <row r="120">
      <c r="A120" s="43" t="n"/>
      <c r="C120" s="44" t="n"/>
      <c r="D120" s="44" t="n"/>
      <c r="L120" s="45" t="n"/>
      <c r="O120" s="44" t="n"/>
    </row>
    <row r="121">
      <c r="A121" s="43" t="n"/>
      <c r="C121" s="44" t="n"/>
      <c r="D121" s="44" t="n"/>
      <c r="L121" s="45" t="n"/>
      <c r="O121" s="44" t="n"/>
    </row>
    <row r="122">
      <c r="A122" s="43" t="n"/>
      <c r="C122" s="44" t="n"/>
      <c r="D122" s="44" t="n"/>
      <c r="L122" s="45" t="n"/>
      <c r="O122" s="44" t="n"/>
    </row>
    <row r="123">
      <c r="A123" s="43" t="n"/>
      <c r="C123" s="44" t="n"/>
      <c r="D123" s="44" t="n"/>
      <c r="L123" s="45" t="n"/>
      <c r="O123" s="44" t="n"/>
    </row>
    <row r="124">
      <c r="A124" s="43" t="n"/>
      <c r="C124" s="44" t="n"/>
      <c r="D124" s="44" t="n"/>
      <c r="L124" s="45" t="n"/>
      <c r="O124" s="44" t="n"/>
    </row>
    <row r="125">
      <c r="A125" s="43" t="n"/>
      <c r="C125" s="44" t="n"/>
      <c r="D125" s="44" t="n"/>
      <c r="L125" s="45" t="n"/>
      <c r="O125" s="44" t="n"/>
    </row>
    <row r="126">
      <c r="A126" s="43" t="n"/>
      <c r="C126" s="44" t="n"/>
      <c r="D126" s="44" t="n"/>
      <c r="L126" s="45" t="n"/>
      <c r="O126" s="44" t="n"/>
    </row>
    <row r="127">
      <c r="A127" s="43" t="n"/>
      <c r="C127" s="44" t="n"/>
      <c r="D127" s="44" t="n"/>
      <c r="L127" s="45" t="n"/>
      <c r="O127" s="44" t="n"/>
    </row>
    <row r="128">
      <c r="A128" s="43" t="n"/>
      <c r="C128" s="44" t="n"/>
      <c r="D128" s="44" t="n"/>
      <c r="L128" s="45" t="n"/>
      <c r="O128" s="44" t="n"/>
    </row>
    <row r="129">
      <c r="A129" s="43" t="n"/>
      <c r="C129" s="44" t="n"/>
      <c r="D129" s="44" t="n"/>
      <c r="L129" s="45" t="n"/>
      <c r="O129" s="44" t="n"/>
    </row>
    <row r="130">
      <c r="A130" s="43" t="n"/>
      <c r="C130" s="44" t="n"/>
      <c r="D130" s="44" t="n"/>
      <c r="L130" s="45" t="n"/>
      <c r="O130" s="44" t="n"/>
    </row>
    <row r="131">
      <c r="A131" s="43" t="n"/>
      <c r="C131" s="44" t="n"/>
      <c r="D131" s="44" t="n"/>
      <c r="L131" s="45" t="n"/>
      <c r="O131" s="44" t="n"/>
    </row>
    <row r="132">
      <c r="A132" s="43" t="n"/>
      <c r="C132" s="44" t="n"/>
      <c r="D132" s="44" t="n"/>
      <c r="L132" s="45" t="n"/>
      <c r="O132" s="44" t="n"/>
    </row>
    <row r="133">
      <c r="A133" s="43" t="n"/>
      <c r="C133" s="44" t="n"/>
      <c r="D133" s="44" t="n"/>
      <c r="L133" s="45" t="n"/>
      <c r="O133" s="44" t="n"/>
    </row>
    <row r="134">
      <c r="A134" s="43" t="n"/>
      <c r="C134" s="44" t="n"/>
      <c r="D134" s="44" t="n"/>
      <c r="L134" s="45" t="n"/>
      <c r="O134" s="44" t="n"/>
    </row>
    <row r="135">
      <c r="A135" s="43" t="n"/>
      <c r="C135" s="44" t="n"/>
      <c r="D135" s="44" t="n"/>
      <c r="L135" s="45" t="n"/>
      <c r="O135" s="44" t="n"/>
    </row>
    <row r="136">
      <c r="A136" s="43" t="n"/>
      <c r="C136" s="44" t="n"/>
      <c r="D136" s="44" t="n"/>
      <c r="L136" s="45" t="n"/>
      <c r="O136" s="44" t="n"/>
    </row>
    <row r="137">
      <c r="A137" s="43" t="n"/>
      <c r="C137" s="44" t="n"/>
      <c r="D137" s="44" t="n"/>
      <c r="L137" s="45" t="n"/>
      <c r="O137" s="44" t="n"/>
    </row>
    <row r="138">
      <c r="A138" s="43" t="n"/>
      <c r="C138" s="44" t="n"/>
      <c r="D138" s="44" t="n"/>
      <c r="L138" s="45" t="n"/>
      <c r="O138" s="44" t="n"/>
    </row>
    <row r="139">
      <c r="A139" s="43" t="n"/>
      <c r="C139" s="44" t="n"/>
      <c r="D139" s="44" t="n"/>
      <c r="L139" s="45" t="n"/>
      <c r="O139" s="44" t="n"/>
    </row>
    <row r="140">
      <c r="A140" s="43" t="n"/>
      <c r="C140" s="44" t="n"/>
      <c r="D140" s="44" t="n"/>
      <c r="L140" s="45" t="n"/>
      <c r="O140" s="44" t="n"/>
    </row>
    <row r="141">
      <c r="A141" s="43" t="n"/>
      <c r="C141" s="44" t="n"/>
      <c r="D141" s="44" t="n"/>
      <c r="L141" s="45" t="n"/>
      <c r="O141" s="44" t="n"/>
    </row>
    <row r="142">
      <c r="A142" s="43" t="n"/>
      <c r="C142" s="44" t="n"/>
      <c r="D142" s="44" t="n"/>
      <c r="L142" s="45" t="n"/>
      <c r="O142" s="44" t="n"/>
    </row>
    <row r="143">
      <c r="A143" s="43" t="n"/>
      <c r="C143" s="44" t="n"/>
      <c r="D143" s="44" t="n"/>
      <c r="L143" s="45" t="n"/>
      <c r="O143" s="44" t="n"/>
    </row>
    <row r="144">
      <c r="A144" s="43" t="n"/>
      <c r="C144" s="44" t="n"/>
      <c r="D144" s="44" t="n"/>
      <c r="L144" s="45" t="n"/>
      <c r="O144" s="44" t="n"/>
    </row>
    <row r="145">
      <c r="A145" s="43" t="n"/>
      <c r="C145" s="44" t="n"/>
      <c r="D145" s="44" t="n"/>
      <c r="L145" s="45" t="n"/>
      <c r="O145" s="44" t="n"/>
    </row>
    <row r="146">
      <c r="A146" s="43" t="n"/>
      <c r="C146" s="44" t="n"/>
      <c r="D146" s="44" t="n"/>
      <c r="L146" s="45" t="n"/>
      <c r="O146" s="44" t="n"/>
    </row>
    <row r="147">
      <c r="A147" s="43" t="n"/>
      <c r="C147" s="44" t="n"/>
      <c r="D147" s="44" t="n"/>
      <c r="L147" s="45" t="n"/>
      <c r="O147" s="44" t="n"/>
    </row>
    <row r="148">
      <c r="A148" s="43" t="n"/>
      <c r="C148" s="44" t="n"/>
      <c r="D148" s="44" t="n"/>
      <c r="L148" s="45" t="n"/>
      <c r="O148" s="44" t="n"/>
    </row>
    <row r="149">
      <c r="A149" s="43" t="n"/>
      <c r="C149" s="44" t="n"/>
      <c r="D149" s="44" t="n"/>
      <c r="L149" s="45" t="n"/>
      <c r="O149" s="44" t="n"/>
    </row>
    <row r="150">
      <c r="A150" s="43" t="n"/>
      <c r="C150" s="44" t="n"/>
      <c r="D150" s="44" t="n"/>
      <c r="L150" s="45" t="n"/>
      <c r="O150" s="44" t="n"/>
    </row>
    <row r="151">
      <c r="A151" s="43" t="n"/>
      <c r="C151" s="44" t="n"/>
      <c r="D151" s="44" t="n"/>
      <c r="L151" s="45" t="n"/>
      <c r="O151" s="44" t="n"/>
    </row>
    <row r="152">
      <c r="A152" s="43" t="n"/>
      <c r="C152" s="44" t="n"/>
      <c r="D152" s="44" t="n"/>
      <c r="L152" s="45" t="n"/>
      <c r="O152" s="44" t="n"/>
    </row>
    <row r="153">
      <c r="A153" s="43" t="n"/>
      <c r="C153" s="44" t="n"/>
      <c r="D153" s="44" t="n"/>
      <c r="L153" s="45" t="n"/>
      <c r="O153" s="44" t="n"/>
    </row>
    <row r="154">
      <c r="A154" s="43" t="n"/>
      <c r="C154" s="44" t="n"/>
      <c r="D154" s="44" t="n"/>
      <c r="L154" s="45" t="n"/>
      <c r="O154" s="44" t="n"/>
    </row>
    <row r="155">
      <c r="A155" s="43" t="n"/>
      <c r="C155" s="44" t="n"/>
      <c r="D155" s="44" t="n"/>
      <c r="L155" s="45" t="n"/>
      <c r="O155" s="44" t="n"/>
    </row>
    <row r="156">
      <c r="A156" s="43" t="n"/>
      <c r="C156" s="44" t="n"/>
      <c r="D156" s="44" t="n"/>
      <c r="L156" s="45" t="n"/>
      <c r="O156" s="44" t="n"/>
    </row>
    <row r="157">
      <c r="A157" s="43" t="n"/>
      <c r="C157" s="44" t="n"/>
      <c r="D157" s="44" t="n"/>
      <c r="L157" s="45" t="n"/>
      <c r="O157" s="44" t="n"/>
    </row>
    <row r="158">
      <c r="A158" s="43" t="n"/>
      <c r="C158" s="44" t="n"/>
      <c r="D158" s="44" t="n"/>
      <c r="L158" s="45" t="n"/>
      <c r="O158" s="44" t="n"/>
    </row>
    <row r="159">
      <c r="A159" s="43" t="n"/>
      <c r="C159" s="44" t="n"/>
      <c r="D159" s="44" t="n"/>
      <c r="L159" s="45" t="n"/>
      <c r="O159" s="44" t="n"/>
    </row>
    <row r="160">
      <c r="A160" s="43" t="n"/>
      <c r="C160" s="44" t="n"/>
      <c r="D160" s="44" t="n"/>
      <c r="L160" s="45" t="n"/>
      <c r="O160" s="44" t="n"/>
    </row>
    <row r="161">
      <c r="A161" s="43" t="n"/>
      <c r="C161" s="44" t="n"/>
      <c r="D161" s="44" t="n"/>
      <c r="L161" s="45" t="n"/>
      <c r="O161" s="44" t="n"/>
    </row>
    <row r="162">
      <c r="A162" s="43" t="n"/>
      <c r="C162" s="44" t="n"/>
      <c r="D162" s="44" t="n"/>
      <c r="L162" s="45" t="n"/>
      <c r="O162" s="44" t="n"/>
    </row>
    <row r="163">
      <c r="A163" s="43" t="n"/>
      <c r="C163" s="44" t="n"/>
      <c r="D163" s="44" t="n"/>
      <c r="L163" s="45" t="n"/>
      <c r="O163" s="44" t="n"/>
    </row>
    <row r="164">
      <c r="A164" s="43" t="n"/>
      <c r="C164" s="44" t="n"/>
      <c r="D164" s="44" t="n"/>
      <c r="L164" s="45" t="n"/>
      <c r="O164" s="44" t="n"/>
    </row>
    <row r="165">
      <c r="A165" s="43" t="n"/>
      <c r="C165" s="44" t="n"/>
      <c r="D165" s="44" t="n"/>
      <c r="L165" s="45" t="n"/>
      <c r="O165" s="44" t="n"/>
    </row>
    <row r="166">
      <c r="A166" s="43" t="n"/>
      <c r="C166" s="44" t="n"/>
      <c r="D166" s="44" t="n"/>
      <c r="L166" s="45" t="n"/>
      <c r="O166" s="44" t="n"/>
    </row>
    <row r="167">
      <c r="A167" s="43" t="n"/>
      <c r="C167" s="44" t="n"/>
      <c r="D167" s="44" t="n"/>
      <c r="L167" s="45" t="n"/>
      <c r="O167" s="44" t="n"/>
    </row>
    <row r="168">
      <c r="A168" s="43" t="n"/>
      <c r="C168" s="44" t="n"/>
      <c r="D168" s="44" t="n"/>
      <c r="L168" s="45" t="n"/>
      <c r="O168" s="44" t="n"/>
    </row>
    <row r="169">
      <c r="A169" s="43" t="n"/>
      <c r="C169" s="44" t="n"/>
      <c r="D169" s="44" t="n"/>
      <c r="L169" s="45" t="n"/>
      <c r="O169" s="44" t="n"/>
    </row>
    <row r="170">
      <c r="A170" s="43" t="n"/>
      <c r="C170" s="44" t="n"/>
      <c r="D170" s="44" t="n"/>
      <c r="L170" s="45" t="n"/>
      <c r="O170" s="44" t="n"/>
    </row>
    <row r="171">
      <c r="A171" s="43" t="n"/>
      <c r="C171" s="44" t="n"/>
      <c r="D171" s="44" t="n"/>
      <c r="L171" s="45" t="n"/>
      <c r="O171" s="44" t="n"/>
    </row>
    <row r="172">
      <c r="A172" s="43" t="n"/>
      <c r="C172" s="44" t="n"/>
      <c r="D172" s="44" t="n"/>
      <c r="L172" s="45" t="n"/>
      <c r="O172" s="44" t="n"/>
    </row>
    <row r="173">
      <c r="A173" s="43" t="n"/>
      <c r="C173" s="44" t="n"/>
      <c r="D173" s="44" t="n"/>
      <c r="L173" s="45" t="n"/>
      <c r="O173" s="44" t="n"/>
    </row>
    <row r="174">
      <c r="A174" s="43" t="n"/>
      <c r="C174" s="44" t="n"/>
      <c r="D174" s="44" t="n"/>
      <c r="L174" s="45" t="n"/>
      <c r="O174" s="44" t="n"/>
    </row>
    <row r="175">
      <c r="A175" s="43" t="n"/>
      <c r="C175" s="44" t="n"/>
      <c r="D175" s="44" t="n"/>
      <c r="L175" s="45" t="n"/>
      <c r="O175" s="44" t="n"/>
    </row>
    <row r="176">
      <c r="A176" s="43" t="n"/>
      <c r="C176" s="44" t="n"/>
      <c r="D176" s="44" t="n"/>
      <c r="L176" s="45" t="n"/>
      <c r="O176" s="44" t="n"/>
    </row>
    <row r="177">
      <c r="A177" s="43" t="n"/>
      <c r="C177" s="44" t="n"/>
      <c r="D177" s="44" t="n"/>
      <c r="L177" s="45" t="n"/>
      <c r="O177" s="44" t="n"/>
    </row>
    <row r="178">
      <c r="A178" s="43" t="n"/>
      <c r="C178" s="44" t="n"/>
      <c r="D178" s="44" t="n"/>
      <c r="L178" s="45" t="n"/>
      <c r="O178" s="44" t="n"/>
    </row>
    <row r="179">
      <c r="A179" s="43" t="n"/>
      <c r="C179" s="44" t="n"/>
      <c r="D179" s="44" t="n"/>
      <c r="L179" s="45" t="n"/>
      <c r="O179" s="44" t="n"/>
    </row>
    <row r="180">
      <c r="A180" s="43" t="n"/>
      <c r="C180" s="44" t="n"/>
      <c r="D180" s="44" t="n"/>
      <c r="L180" s="45" t="n"/>
      <c r="O180" s="44" t="n"/>
    </row>
    <row r="181">
      <c r="A181" s="43" t="n"/>
      <c r="C181" s="44" t="n"/>
      <c r="D181" s="44" t="n"/>
      <c r="L181" s="45" t="n"/>
      <c r="O181" s="44" t="n"/>
    </row>
    <row r="182">
      <c r="A182" s="43" t="n"/>
      <c r="C182" s="44" t="n"/>
      <c r="D182" s="44" t="n"/>
      <c r="L182" s="45" t="n"/>
      <c r="O182" s="44" t="n"/>
    </row>
    <row r="183">
      <c r="A183" s="43" t="n"/>
      <c r="C183" s="44" t="n"/>
      <c r="D183" s="44" t="n"/>
      <c r="L183" s="45" t="n"/>
      <c r="O183" s="44" t="n"/>
    </row>
    <row r="184">
      <c r="A184" s="43" t="n"/>
      <c r="C184" s="44" t="n"/>
      <c r="D184" s="44" t="n"/>
      <c r="L184" s="45" t="n"/>
      <c r="O184" s="44" t="n"/>
    </row>
    <row r="185">
      <c r="A185" s="43" t="n"/>
      <c r="C185" s="44" t="n"/>
      <c r="D185" s="44" t="n"/>
      <c r="L185" s="45" t="n"/>
      <c r="O185" s="44" t="n"/>
    </row>
    <row r="186">
      <c r="A186" s="43" t="n"/>
      <c r="C186" s="44" t="n"/>
      <c r="D186" s="44" t="n"/>
      <c r="L186" s="45" t="n"/>
      <c r="O186" s="44" t="n"/>
    </row>
    <row r="187">
      <c r="A187" s="43" t="n"/>
      <c r="C187" s="44" t="n"/>
      <c r="D187" s="44" t="n"/>
      <c r="L187" s="45" t="n"/>
      <c r="O187" s="44" t="n"/>
    </row>
    <row r="188">
      <c r="A188" s="43" t="n"/>
      <c r="C188" s="44" t="n"/>
      <c r="D188" s="44" t="n"/>
      <c r="L188" s="45" t="n"/>
      <c r="O188" s="44" t="n"/>
    </row>
    <row r="189">
      <c r="A189" s="43" t="n"/>
      <c r="C189" s="44" t="n"/>
      <c r="D189" s="44" t="n"/>
      <c r="L189" s="45" t="n"/>
      <c r="O189" s="44" t="n"/>
    </row>
    <row r="190">
      <c r="A190" s="43" t="n"/>
      <c r="C190" s="44" t="n"/>
      <c r="D190" s="44" t="n"/>
      <c r="L190" s="45" t="n"/>
      <c r="O190" s="44" t="n"/>
    </row>
    <row r="191">
      <c r="A191" s="43" t="n"/>
      <c r="C191" s="44" t="n"/>
      <c r="D191" s="44" t="n"/>
      <c r="L191" s="45" t="n"/>
      <c r="O191" s="44" t="n"/>
    </row>
    <row r="192">
      <c r="A192" s="43" t="n"/>
      <c r="C192" s="44" t="n"/>
      <c r="D192" s="44" t="n"/>
      <c r="L192" s="45" t="n"/>
      <c r="O192" s="44" t="n"/>
    </row>
    <row r="193">
      <c r="A193" s="43" t="n"/>
      <c r="C193" s="44" t="n"/>
      <c r="D193" s="44" t="n"/>
      <c r="L193" s="45" t="n"/>
      <c r="O193" s="44" t="n"/>
    </row>
    <row r="194">
      <c r="A194" s="43" t="n"/>
      <c r="C194" s="44" t="n"/>
      <c r="D194" s="44" t="n"/>
      <c r="L194" s="45" t="n"/>
      <c r="O194" s="44" t="n"/>
    </row>
    <row r="195">
      <c r="A195" s="43" t="n"/>
      <c r="C195" s="44" t="n"/>
      <c r="D195" s="44" t="n"/>
      <c r="L195" s="45" t="n"/>
      <c r="O195" s="44" t="n"/>
    </row>
    <row r="196">
      <c r="A196" s="43" t="n"/>
      <c r="C196" s="44" t="n"/>
      <c r="D196" s="44" t="n"/>
      <c r="L196" s="45" t="n"/>
      <c r="O196" s="44" t="n"/>
    </row>
    <row r="197">
      <c r="A197" s="43" t="n"/>
      <c r="C197" s="44" t="n"/>
      <c r="D197" s="44" t="n"/>
      <c r="L197" s="45" t="n"/>
      <c r="O197" s="44" t="n"/>
    </row>
    <row r="198">
      <c r="A198" s="43" t="n"/>
      <c r="C198" s="44" t="n"/>
      <c r="D198" s="44" t="n"/>
      <c r="L198" s="45" t="n"/>
      <c r="O198" s="44" t="n"/>
    </row>
    <row r="199">
      <c r="A199" s="43" t="n"/>
      <c r="C199" s="44" t="n"/>
      <c r="D199" s="44" t="n"/>
      <c r="L199" s="45" t="n"/>
      <c r="O199" s="44" t="n"/>
    </row>
    <row r="200">
      <c r="A200" s="43" t="n"/>
      <c r="C200" s="44" t="n"/>
      <c r="D200" s="44" t="n"/>
      <c r="L200" s="45" t="n"/>
      <c r="O200" s="44" t="n"/>
    </row>
    <row r="201">
      <c r="A201" s="43" t="n"/>
      <c r="C201" s="44" t="n"/>
      <c r="D201" s="44" t="n"/>
      <c r="L201" s="45" t="n"/>
      <c r="O201" s="44" t="n"/>
    </row>
    <row r="202">
      <c r="A202" s="43" t="n"/>
      <c r="C202" s="44" t="n"/>
      <c r="D202" s="44" t="n"/>
      <c r="L202" s="45" t="n"/>
      <c r="O202" s="44" t="n"/>
    </row>
    <row r="203">
      <c r="A203" s="43" t="n"/>
      <c r="C203" s="44" t="n"/>
      <c r="D203" s="44" t="n"/>
      <c r="L203" s="45" t="n"/>
      <c r="O203" s="44" t="n"/>
    </row>
    <row r="204">
      <c r="A204" s="43" t="n"/>
      <c r="C204" s="44" t="n"/>
      <c r="D204" s="44" t="n"/>
      <c r="L204" s="45" t="n"/>
      <c r="O204" s="44" t="n"/>
    </row>
    <row r="205">
      <c r="A205" s="43" t="n"/>
      <c r="C205" s="44" t="n"/>
      <c r="D205" s="44" t="n"/>
      <c r="L205" s="45" t="n"/>
      <c r="O205" s="44" t="n"/>
    </row>
    <row r="206">
      <c r="A206" s="43" t="n"/>
      <c r="C206" s="44" t="n"/>
      <c r="D206" s="44" t="n"/>
      <c r="L206" s="45" t="n"/>
      <c r="O206" s="44" t="n"/>
    </row>
    <row r="207">
      <c r="A207" s="43" t="n"/>
      <c r="C207" s="44" t="n"/>
      <c r="D207" s="44" t="n"/>
      <c r="L207" s="45" t="n"/>
      <c r="O207" s="44" t="n"/>
    </row>
    <row r="208">
      <c r="A208" s="43" t="n"/>
      <c r="C208" s="44" t="n"/>
      <c r="D208" s="44" t="n"/>
      <c r="L208" s="45" t="n"/>
      <c r="O208" s="44" t="n"/>
    </row>
    <row r="209">
      <c r="A209" s="43" t="n"/>
      <c r="C209" s="44" t="n"/>
      <c r="D209" s="44" t="n"/>
      <c r="L209" s="45" t="n"/>
      <c r="O209" s="44" t="n"/>
    </row>
    <row r="210">
      <c r="A210" s="43" t="n"/>
      <c r="C210" s="44" t="n"/>
      <c r="D210" s="44" t="n"/>
      <c r="L210" s="45" t="n"/>
      <c r="O210" s="44" t="n"/>
    </row>
    <row r="211">
      <c r="A211" s="43" t="n"/>
      <c r="C211" s="44" t="n"/>
      <c r="D211" s="44" t="n"/>
      <c r="L211" s="45" t="n"/>
      <c r="O211" s="44" t="n"/>
    </row>
    <row r="212">
      <c r="A212" s="43" t="n"/>
      <c r="C212" s="44" t="n"/>
      <c r="D212" s="44" t="n"/>
      <c r="L212" s="45" t="n"/>
      <c r="O212" s="44" t="n"/>
    </row>
    <row r="213">
      <c r="A213" s="43" t="n"/>
      <c r="C213" s="44" t="n"/>
      <c r="D213" s="44" t="n"/>
      <c r="L213" s="45" t="n"/>
      <c r="O213" s="44" t="n"/>
    </row>
    <row r="214">
      <c r="A214" s="43" t="n"/>
      <c r="C214" s="44" t="n"/>
      <c r="D214" s="44" t="n"/>
      <c r="L214" s="45" t="n"/>
      <c r="O214" s="44" t="n"/>
    </row>
    <row r="215">
      <c r="A215" s="43" t="n"/>
      <c r="C215" s="44" t="n"/>
      <c r="D215" s="44" t="n"/>
      <c r="L215" s="45" t="n"/>
      <c r="O215" s="44" t="n"/>
    </row>
    <row r="216">
      <c r="A216" s="43" t="n"/>
      <c r="C216" s="44" t="n"/>
      <c r="D216" s="44" t="n"/>
      <c r="L216" s="45" t="n"/>
      <c r="O216" s="44" t="n"/>
    </row>
    <row r="217">
      <c r="A217" s="43" t="n"/>
      <c r="C217" s="44" t="n"/>
      <c r="D217" s="44" t="n"/>
      <c r="L217" s="45" t="n"/>
      <c r="O217" s="44" t="n"/>
    </row>
    <row r="218">
      <c r="A218" s="43" t="n"/>
      <c r="C218" s="44" t="n"/>
      <c r="D218" s="44" t="n"/>
      <c r="L218" s="45" t="n"/>
      <c r="O218" s="44" t="n"/>
    </row>
    <row r="219">
      <c r="A219" s="43" t="n"/>
      <c r="C219" s="44" t="n"/>
      <c r="D219" s="44" t="n"/>
      <c r="L219" s="45" t="n"/>
      <c r="O219" s="44" t="n"/>
    </row>
    <row r="220">
      <c r="A220" s="43" t="n"/>
      <c r="C220" s="44" t="n"/>
      <c r="D220" s="44" t="n"/>
      <c r="L220" s="45" t="n"/>
      <c r="O220" s="44" t="n"/>
    </row>
    <row r="221">
      <c r="A221" s="43" t="n"/>
      <c r="C221" s="44" t="n"/>
      <c r="D221" s="44" t="n"/>
      <c r="L221" s="45" t="n"/>
      <c r="O221" s="44" t="n"/>
    </row>
    <row r="222">
      <c r="A222" s="43" t="n"/>
      <c r="C222" s="44" t="n"/>
      <c r="D222" s="44" t="n"/>
      <c r="L222" s="45" t="n"/>
      <c r="O222" s="44" t="n"/>
    </row>
    <row r="223">
      <c r="A223" s="43" t="n"/>
      <c r="C223" s="44" t="n"/>
      <c r="D223" s="44" t="n"/>
      <c r="L223" s="45" t="n"/>
      <c r="O223" s="44" t="n"/>
    </row>
    <row r="224">
      <c r="A224" s="43" t="n"/>
      <c r="C224" s="44" t="n"/>
      <c r="D224" s="44" t="n"/>
      <c r="L224" s="45" t="n"/>
      <c r="O224" s="44" t="n"/>
    </row>
    <row r="225">
      <c r="A225" s="43" t="n"/>
      <c r="C225" s="44" t="n"/>
      <c r="D225" s="44" t="n"/>
      <c r="L225" s="45" t="n"/>
      <c r="O225" s="44" t="n"/>
    </row>
    <row r="226">
      <c r="A226" s="43" t="n"/>
      <c r="C226" s="44" t="n"/>
      <c r="D226" s="44" t="n"/>
      <c r="L226" s="45" t="n"/>
      <c r="O226" s="44" t="n"/>
    </row>
    <row r="227">
      <c r="A227" s="43" t="n"/>
      <c r="C227" s="44" t="n"/>
      <c r="D227" s="44" t="n"/>
      <c r="L227" s="45" t="n"/>
      <c r="O227" s="44" t="n"/>
    </row>
    <row r="228">
      <c r="A228" s="43" t="n"/>
      <c r="C228" s="44" t="n"/>
      <c r="D228" s="44" t="n"/>
      <c r="L228" s="45" t="n"/>
      <c r="O228" s="44" t="n"/>
    </row>
    <row r="229">
      <c r="A229" s="43" t="n"/>
      <c r="C229" s="44" t="n"/>
      <c r="D229" s="44" t="n"/>
      <c r="L229" s="45" t="n"/>
      <c r="O229" s="44" t="n"/>
    </row>
    <row r="230">
      <c r="A230" s="43" t="n"/>
      <c r="C230" s="44" t="n"/>
      <c r="D230" s="44" t="n"/>
      <c r="L230" s="45" t="n"/>
      <c r="O230" s="44" t="n"/>
    </row>
    <row r="231">
      <c r="A231" s="43" t="n"/>
      <c r="C231" s="44" t="n"/>
      <c r="D231" s="44" t="n"/>
      <c r="L231" s="45" t="n"/>
      <c r="O231" s="44" t="n"/>
    </row>
    <row r="232">
      <c r="A232" s="43" t="n"/>
      <c r="C232" s="44" t="n"/>
      <c r="D232" s="44" t="n"/>
      <c r="L232" s="45" t="n"/>
      <c r="O232" s="44" t="n"/>
    </row>
    <row r="233">
      <c r="A233" s="43" t="n"/>
      <c r="C233" s="44" t="n"/>
      <c r="D233" s="44" t="n"/>
      <c r="L233" s="45" t="n"/>
      <c r="O233" s="44" t="n"/>
    </row>
    <row r="234">
      <c r="A234" s="43" t="n"/>
      <c r="C234" s="44" t="n"/>
      <c r="D234" s="44" t="n"/>
      <c r="L234" s="45" t="n"/>
      <c r="O234" s="44" t="n"/>
    </row>
    <row r="235">
      <c r="A235" s="43" t="n"/>
      <c r="C235" s="44" t="n"/>
      <c r="D235" s="44" t="n"/>
      <c r="L235" s="45" t="n"/>
      <c r="O235" s="44" t="n"/>
    </row>
    <row r="236">
      <c r="A236" s="43" t="n"/>
      <c r="C236" s="44" t="n"/>
      <c r="D236" s="44" t="n"/>
      <c r="L236" s="45" t="n"/>
      <c r="O236" s="44" t="n"/>
    </row>
    <row r="237">
      <c r="A237" s="43" t="n"/>
      <c r="C237" s="44" t="n"/>
      <c r="D237" s="44" t="n"/>
      <c r="L237" s="45" t="n"/>
      <c r="O237" s="44" t="n"/>
    </row>
    <row r="238">
      <c r="A238" s="43" t="n"/>
      <c r="C238" s="44" t="n"/>
      <c r="D238" s="44" t="n"/>
      <c r="L238" s="45" t="n"/>
      <c r="O238" s="44" t="n"/>
    </row>
    <row r="239">
      <c r="A239" s="43" t="n"/>
      <c r="C239" s="44" t="n"/>
      <c r="D239" s="44" t="n"/>
      <c r="L239" s="45" t="n"/>
      <c r="O239" s="44" t="n"/>
    </row>
    <row r="240">
      <c r="A240" s="43" t="n"/>
      <c r="C240" s="44" t="n"/>
      <c r="D240" s="44" t="n"/>
      <c r="L240" s="45" t="n"/>
      <c r="O240" s="44" t="n"/>
    </row>
    <row r="241">
      <c r="A241" s="43" t="n"/>
      <c r="C241" s="44" t="n"/>
      <c r="D241" s="44" t="n"/>
      <c r="L241" s="45" t="n"/>
      <c r="O241" s="44" t="n"/>
    </row>
    <row r="242">
      <c r="A242" s="43" t="n"/>
      <c r="C242" s="44" t="n"/>
      <c r="D242" s="44" t="n"/>
      <c r="L242" s="45" t="n"/>
      <c r="O242" s="44" t="n"/>
    </row>
    <row r="243">
      <c r="A243" s="43" t="n"/>
      <c r="C243" s="44" t="n"/>
      <c r="D243" s="44" t="n"/>
      <c r="L243" s="45" t="n"/>
      <c r="O243" s="44" t="n"/>
    </row>
    <row r="244">
      <c r="A244" s="43" t="n"/>
      <c r="C244" s="44" t="n"/>
      <c r="D244" s="44" t="n"/>
      <c r="L244" s="45" t="n"/>
      <c r="O244" s="44" t="n"/>
    </row>
    <row r="245">
      <c r="A245" s="43" t="n"/>
      <c r="C245" s="44" t="n"/>
      <c r="D245" s="44" t="n"/>
      <c r="L245" s="45" t="n"/>
      <c r="O245" s="44" t="n"/>
    </row>
    <row r="246">
      <c r="A246" s="43" t="n"/>
      <c r="C246" s="44" t="n"/>
      <c r="D246" s="44" t="n"/>
      <c r="L246" s="45" t="n"/>
      <c r="O246" s="44" t="n"/>
    </row>
    <row r="247">
      <c r="A247" s="43" t="n"/>
      <c r="C247" s="44" t="n"/>
      <c r="D247" s="44" t="n"/>
      <c r="L247" s="45" t="n"/>
      <c r="O247" s="44" t="n"/>
    </row>
    <row r="248">
      <c r="A248" s="43" t="n"/>
      <c r="C248" s="44" t="n"/>
      <c r="D248" s="44" t="n"/>
      <c r="L248" s="45" t="n"/>
      <c r="O248" s="44" t="n"/>
    </row>
    <row r="249">
      <c r="A249" s="43" t="n"/>
      <c r="C249" s="44" t="n"/>
      <c r="D249" s="44" t="n"/>
      <c r="L249" s="45" t="n"/>
      <c r="O249" s="44" t="n"/>
    </row>
    <row r="250">
      <c r="A250" s="43" t="n"/>
      <c r="C250" s="44" t="n"/>
      <c r="D250" s="44" t="n"/>
      <c r="L250" s="45" t="n"/>
      <c r="O250" s="44" t="n"/>
    </row>
    <row r="251">
      <c r="A251" s="43" t="n"/>
      <c r="C251" s="44" t="n"/>
      <c r="D251" s="44" t="n"/>
      <c r="L251" s="45" t="n"/>
      <c r="O251" s="44" t="n"/>
    </row>
    <row r="252">
      <c r="A252" s="43" t="n"/>
      <c r="C252" s="44" t="n"/>
      <c r="D252" s="44" t="n"/>
      <c r="L252" s="45" t="n"/>
      <c r="O252" s="44" t="n"/>
    </row>
    <row r="253">
      <c r="A253" s="43" t="n"/>
      <c r="C253" s="44" t="n"/>
      <c r="D253" s="44" t="n"/>
      <c r="L253" s="45" t="n"/>
      <c r="O253" s="44" t="n"/>
    </row>
    <row r="254">
      <c r="A254" s="43" t="n"/>
      <c r="C254" s="44" t="n"/>
      <c r="D254" s="44" t="n"/>
      <c r="L254" s="45" t="n"/>
      <c r="O254" s="44" t="n"/>
    </row>
    <row r="255">
      <c r="A255" s="43" t="n"/>
      <c r="C255" s="44" t="n"/>
      <c r="D255" s="44" t="n"/>
      <c r="L255" s="45" t="n"/>
      <c r="O255" s="44" t="n"/>
    </row>
    <row r="256">
      <c r="A256" s="43" t="n"/>
      <c r="C256" s="44" t="n"/>
      <c r="D256" s="44" t="n"/>
      <c r="L256" s="45" t="n"/>
      <c r="O256" s="44" t="n"/>
    </row>
    <row r="257">
      <c r="A257" s="43" t="n"/>
      <c r="C257" s="44" t="n"/>
      <c r="D257" s="44" t="n"/>
      <c r="L257" s="45" t="n"/>
      <c r="O257" s="44" t="n"/>
    </row>
    <row r="258">
      <c r="A258" s="43" t="n"/>
      <c r="C258" s="44" t="n"/>
      <c r="D258" s="44" t="n"/>
      <c r="L258" s="45" t="n"/>
      <c r="O258" s="44" t="n"/>
    </row>
    <row r="259">
      <c r="A259" s="43" t="n"/>
      <c r="C259" s="44" t="n"/>
      <c r="D259" s="44" t="n"/>
      <c r="L259" s="45" t="n"/>
      <c r="O259" s="44" t="n"/>
    </row>
    <row r="260">
      <c r="A260" s="43" t="n"/>
      <c r="C260" s="44" t="n"/>
      <c r="D260" s="44" t="n"/>
      <c r="L260" s="45" t="n"/>
      <c r="O260" s="44" t="n"/>
    </row>
    <row r="261">
      <c r="A261" s="43" t="n"/>
      <c r="C261" s="44" t="n"/>
      <c r="D261" s="44" t="n"/>
      <c r="L261" s="45" t="n"/>
      <c r="O261" s="44" t="n"/>
    </row>
    <row r="262">
      <c r="A262" s="43" t="n"/>
      <c r="C262" s="44" t="n"/>
      <c r="D262" s="44" t="n"/>
      <c r="L262" s="45" t="n"/>
      <c r="O262" s="44" t="n"/>
    </row>
    <row r="263">
      <c r="A263" s="43" t="n"/>
      <c r="C263" s="44" t="n"/>
      <c r="D263" s="44" t="n"/>
      <c r="L263" s="45" t="n"/>
      <c r="O263" s="44" t="n"/>
    </row>
    <row r="264">
      <c r="A264" s="43" t="n"/>
      <c r="C264" s="44" t="n"/>
      <c r="D264" s="44" t="n"/>
      <c r="L264" s="45" t="n"/>
      <c r="O264" s="44" t="n"/>
    </row>
    <row r="265">
      <c r="A265" s="43" t="n"/>
      <c r="C265" s="44" t="n"/>
      <c r="D265" s="44" t="n"/>
      <c r="L265" s="45" t="n"/>
      <c r="O265" s="44" t="n"/>
    </row>
    <row r="266">
      <c r="A266" s="43" t="n"/>
      <c r="C266" s="44" t="n"/>
      <c r="D266" s="44" t="n"/>
      <c r="L266" s="45" t="n"/>
      <c r="O266" s="44" t="n"/>
    </row>
    <row r="267">
      <c r="A267" s="43" t="n"/>
      <c r="C267" s="44" t="n"/>
      <c r="D267" s="44" t="n"/>
      <c r="L267" s="45" t="n"/>
      <c r="O267" s="44" t="n"/>
    </row>
    <row r="268">
      <c r="A268" s="43" t="n"/>
      <c r="C268" s="44" t="n"/>
      <c r="D268" s="44" t="n"/>
      <c r="L268" s="45" t="n"/>
      <c r="O268" s="44" t="n"/>
    </row>
    <row r="269">
      <c r="A269" s="43" t="n"/>
      <c r="C269" s="44" t="n"/>
      <c r="D269" s="44" t="n"/>
      <c r="L269" s="45" t="n"/>
      <c r="O269" s="44" t="n"/>
    </row>
    <row r="270">
      <c r="A270" s="43" t="n"/>
      <c r="C270" s="44" t="n"/>
      <c r="D270" s="44" t="n"/>
      <c r="L270" s="45" t="n"/>
      <c r="O270" s="44" t="n"/>
    </row>
    <row r="271">
      <c r="A271" s="43" t="n"/>
      <c r="C271" s="44" t="n"/>
      <c r="D271" s="44" t="n"/>
      <c r="L271" s="45" t="n"/>
      <c r="O271" s="44" t="n"/>
    </row>
    <row r="272">
      <c r="A272" s="43" t="n"/>
      <c r="C272" s="44" t="n"/>
      <c r="D272" s="44" t="n"/>
      <c r="L272" s="45" t="n"/>
      <c r="O272" s="44" t="n"/>
    </row>
    <row r="273">
      <c r="A273" s="43" t="n"/>
      <c r="C273" s="44" t="n"/>
      <c r="D273" s="44" t="n"/>
      <c r="L273" s="45" t="n"/>
      <c r="O273" s="44" t="n"/>
    </row>
    <row r="274">
      <c r="A274" s="43" t="n"/>
      <c r="C274" s="44" t="n"/>
      <c r="D274" s="44" t="n"/>
      <c r="L274" s="45" t="n"/>
      <c r="O274" s="44" t="n"/>
    </row>
    <row r="275">
      <c r="A275" s="43" t="n"/>
      <c r="C275" s="44" t="n"/>
      <c r="D275" s="44" t="n"/>
      <c r="L275" s="45" t="n"/>
      <c r="O275" s="44" t="n"/>
    </row>
    <row r="276">
      <c r="A276" s="43" t="n"/>
      <c r="C276" s="44" t="n"/>
      <c r="D276" s="44" t="n"/>
      <c r="L276" s="45" t="n"/>
      <c r="O276" s="44" t="n"/>
    </row>
    <row r="277">
      <c r="A277" s="43" t="n"/>
      <c r="C277" s="44" t="n"/>
      <c r="D277" s="44" t="n"/>
      <c r="L277" s="45" t="n"/>
      <c r="O277" s="44" t="n"/>
    </row>
    <row r="278">
      <c r="A278" s="43" t="n"/>
      <c r="C278" s="44" t="n"/>
      <c r="D278" s="44" t="n"/>
      <c r="L278" s="45" t="n"/>
      <c r="O278" s="44" t="n"/>
    </row>
    <row r="279">
      <c r="A279" s="43" t="n"/>
      <c r="C279" s="44" t="n"/>
      <c r="D279" s="44" t="n"/>
      <c r="L279" s="45" t="n"/>
      <c r="O279" s="44" t="n"/>
    </row>
    <row r="280">
      <c r="A280" s="43" t="n"/>
      <c r="C280" s="44" t="n"/>
      <c r="D280" s="44" t="n"/>
      <c r="L280" s="45" t="n"/>
      <c r="O280" s="44" t="n"/>
    </row>
    <row r="281">
      <c r="A281" s="43" t="n"/>
      <c r="C281" s="44" t="n"/>
      <c r="D281" s="44" t="n"/>
      <c r="L281" s="45" t="n"/>
      <c r="O281" s="44" t="n"/>
    </row>
    <row r="282">
      <c r="A282" s="43" t="n"/>
      <c r="C282" s="44" t="n"/>
      <c r="D282" s="44" t="n"/>
      <c r="L282" s="45" t="n"/>
      <c r="O282" s="44" t="n"/>
    </row>
    <row r="283">
      <c r="A283" s="43" t="n"/>
      <c r="C283" s="44" t="n"/>
      <c r="D283" s="44" t="n"/>
      <c r="L283" s="45" t="n"/>
      <c r="O283" s="44" t="n"/>
    </row>
    <row r="284">
      <c r="A284" s="43" t="n"/>
      <c r="C284" s="44" t="n"/>
      <c r="D284" s="44" t="n"/>
      <c r="L284" s="45" t="n"/>
      <c r="O284" s="44" t="n"/>
    </row>
    <row r="285">
      <c r="A285" s="43" t="n"/>
      <c r="C285" s="44" t="n"/>
      <c r="D285" s="44" t="n"/>
      <c r="L285" s="45" t="n"/>
      <c r="O285" s="44" t="n"/>
    </row>
    <row r="286">
      <c r="A286" s="43" t="n"/>
      <c r="C286" s="44" t="n"/>
      <c r="D286" s="44" t="n"/>
      <c r="L286" s="45" t="n"/>
      <c r="O286" s="44" t="n"/>
    </row>
    <row r="287">
      <c r="A287" s="43" t="n"/>
      <c r="C287" s="44" t="n"/>
      <c r="D287" s="44" t="n"/>
      <c r="L287" s="45" t="n"/>
      <c r="O287" s="44" t="n"/>
    </row>
    <row r="288">
      <c r="A288" s="43" t="n"/>
      <c r="C288" s="44" t="n"/>
      <c r="D288" s="44" t="n"/>
      <c r="L288" s="45" t="n"/>
      <c r="O288" s="44" t="n"/>
    </row>
    <row r="289">
      <c r="A289" s="43" t="n"/>
      <c r="C289" s="44" t="n"/>
      <c r="D289" s="44" t="n"/>
      <c r="L289" s="45" t="n"/>
      <c r="O289" s="44" t="n"/>
    </row>
    <row r="290">
      <c r="A290" s="43" t="n"/>
      <c r="C290" s="44" t="n"/>
      <c r="D290" s="44" t="n"/>
      <c r="L290" s="45" t="n"/>
      <c r="O290" s="44" t="n"/>
    </row>
    <row r="291">
      <c r="A291" s="43" t="n"/>
      <c r="C291" s="44" t="n"/>
      <c r="D291" s="44" t="n"/>
      <c r="L291" s="45" t="n"/>
      <c r="O291" s="44" t="n"/>
    </row>
    <row r="292">
      <c r="A292" s="43" t="n"/>
      <c r="C292" s="44" t="n"/>
      <c r="D292" s="44" t="n"/>
      <c r="L292" s="45" t="n"/>
      <c r="O292" s="44" t="n"/>
    </row>
    <row r="293">
      <c r="A293" s="43" t="n"/>
      <c r="C293" s="44" t="n"/>
      <c r="D293" s="44" t="n"/>
      <c r="L293" s="45" t="n"/>
      <c r="O293" s="44" t="n"/>
    </row>
    <row r="294">
      <c r="A294" s="43" t="n"/>
      <c r="C294" s="44" t="n"/>
      <c r="D294" s="44" t="n"/>
      <c r="L294" s="45" t="n"/>
      <c r="O294" s="44" t="n"/>
    </row>
    <row r="295">
      <c r="A295" s="43" t="n"/>
      <c r="C295" s="44" t="n"/>
      <c r="D295" s="44" t="n"/>
      <c r="L295" s="45" t="n"/>
      <c r="O295" s="44" t="n"/>
    </row>
    <row r="296">
      <c r="A296" s="43" t="n"/>
      <c r="C296" s="44" t="n"/>
      <c r="D296" s="44" t="n"/>
      <c r="L296" s="45" t="n"/>
      <c r="O296" s="44" t="n"/>
    </row>
    <row r="297">
      <c r="A297" s="43" t="n"/>
      <c r="C297" s="44" t="n"/>
      <c r="D297" s="44" t="n"/>
      <c r="L297" s="45" t="n"/>
      <c r="O297" s="44" t="n"/>
    </row>
    <row r="298">
      <c r="A298" s="43" t="n"/>
      <c r="C298" s="44" t="n"/>
      <c r="D298" s="44" t="n"/>
      <c r="L298" s="45" t="n"/>
      <c r="O298" s="44" t="n"/>
    </row>
    <row r="299">
      <c r="A299" s="43" t="n"/>
      <c r="C299" s="44" t="n"/>
      <c r="D299" s="44" t="n"/>
      <c r="L299" s="45" t="n"/>
      <c r="O299" s="44" t="n"/>
    </row>
    <row r="300">
      <c r="A300" s="43" t="n"/>
      <c r="C300" s="44" t="n"/>
      <c r="D300" s="44" t="n"/>
      <c r="L300" s="45" t="n"/>
      <c r="O300" s="44" t="n"/>
    </row>
    <row r="301">
      <c r="A301" s="43" t="n"/>
      <c r="C301" s="44" t="n"/>
      <c r="D301" s="44" t="n"/>
      <c r="L301" s="45" t="n"/>
      <c r="O301" s="44" t="n"/>
    </row>
    <row r="302">
      <c r="A302" s="43" t="n"/>
      <c r="C302" s="44" t="n"/>
      <c r="D302" s="44" t="n"/>
      <c r="L302" s="45" t="n"/>
      <c r="O302" s="44" t="n"/>
    </row>
    <row r="303">
      <c r="A303" s="43" t="n"/>
      <c r="C303" s="44" t="n"/>
      <c r="D303" s="44" t="n"/>
      <c r="L303" s="45" t="n"/>
      <c r="O303" s="44" t="n"/>
    </row>
    <row r="304">
      <c r="A304" s="43" t="n"/>
      <c r="C304" s="44" t="n"/>
      <c r="D304" s="44" t="n"/>
      <c r="L304" s="45" t="n"/>
      <c r="O304" s="44" t="n"/>
    </row>
    <row r="305">
      <c r="A305" s="43" t="n"/>
      <c r="C305" s="44" t="n"/>
      <c r="D305" s="44" t="n"/>
      <c r="L305" s="45" t="n"/>
      <c r="O305" s="44" t="n"/>
    </row>
    <row r="306">
      <c r="A306" s="43" t="n"/>
      <c r="C306" s="44" t="n"/>
      <c r="D306" s="44" t="n"/>
      <c r="L306" s="45" t="n"/>
      <c r="O306" s="44" t="n"/>
    </row>
    <row r="307">
      <c r="A307" s="43" t="n"/>
      <c r="C307" s="44" t="n"/>
      <c r="D307" s="44" t="n"/>
      <c r="L307" s="45" t="n"/>
      <c r="O307" s="44" t="n"/>
    </row>
    <row r="308">
      <c r="A308" s="43" t="n"/>
      <c r="C308" s="44" t="n"/>
      <c r="D308" s="44" t="n"/>
      <c r="L308" s="45" t="n"/>
      <c r="O308" s="44" t="n"/>
    </row>
    <row r="309">
      <c r="A309" s="43" t="n"/>
      <c r="C309" s="44" t="n"/>
      <c r="D309" s="44" t="n"/>
      <c r="L309" s="45" t="n"/>
      <c r="O309" s="44" t="n"/>
    </row>
    <row r="310">
      <c r="A310" s="43" t="n"/>
      <c r="C310" s="44" t="n"/>
      <c r="D310" s="44" t="n"/>
      <c r="L310" s="45" t="n"/>
      <c r="O310" s="44" t="n"/>
    </row>
    <row r="311">
      <c r="A311" s="43" t="n"/>
      <c r="C311" s="44" t="n"/>
      <c r="D311" s="44" t="n"/>
      <c r="L311" s="45" t="n"/>
      <c r="O311" s="44" t="n"/>
    </row>
    <row r="312">
      <c r="A312" s="43" t="n"/>
      <c r="C312" s="44" t="n"/>
      <c r="D312" s="44" t="n"/>
      <c r="L312" s="45" t="n"/>
      <c r="O312" s="44" t="n"/>
    </row>
    <row r="313">
      <c r="A313" s="43" t="n"/>
      <c r="C313" s="44" t="n"/>
      <c r="D313" s="44" t="n"/>
      <c r="L313" s="45" t="n"/>
      <c r="O313" s="44" t="n"/>
    </row>
    <row r="314">
      <c r="A314" s="43" t="n"/>
      <c r="C314" s="44" t="n"/>
      <c r="D314" s="44" t="n"/>
      <c r="L314" s="45" t="n"/>
      <c r="O314" s="44" t="n"/>
    </row>
    <row r="315">
      <c r="A315" s="43" t="n"/>
      <c r="C315" s="44" t="n"/>
      <c r="D315" s="44" t="n"/>
      <c r="L315" s="45" t="n"/>
      <c r="O315" s="44" t="n"/>
    </row>
    <row r="316">
      <c r="A316" s="43" t="n"/>
      <c r="C316" s="44" t="n"/>
      <c r="D316" s="44" t="n"/>
      <c r="L316" s="45" t="n"/>
      <c r="O316" s="44" t="n"/>
    </row>
    <row r="317">
      <c r="A317" s="43" t="n"/>
      <c r="C317" s="44" t="n"/>
      <c r="D317" s="44" t="n"/>
      <c r="L317" s="45" t="n"/>
      <c r="O317" s="44" t="n"/>
    </row>
    <row r="318">
      <c r="A318" s="43" t="n"/>
      <c r="C318" s="44" t="n"/>
      <c r="D318" s="44" t="n"/>
      <c r="L318" s="45" t="n"/>
      <c r="O318" s="44" t="n"/>
    </row>
    <row r="319">
      <c r="A319" s="43" t="n"/>
      <c r="C319" s="44" t="n"/>
      <c r="D319" s="44" t="n"/>
      <c r="L319" s="45" t="n"/>
      <c r="O319" s="44" t="n"/>
    </row>
    <row r="320">
      <c r="A320" s="43" t="n"/>
      <c r="C320" s="44" t="n"/>
      <c r="D320" s="44" t="n"/>
      <c r="L320" s="45" t="n"/>
      <c r="O320" s="44" t="n"/>
    </row>
    <row r="321">
      <c r="A321" s="43" t="n"/>
      <c r="C321" s="44" t="n"/>
      <c r="D321" s="44" t="n"/>
      <c r="L321" s="45" t="n"/>
      <c r="O321" s="44" t="n"/>
    </row>
    <row r="322">
      <c r="A322" s="43" t="n"/>
      <c r="C322" s="44" t="n"/>
      <c r="D322" s="44" t="n"/>
      <c r="L322" s="45" t="n"/>
      <c r="O322" s="44" t="n"/>
    </row>
    <row r="323">
      <c r="A323" s="43" t="n"/>
      <c r="C323" s="44" t="n"/>
      <c r="D323" s="44" t="n"/>
      <c r="L323" s="45" t="n"/>
      <c r="O323" s="44" t="n"/>
    </row>
    <row r="324">
      <c r="A324" s="43" t="n"/>
      <c r="C324" s="44" t="n"/>
      <c r="D324" s="44" t="n"/>
      <c r="L324" s="45" t="n"/>
      <c r="O324" s="44" t="n"/>
    </row>
    <row r="325">
      <c r="A325" s="43" t="n"/>
      <c r="C325" s="44" t="n"/>
      <c r="D325" s="44" t="n"/>
      <c r="L325" s="45" t="n"/>
      <c r="O325" s="44" t="n"/>
    </row>
    <row r="326">
      <c r="A326" s="43" t="n"/>
      <c r="C326" s="44" t="n"/>
      <c r="D326" s="44" t="n"/>
      <c r="L326" s="45" t="n"/>
      <c r="O326" s="44" t="n"/>
    </row>
    <row r="327">
      <c r="A327" s="43" t="n"/>
      <c r="C327" s="44" t="n"/>
      <c r="D327" s="44" t="n"/>
      <c r="L327" s="45" t="n"/>
      <c r="O327" s="44" t="n"/>
    </row>
    <row r="328">
      <c r="A328" s="43" t="n"/>
      <c r="C328" s="44" t="n"/>
      <c r="D328" s="44" t="n"/>
      <c r="L328" s="45" t="n"/>
      <c r="O328" s="44" t="n"/>
    </row>
    <row r="329">
      <c r="A329" s="43" t="n"/>
      <c r="C329" s="44" t="n"/>
      <c r="D329" s="44" t="n"/>
      <c r="L329" s="45" t="n"/>
      <c r="O329" s="44" t="n"/>
    </row>
    <row r="330">
      <c r="A330" s="43" t="n"/>
      <c r="C330" s="44" t="n"/>
      <c r="D330" s="44" t="n"/>
      <c r="L330" s="45" t="n"/>
      <c r="O330" s="44" t="n"/>
    </row>
    <row r="331">
      <c r="A331" s="43" t="n"/>
      <c r="C331" s="44" t="n"/>
      <c r="D331" s="44" t="n"/>
      <c r="L331" s="45" t="n"/>
      <c r="O331" s="44" t="n"/>
    </row>
    <row r="332">
      <c r="A332" s="43" t="n"/>
      <c r="C332" s="44" t="n"/>
      <c r="D332" s="44" t="n"/>
      <c r="L332" s="45" t="n"/>
      <c r="O332" s="44" t="n"/>
    </row>
    <row r="333">
      <c r="A333" s="43" t="n"/>
      <c r="C333" s="44" t="n"/>
      <c r="D333" s="44" t="n"/>
      <c r="L333" s="45" t="n"/>
      <c r="O333" s="44" t="n"/>
    </row>
    <row r="334">
      <c r="A334" s="43" t="n"/>
      <c r="C334" s="44" t="n"/>
      <c r="D334" s="44" t="n"/>
      <c r="L334" s="45" t="n"/>
      <c r="O334" s="44" t="n"/>
    </row>
    <row r="335">
      <c r="A335" s="43" t="n"/>
      <c r="C335" s="44" t="n"/>
      <c r="D335" s="44" t="n"/>
      <c r="L335" s="45" t="n"/>
      <c r="O335" s="44" t="n"/>
    </row>
    <row r="336">
      <c r="A336" s="43" t="n"/>
      <c r="C336" s="44" t="n"/>
      <c r="D336" s="44" t="n"/>
      <c r="L336" s="45" t="n"/>
      <c r="O336" s="44" t="n"/>
    </row>
    <row r="337">
      <c r="A337" s="43" t="n"/>
      <c r="C337" s="44" t="n"/>
      <c r="D337" s="44" t="n"/>
      <c r="L337" s="45" t="n"/>
      <c r="O337" s="44" t="n"/>
    </row>
    <row r="338">
      <c r="A338" s="43" t="n"/>
      <c r="C338" s="44" t="n"/>
      <c r="D338" s="44" t="n"/>
      <c r="L338" s="45" t="n"/>
      <c r="O338" s="44" t="n"/>
    </row>
    <row r="339">
      <c r="A339" s="43" t="n"/>
      <c r="C339" s="44" t="n"/>
      <c r="D339" s="44" t="n"/>
      <c r="L339" s="45" t="n"/>
      <c r="O339" s="44" t="n"/>
    </row>
    <row r="340">
      <c r="A340" s="43" t="n"/>
      <c r="C340" s="44" t="n"/>
      <c r="D340" s="44" t="n"/>
      <c r="L340" s="45" t="n"/>
      <c r="O340" s="44" t="n"/>
    </row>
    <row r="341">
      <c r="A341" s="43" t="n"/>
      <c r="C341" s="44" t="n"/>
      <c r="D341" s="44" t="n"/>
      <c r="L341" s="45" t="n"/>
      <c r="O341" s="44" t="n"/>
    </row>
    <row r="342">
      <c r="A342" s="43" t="n"/>
      <c r="C342" s="44" t="n"/>
      <c r="D342" s="44" t="n"/>
      <c r="L342" s="45" t="n"/>
      <c r="O342" s="44" t="n"/>
    </row>
    <row r="343">
      <c r="A343" s="43" t="n"/>
      <c r="C343" s="44" t="n"/>
      <c r="D343" s="44" t="n"/>
      <c r="L343" s="45" t="n"/>
      <c r="O343" s="44" t="n"/>
    </row>
    <row r="344">
      <c r="A344" s="43" t="n"/>
      <c r="C344" s="44" t="n"/>
      <c r="D344" s="44" t="n"/>
      <c r="L344" s="45" t="n"/>
      <c r="O344" s="44" t="n"/>
    </row>
    <row r="345">
      <c r="A345" s="43" t="n"/>
      <c r="C345" s="44" t="n"/>
      <c r="D345" s="44" t="n"/>
      <c r="L345" s="45" t="n"/>
      <c r="O345" s="44" t="n"/>
    </row>
    <row r="346">
      <c r="A346" s="43" t="n"/>
      <c r="C346" s="44" t="n"/>
      <c r="D346" s="44" t="n"/>
      <c r="L346" s="45" t="n"/>
      <c r="O346" s="44" t="n"/>
    </row>
    <row r="347">
      <c r="A347" s="43" t="n"/>
      <c r="C347" s="44" t="n"/>
      <c r="D347" s="44" t="n"/>
      <c r="L347" s="45" t="n"/>
      <c r="O347" s="44" t="n"/>
    </row>
    <row r="348">
      <c r="A348" s="43" t="n"/>
      <c r="C348" s="44" t="n"/>
      <c r="D348" s="44" t="n"/>
      <c r="L348" s="45" t="n"/>
      <c r="O348" s="44" t="n"/>
    </row>
    <row r="349">
      <c r="A349" s="43" t="n"/>
      <c r="C349" s="44" t="n"/>
      <c r="D349" s="44" t="n"/>
      <c r="L349" s="45" t="n"/>
      <c r="O349" s="44" t="n"/>
    </row>
    <row r="350">
      <c r="A350" s="43" t="n"/>
      <c r="C350" s="44" t="n"/>
      <c r="D350" s="44" t="n"/>
      <c r="L350" s="45" t="n"/>
      <c r="O350" s="44" t="n"/>
    </row>
    <row r="351">
      <c r="A351" s="43" t="n"/>
      <c r="C351" s="44" t="n"/>
      <c r="D351" s="44" t="n"/>
      <c r="L351" s="45" t="n"/>
      <c r="O351" s="44" t="n"/>
    </row>
    <row r="352">
      <c r="A352" s="43" t="n"/>
      <c r="C352" s="44" t="n"/>
      <c r="D352" s="44" t="n"/>
      <c r="L352" s="45" t="n"/>
      <c r="O352" s="44" t="n"/>
    </row>
    <row r="353">
      <c r="A353" s="43" t="n"/>
      <c r="C353" s="44" t="n"/>
      <c r="D353" s="44" t="n"/>
      <c r="L353" s="45" t="n"/>
      <c r="O353" s="44" t="n"/>
    </row>
    <row r="354">
      <c r="A354" s="43" t="n"/>
      <c r="C354" s="44" t="n"/>
      <c r="D354" s="44" t="n"/>
      <c r="L354" s="45" t="n"/>
      <c r="O354" s="44" t="n"/>
    </row>
    <row r="355">
      <c r="A355" s="43" t="n"/>
      <c r="C355" s="44" t="n"/>
      <c r="D355" s="44" t="n"/>
      <c r="L355" s="45" t="n"/>
      <c r="O355" s="44" t="n"/>
    </row>
    <row r="356">
      <c r="A356" s="43" t="n"/>
      <c r="C356" s="44" t="n"/>
      <c r="D356" s="44" t="n"/>
      <c r="L356" s="45" t="n"/>
      <c r="O356" s="44" t="n"/>
    </row>
    <row r="357">
      <c r="A357" s="43" t="n"/>
      <c r="C357" s="44" t="n"/>
      <c r="D357" s="44" t="n"/>
      <c r="L357" s="45" t="n"/>
      <c r="O357" s="44" t="n"/>
    </row>
    <row r="358">
      <c r="A358" s="43" t="n"/>
      <c r="C358" s="44" t="n"/>
      <c r="D358" s="44" t="n"/>
      <c r="L358" s="45" t="n"/>
      <c r="O358" s="44" t="n"/>
    </row>
    <row r="359">
      <c r="A359" s="43" t="n"/>
      <c r="C359" s="44" t="n"/>
      <c r="D359" s="44" t="n"/>
      <c r="L359" s="45" t="n"/>
      <c r="O359" s="44" t="n"/>
    </row>
    <row r="360">
      <c r="A360" s="43" t="n"/>
      <c r="C360" s="44" t="n"/>
      <c r="D360" s="44" t="n"/>
      <c r="L360" s="45" t="n"/>
      <c r="O360" s="44" t="n"/>
    </row>
    <row r="361">
      <c r="A361" s="43" t="n"/>
      <c r="C361" s="44" t="n"/>
      <c r="D361" s="44" t="n"/>
      <c r="L361" s="45" t="n"/>
      <c r="O361" s="44" t="n"/>
    </row>
    <row r="362">
      <c r="A362" s="43" t="n"/>
      <c r="C362" s="44" t="n"/>
      <c r="D362" s="44" t="n"/>
      <c r="L362" s="45" t="n"/>
      <c r="O362" s="44" t="n"/>
    </row>
    <row r="363">
      <c r="A363" s="43" t="n"/>
      <c r="C363" s="44" t="n"/>
      <c r="D363" s="44" t="n"/>
      <c r="L363" s="45" t="n"/>
      <c r="O363" s="44" t="n"/>
    </row>
    <row r="364">
      <c r="A364" s="43" t="n"/>
      <c r="C364" s="44" t="n"/>
      <c r="D364" s="44" t="n"/>
      <c r="L364" s="45" t="n"/>
      <c r="O364" s="44" t="n"/>
    </row>
    <row r="365">
      <c r="A365" s="43" t="n"/>
      <c r="C365" s="44" t="n"/>
      <c r="D365" s="44" t="n"/>
      <c r="L365" s="45" t="n"/>
      <c r="O365" s="44" t="n"/>
    </row>
    <row r="366">
      <c r="A366" s="43" t="n"/>
      <c r="C366" s="44" t="n"/>
      <c r="D366" s="44" t="n"/>
      <c r="L366" s="45" t="n"/>
      <c r="O366" s="44" t="n"/>
    </row>
    <row r="367">
      <c r="A367" s="43" t="n"/>
      <c r="C367" s="44" t="n"/>
      <c r="D367" s="44" t="n"/>
      <c r="L367" s="45" t="n"/>
      <c r="O367" s="44" t="n"/>
    </row>
    <row r="368">
      <c r="A368" s="43" t="n"/>
      <c r="C368" s="44" t="n"/>
      <c r="D368" s="44" t="n"/>
      <c r="L368" s="45" t="n"/>
      <c r="O368" s="44" t="n"/>
    </row>
    <row r="369">
      <c r="A369" s="43" t="n"/>
      <c r="C369" s="44" t="n"/>
      <c r="D369" s="44" t="n"/>
      <c r="L369" s="45" t="n"/>
      <c r="O369" s="44" t="n"/>
    </row>
    <row r="370">
      <c r="A370" s="43" t="n"/>
      <c r="C370" s="44" t="n"/>
      <c r="D370" s="44" t="n"/>
      <c r="L370" s="45" t="n"/>
      <c r="O370" s="44" t="n"/>
    </row>
    <row r="371">
      <c r="A371" s="43" t="n"/>
      <c r="C371" s="44" t="n"/>
      <c r="D371" s="44" t="n"/>
      <c r="L371" s="45" t="n"/>
      <c r="O371" s="44" t="n"/>
    </row>
    <row r="372">
      <c r="A372" s="43" t="n"/>
      <c r="C372" s="44" t="n"/>
      <c r="D372" s="44" t="n"/>
      <c r="L372" s="45" t="n"/>
      <c r="O372" s="44" t="n"/>
    </row>
    <row r="373">
      <c r="A373" s="43" t="n"/>
      <c r="C373" s="44" t="n"/>
      <c r="D373" s="44" t="n"/>
      <c r="L373" s="45" t="n"/>
      <c r="O373" s="44" t="n"/>
    </row>
    <row r="374">
      <c r="A374" s="43" t="n"/>
      <c r="C374" s="44" t="n"/>
      <c r="D374" s="44" t="n"/>
      <c r="L374" s="45" t="n"/>
      <c r="O374" s="44" t="n"/>
    </row>
    <row r="375">
      <c r="A375" s="43" t="n"/>
      <c r="C375" s="44" t="n"/>
      <c r="D375" s="44" t="n"/>
      <c r="L375" s="45" t="n"/>
      <c r="O375" s="44" t="n"/>
    </row>
    <row r="376">
      <c r="A376" s="43" t="n"/>
      <c r="C376" s="44" t="n"/>
      <c r="D376" s="44" t="n"/>
      <c r="L376" s="45" t="n"/>
      <c r="O376" s="44" t="n"/>
    </row>
    <row r="377">
      <c r="A377" s="43" t="n"/>
      <c r="C377" s="44" t="n"/>
      <c r="D377" s="44" t="n"/>
      <c r="L377" s="45" t="n"/>
      <c r="O377" s="44" t="n"/>
    </row>
    <row r="378">
      <c r="A378" s="43" t="n"/>
      <c r="C378" s="44" t="n"/>
      <c r="D378" s="44" t="n"/>
      <c r="L378" s="45" t="n"/>
      <c r="O378" s="44" t="n"/>
    </row>
    <row r="379">
      <c r="A379" s="43" t="n"/>
      <c r="C379" s="44" t="n"/>
      <c r="D379" s="44" t="n"/>
      <c r="L379" s="45" t="n"/>
      <c r="O379" s="44" t="n"/>
    </row>
    <row r="380">
      <c r="A380" s="43" t="n"/>
      <c r="C380" s="44" t="n"/>
      <c r="D380" s="44" t="n"/>
      <c r="L380" s="45" t="n"/>
      <c r="O380" s="44" t="n"/>
    </row>
    <row r="381">
      <c r="A381" s="43" t="n"/>
      <c r="C381" s="44" t="n"/>
      <c r="D381" s="44" t="n"/>
      <c r="L381" s="45" t="n"/>
      <c r="O381" s="44" t="n"/>
    </row>
    <row r="382">
      <c r="A382" s="43" t="n"/>
      <c r="C382" s="44" t="n"/>
      <c r="D382" s="44" t="n"/>
      <c r="L382" s="45" t="n"/>
      <c r="O382" s="44" t="n"/>
    </row>
    <row r="383">
      <c r="A383" s="43" t="n"/>
      <c r="C383" s="44" t="n"/>
      <c r="D383" s="44" t="n"/>
      <c r="L383" s="45" t="n"/>
      <c r="O383" s="44" t="n"/>
    </row>
    <row r="384">
      <c r="A384" s="43" t="n"/>
      <c r="C384" s="44" t="n"/>
      <c r="D384" s="44" t="n"/>
      <c r="L384" s="45" t="n"/>
      <c r="O384" s="44" t="n"/>
    </row>
    <row r="385">
      <c r="A385" s="43" t="n"/>
      <c r="C385" s="44" t="n"/>
      <c r="D385" s="44" t="n"/>
      <c r="L385" s="45" t="n"/>
      <c r="O385" s="44" t="n"/>
    </row>
    <row r="386">
      <c r="A386" s="43" t="n"/>
      <c r="C386" s="44" t="n"/>
      <c r="D386" s="44" t="n"/>
      <c r="L386" s="45" t="n"/>
      <c r="O386" s="44" t="n"/>
    </row>
    <row r="387">
      <c r="A387" s="43" t="n"/>
      <c r="C387" s="44" t="n"/>
      <c r="D387" s="44" t="n"/>
      <c r="L387" s="45" t="n"/>
      <c r="O387" s="44" t="n"/>
    </row>
    <row r="388">
      <c r="A388" s="43" t="n"/>
      <c r="C388" s="44" t="n"/>
      <c r="D388" s="44" t="n"/>
      <c r="L388" s="45" t="n"/>
      <c r="O388" s="44" t="n"/>
    </row>
    <row r="389">
      <c r="A389" s="43" t="n"/>
      <c r="C389" s="44" t="n"/>
      <c r="D389" s="44" t="n"/>
      <c r="L389" s="45" t="n"/>
      <c r="O389" s="44" t="n"/>
    </row>
    <row r="390">
      <c r="A390" s="43" t="n"/>
      <c r="C390" s="44" t="n"/>
      <c r="D390" s="44" t="n"/>
      <c r="L390" s="45" t="n"/>
      <c r="O390" s="44" t="n"/>
    </row>
    <row r="391">
      <c r="A391" s="43" t="n"/>
      <c r="C391" s="44" t="n"/>
      <c r="D391" s="44" t="n"/>
      <c r="L391" s="45" t="n"/>
      <c r="O391" s="44" t="n"/>
    </row>
    <row r="392">
      <c r="A392" s="43" t="n"/>
      <c r="C392" s="44" t="n"/>
      <c r="D392" s="44" t="n"/>
      <c r="L392" s="45" t="n"/>
      <c r="O392" s="44" t="n"/>
    </row>
    <row r="393">
      <c r="A393" s="43" t="n"/>
      <c r="C393" s="44" t="n"/>
      <c r="D393" s="44" t="n"/>
      <c r="L393" s="45" t="n"/>
      <c r="O393" s="44" t="n"/>
    </row>
    <row r="394">
      <c r="A394" s="43" t="n"/>
      <c r="C394" s="44" t="n"/>
      <c r="D394" s="44" t="n"/>
      <c r="L394" s="45" t="n"/>
      <c r="O394" s="44" t="n"/>
    </row>
    <row r="395">
      <c r="A395" s="43" t="n"/>
      <c r="C395" s="44" t="n"/>
      <c r="D395" s="44" t="n"/>
      <c r="L395" s="45" t="n"/>
      <c r="O395" s="44" t="n"/>
    </row>
    <row r="396">
      <c r="A396" s="43" t="n"/>
      <c r="C396" s="44" t="n"/>
      <c r="D396" s="44" t="n"/>
      <c r="L396" s="45" t="n"/>
      <c r="O396" s="44" t="n"/>
    </row>
    <row r="397">
      <c r="A397" s="43" t="n"/>
      <c r="C397" s="44" t="n"/>
      <c r="D397" s="44" t="n"/>
      <c r="L397" s="45" t="n"/>
      <c r="O397" s="44" t="n"/>
    </row>
    <row r="398">
      <c r="A398" s="43" t="n"/>
      <c r="C398" s="44" t="n"/>
      <c r="D398" s="44" t="n"/>
      <c r="L398" s="45" t="n"/>
      <c r="O398" s="44" t="n"/>
    </row>
    <row r="399">
      <c r="A399" s="43" t="n"/>
      <c r="C399" s="44" t="n"/>
      <c r="D399" s="44" t="n"/>
      <c r="L399" s="45" t="n"/>
      <c r="O399" s="44" t="n"/>
    </row>
    <row r="400">
      <c r="A400" s="43" t="n"/>
      <c r="C400" s="44" t="n"/>
      <c r="D400" s="44" t="n"/>
      <c r="L400" s="45" t="n"/>
      <c r="O400" s="44" t="n"/>
    </row>
    <row r="401">
      <c r="A401" s="43" t="n"/>
      <c r="C401" s="44" t="n"/>
      <c r="D401" s="44" t="n"/>
      <c r="L401" s="45" t="n"/>
      <c r="O401" s="44" t="n"/>
    </row>
    <row r="402">
      <c r="A402" s="43" t="n"/>
      <c r="C402" s="44" t="n"/>
      <c r="D402" s="44" t="n"/>
      <c r="L402" s="45" t="n"/>
      <c r="O402" s="44" t="n"/>
    </row>
    <row r="403">
      <c r="A403" s="43" t="n"/>
      <c r="C403" s="44" t="n"/>
      <c r="D403" s="44" t="n"/>
      <c r="L403" s="45" t="n"/>
      <c r="O403" s="44" t="n"/>
    </row>
    <row r="404">
      <c r="A404" s="43" t="n"/>
      <c r="C404" s="44" t="n"/>
      <c r="D404" s="44" t="n"/>
      <c r="L404" s="45" t="n"/>
      <c r="O404" s="44" t="n"/>
    </row>
    <row r="405">
      <c r="A405" s="43" t="n"/>
      <c r="C405" s="44" t="n"/>
      <c r="D405" s="44" t="n"/>
      <c r="L405" s="45" t="n"/>
      <c r="O405" s="44" t="n"/>
    </row>
    <row r="406">
      <c r="A406" s="43" t="n"/>
      <c r="C406" s="44" t="n"/>
      <c r="D406" s="44" t="n"/>
      <c r="L406" s="45" t="n"/>
      <c r="O406" s="44" t="n"/>
    </row>
    <row r="407">
      <c r="A407" s="43" t="n"/>
      <c r="C407" s="44" t="n"/>
      <c r="D407" s="44" t="n"/>
      <c r="L407" s="45" t="n"/>
      <c r="O407" s="44" t="n"/>
    </row>
    <row r="408">
      <c r="A408" s="43" t="n"/>
      <c r="C408" s="44" t="n"/>
      <c r="D408" s="44" t="n"/>
      <c r="L408" s="45" t="n"/>
      <c r="O408" s="44" t="n"/>
    </row>
    <row r="409">
      <c r="A409" s="43" t="n"/>
      <c r="C409" s="44" t="n"/>
      <c r="D409" s="44" t="n"/>
      <c r="L409" s="45" t="n"/>
      <c r="O409" s="44" t="n"/>
    </row>
    <row r="410">
      <c r="A410" s="43" t="n"/>
      <c r="C410" s="44" t="n"/>
      <c r="D410" s="44" t="n"/>
      <c r="L410" s="45" t="n"/>
      <c r="O410" s="44" t="n"/>
    </row>
    <row r="411">
      <c r="A411" s="43" t="n"/>
      <c r="C411" s="44" t="n"/>
      <c r="D411" s="44" t="n"/>
      <c r="L411" s="45" t="n"/>
      <c r="O411" s="44" t="n"/>
    </row>
    <row r="412">
      <c r="A412" s="43" t="n"/>
      <c r="C412" s="44" t="n"/>
      <c r="D412" s="44" t="n"/>
      <c r="L412" s="45" t="n"/>
      <c r="O412" s="44" t="n"/>
    </row>
    <row r="413">
      <c r="A413" s="43" t="n"/>
      <c r="C413" s="44" t="n"/>
      <c r="D413" s="44" t="n"/>
      <c r="L413" s="45" t="n"/>
      <c r="O413" s="44" t="n"/>
    </row>
    <row r="414">
      <c r="A414" s="43" t="n"/>
      <c r="C414" s="44" t="n"/>
      <c r="D414" s="44" t="n"/>
      <c r="L414" s="45" t="n"/>
      <c r="O414" s="44" t="n"/>
    </row>
    <row r="415">
      <c r="A415" s="43" t="n"/>
      <c r="C415" s="44" t="n"/>
      <c r="D415" s="44" t="n"/>
      <c r="L415" s="45" t="n"/>
      <c r="O415" s="44" t="n"/>
    </row>
    <row r="416">
      <c r="A416" s="43" t="n"/>
      <c r="C416" s="44" t="n"/>
      <c r="D416" s="44" t="n"/>
      <c r="L416" s="45" t="n"/>
      <c r="O416" s="44" t="n"/>
    </row>
    <row r="417">
      <c r="A417" s="43" t="n"/>
      <c r="C417" s="44" t="n"/>
      <c r="D417" s="44" t="n"/>
      <c r="L417" s="45" t="n"/>
      <c r="O417" s="44" t="n"/>
    </row>
    <row r="418">
      <c r="A418" s="43" t="n"/>
      <c r="C418" s="44" t="n"/>
      <c r="D418" s="44" t="n"/>
      <c r="L418" s="45" t="n"/>
      <c r="O418" s="44" t="n"/>
    </row>
    <row r="419">
      <c r="A419" s="43" t="n"/>
      <c r="C419" s="44" t="n"/>
      <c r="D419" s="44" t="n"/>
      <c r="L419" s="45" t="n"/>
      <c r="O419" s="44" t="n"/>
    </row>
    <row r="420">
      <c r="A420" s="43" t="n"/>
      <c r="C420" s="44" t="n"/>
      <c r="D420" s="44" t="n"/>
      <c r="L420" s="45" t="n"/>
      <c r="O420" s="44" t="n"/>
    </row>
    <row r="421">
      <c r="A421" s="43" t="n"/>
      <c r="C421" s="44" t="n"/>
      <c r="D421" s="44" t="n"/>
      <c r="L421" s="45" t="n"/>
      <c r="O421" s="44" t="n"/>
    </row>
    <row r="422">
      <c r="A422" s="43" t="n"/>
      <c r="C422" s="44" t="n"/>
      <c r="D422" s="44" t="n"/>
      <c r="L422" s="45" t="n"/>
      <c r="O422" s="44" t="n"/>
    </row>
    <row r="423">
      <c r="A423" s="43" t="n"/>
      <c r="C423" s="44" t="n"/>
      <c r="D423" s="44" t="n"/>
      <c r="L423" s="45" t="n"/>
      <c r="O423" s="44" t="n"/>
    </row>
    <row r="424">
      <c r="A424" s="43" t="n"/>
      <c r="C424" s="44" t="n"/>
      <c r="D424" s="44" t="n"/>
      <c r="L424" s="45" t="n"/>
      <c r="O424" s="44" t="n"/>
    </row>
    <row r="425">
      <c r="A425" s="43" t="n"/>
      <c r="C425" s="44" t="n"/>
      <c r="D425" s="44" t="n"/>
      <c r="L425" s="45" t="n"/>
      <c r="O425" s="44" t="n"/>
    </row>
    <row r="426">
      <c r="A426" s="43" t="n"/>
      <c r="C426" s="44" t="n"/>
      <c r="D426" s="44" t="n"/>
      <c r="L426" s="45" t="n"/>
      <c r="O426" s="44" t="n"/>
    </row>
    <row r="427">
      <c r="A427" s="43" t="n"/>
      <c r="C427" s="44" t="n"/>
      <c r="D427" s="44" t="n"/>
      <c r="L427" s="45" t="n"/>
      <c r="O427" s="44" t="n"/>
    </row>
    <row r="428">
      <c r="A428" s="43" t="n"/>
      <c r="C428" s="44" t="n"/>
      <c r="D428" s="44" t="n"/>
      <c r="L428" s="45" t="n"/>
      <c r="O428" s="44" t="n"/>
    </row>
    <row r="429">
      <c r="A429" s="43" t="n"/>
      <c r="C429" s="44" t="n"/>
      <c r="D429" s="44" t="n"/>
      <c r="L429" s="45" t="n"/>
      <c r="O429" s="44" t="n"/>
    </row>
    <row r="430">
      <c r="A430" s="43" t="n"/>
      <c r="C430" s="44" t="n"/>
      <c r="D430" s="44" t="n"/>
      <c r="L430" s="45" t="n"/>
      <c r="O430" s="44" t="n"/>
    </row>
    <row r="431">
      <c r="A431" s="43" t="n"/>
      <c r="C431" s="44" t="n"/>
      <c r="D431" s="44" t="n"/>
      <c r="L431" s="45" t="n"/>
      <c r="O431" s="44" t="n"/>
    </row>
    <row r="432">
      <c r="A432" s="43" t="n"/>
      <c r="C432" s="44" t="n"/>
      <c r="D432" s="44" t="n"/>
      <c r="L432" s="45" t="n"/>
      <c r="O432" s="44" t="n"/>
    </row>
    <row r="433">
      <c r="A433" s="43" t="n"/>
      <c r="C433" s="44" t="n"/>
      <c r="D433" s="44" t="n"/>
      <c r="L433" s="45" t="n"/>
      <c r="O433" s="44" t="n"/>
    </row>
    <row r="434">
      <c r="A434" s="43" t="n"/>
      <c r="C434" s="44" t="n"/>
      <c r="D434" s="44" t="n"/>
      <c r="L434" s="45" t="n"/>
      <c r="O434" s="44" t="n"/>
    </row>
    <row r="435">
      <c r="A435" s="43" t="n"/>
      <c r="C435" s="44" t="n"/>
      <c r="D435" s="44" t="n"/>
      <c r="L435" s="45" t="n"/>
      <c r="O435" s="44" t="n"/>
    </row>
    <row r="436">
      <c r="A436" s="43" t="n"/>
      <c r="C436" s="44" t="n"/>
      <c r="D436" s="44" t="n"/>
      <c r="L436" s="45" t="n"/>
      <c r="O436" s="44" t="n"/>
    </row>
    <row r="437">
      <c r="A437" s="43" t="n"/>
      <c r="C437" s="44" t="n"/>
      <c r="D437" s="44" t="n"/>
      <c r="L437" s="45" t="n"/>
      <c r="O437" s="44" t="n"/>
    </row>
    <row r="438">
      <c r="A438" s="43" t="n"/>
      <c r="C438" s="44" t="n"/>
      <c r="D438" s="44" t="n"/>
      <c r="L438" s="45" t="n"/>
      <c r="O438" s="44" t="n"/>
    </row>
    <row r="439">
      <c r="A439" s="43" t="n"/>
      <c r="C439" s="44" t="n"/>
      <c r="D439" s="44" t="n"/>
      <c r="L439" s="45" t="n"/>
      <c r="O439" s="44" t="n"/>
    </row>
    <row r="440">
      <c r="A440" s="43" t="n"/>
      <c r="C440" s="44" t="n"/>
      <c r="D440" s="44" t="n"/>
      <c r="L440" s="45" t="n"/>
      <c r="O440" s="44" t="n"/>
    </row>
    <row r="441">
      <c r="A441" s="43" t="n"/>
      <c r="C441" s="44" t="n"/>
      <c r="D441" s="44" t="n"/>
      <c r="L441" s="45" t="n"/>
      <c r="O441" s="44" t="n"/>
    </row>
    <row r="442">
      <c r="A442" s="43" t="n"/>
      <c r="C442" s="44" t="n"/>
      <c r="D442" s="44" t="n"/>
      <c r="L442" s="45" t="n"/>
      <c r="O442" s="44" t="n"/>
    </row>
    <row r="443">
      <c r="A443" s="43" t="n"/>
      <c r="C443" s="44" t="n"/>
      <c r="D443" s="44" t="n"/>
      <c r="L443" s="45" t="n"/>
      <c r="O443" s="44" t="n"/>
    </row>
    <row r="444">
      <c r="A444" s="43" t="n"/>
      <c r="C444" s="44" t="n"/>
      <c r="D444" s="44" t="n"/>
      <c r="L444" s="45" t="n"/>
      <c r="O444" s="44" t="n"/>
    </row>
    <row r="445">
      <c r="A445" s="43" t="n"/>
      <c r="C445" s="44" t="n"/>
      <c r="D445" s="44" t="n"/>
      <c r="L445" s="45" t="n"/>
      <c r="O445" s="44" t="n"/>
    </row>
    <row r="446">
      <c r="A446" s="43" t="n"/>
      <c r="C446" s="44" t="n"/>
      <c r="D446" s="44" t="n"/>
      <c r="L446" s="45" t="n"/>
      <c r="O446" s="44" t="n"/>
    </row>
    <row r="447">
      <c r="A447" s="43" t="n"/>
      <c r="C447" s="44" t="n"/>
      <c r="D447" s="44" t="n"/>
      <c r="L447" s="45" t="n"/>
      <c r="O447" s="44" t="n"/>
    </row>
    <row r="448">
      <c r="A448" s="43" t="n"/>
      <c r="C448" s="44" t="n"/>
      <c r="D448" s="44" t="n"/>
      <c r="L448" s="45" t="n"/>
      <c r="O448" s="44" t="n"/>
    </row>
    <row r="449">
      <c r="A449" s="43" t="n"/>
      <c r="C449" s="44" t="n"/>
      <c r="D449" s="44" t="n"/>
      <c r="L449" s="45" t="n"/>
      <c r="O449" s="44" t="n"/>
    </row>
    <row r="450">
      <c r="A450" s="43" t="n"/>
      <c r="C450" s="44" t="n"/>
      <c r="D450" s="44" t="n"/>
      <c r="L450" s="45" t="n"/>
      <c r="O450" s="44" t="n"/>
    </row>
    <row r="451">
      <c r="A451" s="43" t="n"/>
      <c r="C451" s="44" t="n"/>
      <c r="D451" s="44" t="n"/>
      <c r="L451" s="45" t="n"/>
      <c r="O451" s="44" t="n"/>
    </row>
    <row r="452">
      <c r="A452" s="43" t="n"/>
      <c r="C452" s="44" t="n"/>
      <c r="D452" s="44" t="n"/>
      <c r="L452" s="45" t="n"/>
      <c r="O452" s="44" t="n"/>
    </row>
    <row r="453">
      <c r="A453" s="43" t="n"/>
      <c r="C453" s="44" t="n"/>
      <c r="D453" s="44" t="n"/>
      <c r="L453" s="45" t="n"/>
      <c r="O453" s="44" t="n"/>
    </row>
    <row r="454">
      <c r="A454" s="43" t="n"/>
      <c r="C454" s="44" t="n"/>
      <c r="D454" s="44" t="n"/>
      <c r="L454" s="45" t="n"/>
      <c r="O454" s="44" t="n"/>
    </row>
    <row r="455">
      <c r="A455" s="43" t="n"/>
      <c r="C455" s="44" t="n"/>
      <c r="D455" s="44" t="n"/>
      <c r="L455" s="45" t="n"/>
      <c r="O455" s="44" t="n"/>
    </row>
    <row r="456">
      <c r="A456" s="43" t="n"/>
      <c r="C456" s="44" t="n"/>
      <c r="D456" s="44" t="n"/>
      <c r="L456" s="45" t="n"/>
      <c r="O456" s="44" t="n"/>
    </row>
    <row r="457">
      <c r="A457" s="43" t="n"/>
      <c r="C457" s="44" t="n"/>
      <c r="D457" s="44" t="n"/>
      <c r="L457" s="45" t="n"/>
      <c r="O457" s="44" t="n"/>
    </row>
    <row r="458">
      <c r="A458" s="43" t="n"/>
      <c r="C458" s="44" t="n"/>
      <c r="D458" s="44" t="n"/>
      <c r="L458" s="45" t="n"/>
      <c r="O458" s="44" t="n"/>
    </row>
    <row r="459">
      <c r="A459" s="43" t="n"/>
      <c r="C459" s="44" t="n"/>
      <c r="D459" s="44" t="n"/>
      <c r="L459" s="45" t="n"/>
      <c r="O459" s="44" t="n"/>
    </row>
    <row r="460">
      <c r="A460" s="43" t="n"/>
      <c r="C460" s="44" t="n"/>
      <c r="D460" s="44" t="n"/>
      <c r="L460" s="45" t="n"/>
      <c r="O460" s="44" t="n"/>
    </row>
    <row r="461">
      <c r="A461" s="43" t="n"/>
      <c r="C461" s="44" t="n"/>
      <c r="D461" s="44" t="n"/>
      <c r="L461" s="45" t="n"/>
      <c r="O461" s="44" t="n"/>
    </row>
    <row r="462">
      <c r="A462" s="43" t="n"/>
      <c r="C462" s="44" t="n"/>
      <c r="D462" s="44" t="n"/>
      <c r="L462" s="45" t="n"/>
      <c r="O462" s="44" t="n"/>
    </row>
    <row r="463">
      <c r="A463" s="43" t="n"/>
      <c r="C463" s="44" t="n"/>
      <c r="D463" s="44" t="n"/>
      <c r="L463" s="45" t="n"/>
      <c r="O463" s="44" t="n"/>
    </row>
    <row r="464">
      <c r="A464" s="43" t="n"/>
      <c r="C464" s="44" t="n"/>
      <c r="D464" s="44" t="n"/>
      <c r="L464" s="45" t="n"/>
      <c r="O464" s="44" t="n"/>
    </row>
    <row r="465">
      <c r="A465" s="43" t="n"/>
      <c r="C465" s="44" t="n"/>
      <c r="D465" s="44" t="n"/>
      <c r="L465" s="45" t="n"/>
      <c r="O465" s="44" t="n"/>
    </row>
    <row r="466">
      <c r="A466" s="43" t="n"/>
      <c r="C466" s="44" t="n"/>
      <c r="D466" s="44" t="n"/>
      <c r="L466" s="45" t="n"/>
      <c r="O466" s="44" t="n"/>
    </row>
    <row r="467">
      <c r="A467" s="43" t="n"/>
      <c r="C467" s="44" t="n"/>
      <c r="D467" s="44" t="n"/>
      <c r="L467" s="45" t="n"/>
      <c r="O467" s="44" t="n"/>
    </row>
    <row r="468">
      <c r="A468" s="43" t="n"/>
      <c r="C468" s="44" t="n"/>
      <c r="D468" s="44" t="n"/>
      <c r="L468" s="45" t="n"/>
      <c r="O468" s="44" t="n"/>
    </row>
    <row r="469">
      <c r="A469" s="43" t="n"/>
      <c r="C469" s="44" t="n"/>
      <c r="D469" s="44" t="n"/>
      <c r="L469" s="45" t="n"/>
      <c r="O469" s="44" t="n"/>
    </row>
    <row r="470">
      <c r="A470" s="43" t="n"/>
      <c r="C470" s="44" t="n"/>
      <c r="D470" s="44" t="n"/>
      <c r="L470" s="45" t="n"/>
      <c r="O470" s="44" t="n"/>
    </row>
    <row r="471">
      <c r="A471" s="43" t="n"/>
      <c r="C471" s="44" t="n"/>
      <c r="D471" s="44" t="n"/>
      <c r="L471" s="45" t="n"/>
      <c r="O471" s="44" t="n"/>
    </row>
    <row r="472">
      <c r="A472" s="43" t="n"/>
      <c r="C472" s="44" t="n"/>
      <c r="D472" s="44" t="n"/>
      <c r="L472" s="45" t="n"/>
      <c r="O472" s="44" t="n"/>
    </row>
    <row r="473">
      <c r="A473" s="43" t="n"/>
      <c r="C473" s="44" t="n"/>
      <c r="D473" s="44" t="n"/>
      <c r="L473" s="45" t="n"/>
      <c r="O473" s="44" t="n"/>
    </row>
    <row r="474">
      <c r="A474" s="43" t="n"/>
      <c r="C474" s="44" t="n"/>
      <c r="D474" s="44" t="n"/>
      <c r="L474" s="45" t="n"/>
      <c r="O474" s="44" t="n"/>
    </row>
    <row r="475">
      <c r="A475" s="43" t="n"/>
      <c r="C475" s="44" t="n"/>
      <c r="D475" s="44" t="n"/>
      <c r="L475" s="45" t="n"/>
      <c r="O475" s="44" t="n"/>
    </row>
    <row r="476">
      <c r="A476" s="43" t="n"/>
      <c r="C476" s="44" t="n"/>
      <c r="D476" s="44" t="n"/>
      <c r="L476" s="45" t="n"/>
      <c r="O476" s="44" t="n"/>
    </row>
    <row r="477">
      <c r="A477" s="43" t="n"/>
      <c r="C477" s="44" t="n"/>
      <c r="D477" s="44" t="n"/>
      <c r="L477" s="45" t="n"/>
      <c r="O477" s="44" t="n"/>
    </row>
    <row r="478">
      <c r="A478" s="43" t="n"/>
      <c r="C478" s="44" t="n"/>
      <c r="D478" s="44" t="n"/>
      <c r="L478" s="45" t="n"/>
      <c r="O478" s="44" t="n"/>
    </row>
    <row r="479">
      <c r="A479" s="43" t="n"/>
      <c r="C479" s="44" t="n"/>
      <c r="D479" s="44" t="n"/>
      <c r="L479" s="45" t="n"/>
      <c r="O479" s="44" t="n"/>
    </row>
    <row r="480">
      <c r="A480" s="43" t="n"/>
      <c r="C480" s="44" t="n"/>
      <c r="D480" s="44" t="n"/>
      <c r="L480" s="45" t="n"/>
      <c r="O480" s="44" t="n"/>
    </row>
    <row r="481">
      <c r="A481" s="43" t="n"/>
      <c r="C481" s="44" t="n"/>
      <c r="D481" s="44" t="n"/>
      <c r="L481" s="45" t="n"/>
      <c r="O481" s="44" t="n"/>
    </row>
    <row r="482">
      <c r="A482" s="43" t="n"/>
      <c r="C482" s="44" t="n"/>
      <c r="D482" s="44" t="n"/>
      <c r="L482" s="45" t="n"/>
      <c r="O482" s="44" t="n"/>
    </row>
    <row r="483">
      <c r="A483" s="43" t="n"/>
      <c r="C483" s="44" t="n"/>
      <c r="D483" s="44" t="n"/>
      <c r="L483" s="45" t="n"/>
      <c r="O483" s="44" t="n"/>
    </row>
    <row r="484">
      <c r="A484" s="43" t="n"/>
      <c r="C484" s="44" t="n"/>
      <c r="D484" s="44" t="n"/>
      <c r="L484" s="45" t="n"/>
      <c r="O484" s="44" t="n"/>
    </row>
    <row r="485">
      <c r="A485" s="43" t="n"/>
      <c r="C485" s="44" t="n"/>
      <c r="D485" s="44" t="n"/>
      <c r="L485" s="45" t="n"/>
      <c r="O485" s="44" t="n"/>
    </row>
    <row r="486">
      <c r="A486" s="43" t="n"/>
      <c r="C486" s="44" t="n"/>
      <c r="D486" s="44" t="n"/>
      <c r="L486" s="45" t="n"/>
      <c r="O486" s="44" t="n"/>
    </row>
    <row r="487">
      <c r="A487" s="43" t="n"/>
      <c r="C487" s="44" t="n"/>
      <c r="D487" s="44" t="n"/>
      <c r="L487" s="45" t="n"/>
      <c r="O487" s="44" t="n"/>
    </row>
    <row r="488">
      <c r="A488" s="43" t="n"/>
      <c r="C488" s="44" t="n"/>
      <c r="D488" s="44" t="n"/>
      <c r="L488" s="45" t="n"/>
      <c r="O488" s="44" t="n"/>
    </row>
    <row r="489">
      <c r="A489" s="43" t="n"/>
      <c r="C489" s="44" t="n"/>
      <c r="D489" s="44" t="n"/>
      <c r="L489" s="45" t="n"/>
      <c r="O489" s="44" t="n"/>
    </row>
    <row r="490">
      <c r="A490" s="43" t="n"/>
      <c r="C490" s="44" t="n"/>
      <c r="D490" s="44" t="n"/>
      <c r="L490" s="45" t="n"/>
      <c r="O490" s="44" t="n"/>
    </row>
    <row r="491">
      <c r="A491" s="43" t="n"/>
      <c r="C491" s="44" t="n"/>
      <c r="D491" s="44" t="n"/>
      <c r="L491" s="45" t="n"/>
      <c r="O491" s="44" t="n"/>
    </row>
    <row r="492">
      <c r="A492" s="43" t="n"/>
      <c r="C492" s="44" t="n"/>
      <c r="D492" s="44" t="n"/>
      <c r="L492" s="45" t="n"/>
      <c r="O492" s="44" t="n"/>
    </row>
    <row r="493">
      <c r="A493" s="43" t="n"/>
      <c r="C493" s="44" t="n"/>
      <c r="D493" s="44" t="n"/>
      <c r="L493" s="45" t="n"/>
      <c r="O493" s="44" t="n"/>
    </row>
    <row r="494">
      <c r="A494" s="43" t="n"/>
      <c r="C494" s="44" t="n"/>
      <c r="D494" s="44" t="n"/>
      <c r="L494" s="45" t="n"/>
      <c r="O494" s="44" t="n"/>
    </row>
    <row r="495">
      <c r="A495" s="43" t="n"/>
      <c r="C495" s="44" t="n"/>
      <c r="D495" s="44" t="n"/>
      <c r="L495" s="45" t="n"/>
      <c r="O495" s="44" t="n"/>
    </row>
    <row r="496">
      <c r="A496" s="43" t="n"/>
      <c r="C496" s="44" t="n"/>
      <c r="D496" s="44" t="n"/>
      <c r="L496" s="45" t="n"/>
      <c r="O496" s="44" t="n"/>
    </row>
    <row r="497">
      <c r="A497" s="43" t="n"/>
      <c r="C497" s="44" t="n"/>
      <c r="D497" s="44" t="n"/>
      <c r="L497" s="45" t="n"/>
      <c r="O497" s="44" t="n"/>
    </row>
    <row r="498">
      <c r="A498" s="43" t="n"/>
      <c r="C498" s="44" t="n"/>
      <c r="D498" s="44" t="n"/>
      <c r="L498" s="45" t="n"/>
      <c r="O498" s="44" t="n"/>
    </row>
    <row r="499">
      <c r="A499" s="43" t="n"/>
      <c r="C499" s="44" t="n"/>
      <c r="D499" s="44" t="n"/>
      <c r="L499" s="45" t="n"/>
      <c r="O499" s="44" t="n"/>
    </row>
    <row r="500">
      <c r="A500" s="43" t="n"/>
      <c r="C500" s="44" t="n"/>
      <c r="D500" s="44" t="n"/>
      <c r="L500" s="45" t="n"/>
      <c r="O500" s="44" t="n"/>
    </row>
    <row r="501">
      <c r="A501" s="43" t="n"/>
      <c r="C501" s="44" t="n"/>
      <c r="D501" s="44" t="n"/>
      <c r="L501" s="45" t="n"/>
      <c r="O501" s="44" t="n"/>
    </row>
    <row r="502">
      <c r="A502" s="43" t="n"/>
      <c r="C502" s="44" t="n"/>
      <c r="D502" s="44" t="n"/>
      <c r="L502" s="45" t="n"/>
      <c r="O502" s="44" t="n"/>
    </row>
    <row r="503">
      <c r="A503" s="43" t="n"/>
      <c r="C503" s="44" t="n"/>
      <c r="D503" s="44" t="n"/>
      <c r="L503" s="45" t="n"/>
      <c r="O503" s="44" t="n"/>
    </row>
    <row r="504">
      <c r="A504" s="43" t="n"/>
      <c r="C504" s="44" t="n"/>
      <c r="D504" s="44" t="n"/>
      <c r="L504" s="45" t="n"/>
      <c r="O504" s="44" t="n"/>
    </row>
  </sheetData>
  <autoFilter ref="A3:X504"/>
  <conditionalFormatting sqref="F2">
    <cfRule type="cellIs" priority="1" operator="lessThan" dxfId="0">
      <formula>0</formula>
    </cfRule>
    <cfRule type="cellIs" priority="2" operator="greaterThanOrEqual" dxfId="1">
      <formula>0</formula>
    </cfRule>
  </conditionalFormatting>
  <conditionalFormatting sqref="H2">
    <cfRule type="cellIs" priority="3" operator="lessThan" dxfId="0">
      <formula>0.9</formula>
    </cfRule>
    <cfRule type="cellIs" priority="4" operator="greaterThanOrEqual" dxfId="1">
      <formula>1</formula>
    </cfRule>
  </conditionalFormatting>
  <conditionalFormatting sqref="R2">
    <cfRule type="cellIs" priority="5" operator="lessThan" dxfId="0">
      <formula>P2</formula>
    </cfRule>
  </conditionalFormatting>
  <dataValidations count="10">
    <dataValidation sqref="B5:B504" showDropDown="0" showInputMessage="0" showErrorMessage="0" allowBlank="1" type="list">
      <formula1>'選択肢マスター'!$A$2:$A$3</formula1>
    </dataValidation>
    <dataValidation sqref="E5:E504" showDropDown="0" showInputMessage="0" showErrorMessage="0" allowBlank="1" type="list">
      <formula1>'選択肢マスター'!$B$2:$B$23</formula1>
    </dataValidation>
    <dataValidation sqref="M5:M504" showDropDown="0" showInputMessage="0" showErrorMessage="0" allowBlank="1" type="list">
      <formula1>'選択肢マスター'!$C$2:$C$16</formula1>
    </dataValidation>
    <dataValidation sqref="N5:N504" showDropDown="0" showInputMessage="0" showErrorMessage="0" allowBlank="1" type="list">
      <formula1>'選択肢マスター'!$D$2:$D$7</formula1>
    </dataValidation>
    <dataValidation sqref="P5:P504" showDropDown="0" showInputMessage="0" showErrorMessage="0" allowBlank="1" type="list">
      <formula1>'選択肢マスター'!$E$2:$E$5</formula1>
    </dataValidation>
    <dataValidation sqref="Q5:Q504" showDropDown="0" showInputMessage="0" showErrorMessage="0" allowBlank="1" type="list">
      <formula1>'選択肢マスター'!$F$2:$F$5</formula1>
    </dataValidation>
    <dataValidation sqref="S5:S504" showDropDown="0" showInputMessage="0" showErrorMessage="0" allowBlank="1" type="list">
      <formula1>'選択肢マスター'!$G$2:$G$8</formula1>
    </dataValidation>
    <dataValidation sqref="T5:T504" showDropDown="0" showInputMessage="0" showErrorMessage="0" allowBlank="1" type="list">
      <formula1>'選択肢マスター'!$J$2:$J$3</formula1>
    </dataValidation>
    <dataValidation sqref="U5:U504" showDropDown="0" showInputMessage="0" showErrorMessage="0" allowBlank="1" type="list">
      <formula1>'選択肢マスター'!$H$2:$H$5</formula1>
    </dataValidation>
    <dataValidation sqref="V5:V504" showDropDown="0" showInputMessage="0" showErrorMessage="0" allowBlank="1" type="list">
      <formula1>'選択肢マスター'!$I$2:$I$5</formula1>
    </dataValidation>
  </dataValidation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X504"/>
  <sheetViews>
    <sheetView workbookViewId="0">
      <pane ySplit="4" topLeftCell="A5" activePane="bottomLeft" state="frozen"/>
      <selection pane="bottomLeft" activeCell="A1" sqref="A1"/>
    </sheetView>
  </sheetViews>
  <sheetFormatPr baseColWidth="8" defaultRowHeight="15"/>
  <cols>
    <col width="9" customWidth="1" min="1" max="1"/>
    <col width="11" customWidth="1" min="2" max="2"/>
    <col width="12" customWidth="1" min="3" max="3"/>
    <col width="12" customWidth="1" min="4" max="4"/>
    <col width="17" customWidth="1" min="5" max="5"/>
    <col width="20" customWidth="1" min="6" max="6"/>
    <col width="14" customWidth="1" min="7" max="7"/>
    <col width="16" customWidth="1" min="8" max="8"/>
    <col width="14" customWidth="1" min="9" max="9"/>
    <col width="11" customWidth="1" min="10" max="10"/>
    <col width="30" customWidth="1" min="11" max="11"/>
    <col width="12" customWidth="1" min="12" max="12"/>
    <col width="20" customWidth="1" min="13" max="13"/>
    <col width="12" customWidth="1" min="14" max="14"/>
    <col width="14" customWidth="1" min="15" max="15"/>
    <col width="12" customWidth="1" min="16" max="16"/>
    <col width="12" customWidth="1" min="17" max="17"/>
    <col width="34" customWidth="1" min="18" max="18"/>
    <col width="14" customWidth="1" min="19" max="19"/>
    <col width="11" customWidth="1" min="20" max="20"/>
    <col width="11" customWidth="1" min="21" max="21"/>
    <col width="12" customWidth="1" min="22" max="22"/>
    <col width="24" customWidth="1" min="23" max="23"/>
    <col width="10" customWidth="1" min="24" max="24"/>
  </cols>
  <sheetData>
    <row r="1" ht="18" customHeight="1">
      <c r="A1" s="8" t="inlineStr">
        <is>
          <t>◆ 4月の売上・顧客。入力は 5 行目から。2行目＝今月の目標、4行目＝自動集計（数式・触らない）</t>
        </is>
      </c>
    </row>
    <row r="2" ht="20" customHeight="1">
      <c r="A2" s="24" t="inlineStr">
        <is>
          <t>今月目標(売上)</t>
        </is>
      </c>
      <c r="B2" s="25" t="n">
        <v>2260000</v>
      </c>
      <c r="C2" s="24" t="inlineStr">
        <is>
          <t>売上 現在</t>
        </is>
      </c>
      <c r="D2" s="25">
        <f>$L$4</f>
        <v/>
      </c>
      <c r="E2" s="24" t="inlineStr">
        <is>
          <t>過不足</t>
        </is>
      </c>
      <c r="F2" s="25">
        <f>D2-B2</f>
        <v/>
      </c>
      <c r="G2" s="24" t="inlineStr">
        <is>
          <t>達成率</t>
        </is>
      </c>
      <c r="H2" s="26">
        <f>IFERROR(D2/B2,0)</f>
        <v/>
      </c>
      <c r="I2" s="24" t="inlineStr">
        <is>
          <t>必要件数</t>
        </is>
      </c>
      <c r="J2" s="27" t="n">
        <v>57</v>
      </c>
      <c r="K2" s="24" t="inlineStr">
        <is>
          <t>件数 現在</t>
        </is>
      </c>
      <c r="L2" s="27">
        <f>$E$4</f>
        <v/>
      </c>
      <c r="M2" s="24" t="inlineStr">
        <is>
          <t>残り件数</t>
        </is>
      </c>
      <c r="N2" s="27">
        <f>J2-L2</f>
        <v/>
      </c>
      <c r="O2" s="24" t="inlineStr">
        <is>
          <t>④ネット新規 目標</t>
        </is>
      </c>
      <c r="P2" s="27" t="n">
        <v>10</v>
      </c>
      <c r="Q2" s="24" t="inlineStr">
        <is>
          <t>④ 現在</t>
        </is>
      </c>
      <c r="R2" s="27">
        <f>$R$4</f>
        <v/>
      </c>
    </row>
    <row r="3" ht="30" customHeight="1">
      <c r="A3" s="3" t="inlineStr">
        <is>
          <t>通し番号</t>
        </is>
      </c>
      <c r="B3" s="3" t="inlineStr">
        <is>
          <t>売上種類</t>
        </is>
      </c>
      <c r="C3" s="3" t="inlineStr">
        <is>
          <t>受注日</t>
        </is>
      </c>
      <c r="D3" s="3" t="inlineStr">
        <is>
          <t>施工日付</t>
        </is>
      </c>
      <c r="E3" s="3" t="inlineStr">
        <is>
          <t>流入経路</t>
        </is>
      </c>
      <c r="F3" s="3" t="inlineStr">
        <is>
          <t>流入元の識別子(?src=)</t>
        </is>
      </c>
      <c r="G3" s="3" t="inlineStr">
        <is>
          <t>紹介者（顧客ID）</t>
        </is>
      </c>
      <c r="H3" s="3" t="inlineStr">
        <is>
          <t>氏名</t>
        </is>
      </c>
      <c r="I3" s="3" t="inlineStr">
        <is>
          <t>TEL(-無し)</t>
        </is>
      </c>
      <c r="J3" s="3" t="inlineStr">
        <is>
          <t>郵便番号(-無し)</t>
        </is>
      </c>
      <c r="K3" s="3" t="inlineStr">
        <is>
          <t>住所</t>
        </is>
      </c>
      <c r="L3" s="3" t="inlineStr">
        <is>
          <t>売上（税込）</t>
        </is>
      </c>
      <c r="M3" s="3" t="inlineStr">
        <is>
          <t>実施メニュー</t>
        </is>
      </c>
      <c r="N3" s="3" t="inlineStr">
        <is>
          <t>施工担当</t>
        </is>
      </c>
      <c r="O3" s="3" t="inlineStr">
        <is>
          <t>フォローコール日</t>
        </is>
      </c>
      <c r="P3" s="3" t="inlineStr">
        <is>
          <t>早期予約提案</t>
        </is>
      </c>
      <c r="Q3" s="3" t="inlineStr">
        <is>
          <t>フォローコール</t>
        </is>
      </c>
      <c r="R3" s="3" t="inlineStr">
        <is>
          <t>備考(お客様の声)</t>
        </is>
      </c>
      <c r="S3" s="3" t="inlineStr">
        <is>
          <t>入金経路</t>
        </is>
      </c>
      <c r="T3" s="3" t="inlineStr">
        <is>
          <t>入金額照合</t>
        </is>
      </c>
      <c r="U3" s="3" t="inlineStr">
        <is>
          <t>ＯＨ打診</t>
        </is>
      </c>
      <c r="V3" s="3" t="inlineStr">
        <is>
          <t>本舗ロイ区分</t>
        </is>
      </c>
      <c r="W3" s="3" t="inlineStr">
        <is>
          <t>お客様周辺/環境情報</t>
        </is>
      </c>
      <c r="X3" s="3" t="inlineStr">
        <is>
          <t>カウント用</t>
        </is>
      </c>
    </row>
    <row r="4" ht="20" customHeight="1">
      <c r="A4" s="28">
        <f>"▼自動集計"</f>
        <v/>
      </c>
      <c r="B4" s="29">
        <f>COUNTIFS($B$5:$B$504,"One Hitter")</f>
        <v/>
      </c>
      <c r="C4" s="30">
        <f>IFERROR(SUMPRODUCT(($C$5:$C$504&lt;&gt;"")*($D$5:$D$504&lt;&gt;"")*($D$5:$D$504-$C$5:$C$504))/SUMPRODUCT(($C$5:$C$504&lt;&gt;"")*($D$5:$D$504&lt;&gt;"")),0)</f>
        <v/>
      </c>
      <c r="D4" s="31">
        <f>COUNTIFS($B$5:$B$504,"本舗")</f>
        <v/>
      </c>
      <c r="E4" s="32">
        <f>COUNTA($D$5:$D$504)</f>
        <v/>
      </c>
      <c r="F4" s="33">
        <f>IFERROR(SUM($L$5:$L$504)/COUNTA($D$5:$D$504),0)</f>
        <v/>
      </c>
      <c r="G4" s="34">
        <f>COUNTA($G$5:$G$504)</f>
        <v/>
      </c>
      <c r="H4" s="35">
        <f>IFERROR(SUMIFS($L$5:$L$504,$B$5:$B$504,"One Hitter")/COUNTIFS($B$5:$B$504,"One Hitter"),0)</f>
        <v/>
      </c>
      <c r="I4" s="36">
        <f>IFERROR(SUMIFS($L$5:$L$504,$B$5:$B$504,"本舗")/COUNTIFS($B$5:$B$504,"本舗"),0)</f>
        <v/>
      </c>
      <c r="J4" s="37">
        <f>SUMIFS($L$5:$L$504,$B$5:$B$504,"One Hitter")</f>
        <v/>
      </c>
      <c r="K4" s="38">
        <f>SUMIFS($L$5:$L$504,$B$5:$B$504,"本舗")</f>
        <v/>
      </c>
      <c r="L4" s="39">
        <f>SUM($L$5:$L$504)</f>
        <v/>
      </c>
      <c r="M4" s="40" t="n"/>
      <c r="N4" s="40" t="n"/>
      <c r="O4" s="40" t="n"/>
      <c r="P4" s="40" t="n"/>
      <c r="Q4" s="40" t="n"/>
      <c r="R4" s="41">
        <f>COUNTIFS($E$5:$E$504,"HP")+COUNTIFS($E$5:$E$504,"LP")+COUNTIFS($E$5:$E$504,"SNS")+COUNTIFS($E$5:$E$504,"GBP(地図検索)")+COUNTIFS($E$5:$E$504,"公式LINE")+COUNTIFS($E$5:$E$504,"アフィリエイト")+COUNTIFS($E$5:$E$504,"LINE/SMS再販")+COUNTIFS($E$5:$E$504,"SMS")+COUNTIFS($E$5:$E$504,"広告")</f>
        <v/>
      </c>
      <c r="S4" s="42">
        <f>SUMIFS($L$5:$L$504,$E$5:$E$504,"HP")+SUMIFS($L$5:$L$504,$E$5:$E$504,"LP")+SUMIFS($L$5:$L$504,$E$5:$E$504,"SNS")+SUMIFS($L$5:$L$504,$E$5:$E$504,"GBP(地図検索)")+SUMIFS($L$5:$L$504,$E$5:$E$504,"公式LINE")+SUMIFS($L$5:$L$504,$E$5:$E$504,"アフィリエイト")+SUMIFS($L$5:$L$504,$E$5:$E$504,"LINE/SMS再販")+SUMIFS($L$5:$L$504,$E$5:$E$504,"SMS")+SUMIFS($L$5:$L$504,$E$5:$E$504,"広告")</f>
        <v/>
      </c>
      <c r="T4" s="40" t="n"/>
      <c r="U4" s="40" t="n"/>
      <c r="V4" s="40" t="n"/>
      <c r="W4" s="40" t="n"/>
      <c r="X4" s="40" t="n"/>
    </row>
    <row r="5">
      <c r="A5" s="43" t="n"/>
      <c r="C5" s="44" t="n"/>
      <c r="D5" s="44" t="n"/>
      <c r="L5" s="45" t="n"/>
      <c r="O5" s="44" t="n"/>
    </row>
    <row r="6">
      <c r="A6" s="43" t="n"/>
      <c r="C6" s="44" t="n"/>
      <c r="D6" s="44" t="n"/>
      <c r="L6" s="45" t="n"/>
      <c r="O6" s="44" t="n"/>
    </row>
    <row r="7">
      <c r="A7" s="43" t="n"/>
      <c r="C7" s="44" t="n"/>
      <c r="D7" s="44" t="n"/>
      <c r="L7" s="45" t="n"/>
      <c r="O7" s="44" t="n"/>
    </row>
    <row r="8">
      <c r="A8" s="43" t="n"/>
      <c r="C8" s="44" t="n"/>
      <c r="D8" s="44" t="n"/>
      <c r="L8" s="45" t="n"/>
      <c r="O8" s="44" t="n"/>
    </row>
    <row r="9">
      <c r="A9" s="43" t="n"/>
      <c r="C9" s="44" t="n"/>
      <c r="D9" s="44" t="n"/>
      <c r="L9" s="45" t="n"/>
      <c r="O9" s="44" t="n"/>
    </row>
    <row r="10">
      <c r="A10" s="43" t="n"/>
      <c r="C10" s="44" t="n"/>
      <c r="D10" s="44" t="n"/>
      <c r="L10" s="45" t="n"/>
      <c r="O10" s="44" t="n"/>
    </row>
    <row r="11">
      <c r="A11" s="43" t="n"/>
      <c r="C11" s="44" t="n"/>
      <c r="D11" s="44" t="n"/>
      <c r="L11" s="45" t="n"/>
      <c r="O11" s="44" t="n"/>
    </row>
    <row r="12">
      <c r="A12" s="43" t="n"/>
      <c r="C12" s="44" t="n"/>
      <c r="D12" s="44" t="n"/>
      <c r="L12" s="45" t="n"/>
      <c r="O12" s="44" t="n"/>
    </row>
    <row r="13">
      <c r="A13" s="43" t="n"/>
      <c r="C13" s="44" t="n"/>
      <c r="D13" s="44" t="n"/>
      <c r="L13" s="45" t="n"/>
      <c r="O13" s="44" t="n"/>
    </row>
    <row r="14">
      <c r="A14" s="43" t="n"/>
      <c r="C14" s="44" t="n"/>
      <c r="D14" s="44" t="n"/>
      <c r="L14" s="45" t="n"/>
      <c r="O14" s="44" t="n"/>
    </row>
    <row r="15">
      <c r="A15" s="43" t="n"/>
      <c r="C15" s="44" t="n"/>
      <c r="D15" s="44" t="n"/>
      <c r="L15" s="45" t="n"/>
      <c r="O15" s="44" t="n"/>
    </row>
    <row r="16">
      <c r="A16" s="43" t="n"/>
      <c r="C16" s="44" t="n"/>
      <c r="D16" s="44" t="n"/>
      <c r="L16" s="45" t="n"/>
      <c r="O16" s="44" t="n"/>
    </row>
    <row r="17">
      <c r="A17" s="43" t="n"/>
      <c r="C17" s="44" t="n"/>
      <c r="D17" s="44" t="n"/>
      <c r="L17" s="45" t="n"/>
      <c r="O17" s="44" t="n"/>
    </row>
    <row r="18">
      <c r="A18" s="43" t="n"/>
      <c r="C18" s="44" t="n"/>
      <c r="D18" s="44" t="n"/>
      <c r="L18" s="45" t="n"/>
      <c r="O18" s="44" t="n"/>
    </row>
    <row r="19">
      <c r="A19" s="43" t="n"/>
      <c r="C19" s="44" t="n"/>
      <c r="D19" s="44" t="n"/>
      <c r="L19" s="45" t="n"/>
      <c r="O19" s="44" t="n"/>
    </row>
    <row r="20">
      <c r="A20" s="43" t="n"/>
      <c r="C20" s="44" t="n"/>
      <c r="D20" s="44" t="n"/>
      <c r="L20" s="45" t="n"/>
      <c r="O20" s="44" t="n"/>
    </row>
    <row r="21">
      <c r="A21" s="43" t="n"/>
      <c r="C21" s="44" t="n"/>
      <c r="D21" s="44" t="n"/>
      <c r="L21" s="45" t="n"/>
      <c r="O21" s="44" t="n"/>
    </row>
    <row r="22">
      <c r="A22" s="43" t="n"/>
      <c r="C22" s="44" t="n"/>
      <c r="D22" s="44" t="n"/>
      <c r="L22" s="45" t="n"/>
      <c r="O22" s="44" t="n"/>
    </row>
    <row r="23">
      <c r="A23" s="43" t="n"/>
      <c r="C23" s="44" t="n"/>
      <c r="D23" s="44" t="n"/>
      <c r="L23" s="45" t="n"/>
      <c r="O23" s="44" t="n"/>
    </row>
    <row r="24">
      <c r="A24" s="43" t="n"/>
      <c r="C24" s="44" t="n"/>
      <c r="D24" s="44" t="n"/>
      <c r="L24" s="45" t="n"/>
      <c r="O24" s="44" t="n"/>
    </row>
    <row r="25">
      <c r="A25" s="43" t="n"/>
      <c r="C25" s="44" t="n"/>
      <c r="D25" s="44" t="n"/>
      <c r="L25" s="45" t="n"/>
      <c r="O25" s="44" t="n"/>
    </row>
    <row r="26">
      <c r="A26" s="43" t="n"/>
      <c r="C26" s="44" t="n"/>
      <c r="D26" s="44" t="n"/>
      <c r="L26" s="45" t="n"/>
      <c r="O26" s="44" t="n"/>
    </row>
    <row r="27">
      <c r="A27" s="43" t="n"/>
      <c r="C27" s="44" t="n"/>
      <c r="D27" s="44" t="n"/>
      <c r="L27" s="45" t="n"/>
      <c r="O27" s="44" t="n"/>
    </row>
    <row r="28">
      <c r="A28" s="43" t="n"/>
      <c r="C28" s="44" t="n"/>
      <c r="D28" s="44" t="n"/>
      <c r="L28" s="45" t="n"/>
      <c r="O28" s="44" t="n"/>
    </row>
    <row r="29">
      <c r="A29" s="43" t="n"/>
      <c r="C29" s="44" t="n"/>
      <c r="D29" s="44" t="n"/>
      <c r="L29" s="45" t="n"/>
      <c r="O29" s="44" t="n"/>
    </row>
    <row r="30">
      <c r="A30" s="43" t="n"/>
      <c r="C30" s="44" t="n"/>
      <c r="D30" s="44" t="n"/>
      <c r="L30" s="45" t="n"/>
      <c r="O30" s="44" t="n"/>
    </row>
    <row r="31">
      <c r="A31" s="43" t="n"/>
      <c r="C31" s="44" t="n"/>
      <c r="D31" s="44" t="n"/>
      <c r="L31" s="45" t="n"/>
      <c r="O31" s="44" t="n"/>
    </row>
    <row r="32">
      <c r="A32" s="43" t="n"/>
      <c r="C32" s="44" t="n"/>
      <c r="D32" s="44" t="n"/>
      <c r="L32" s="45" t="n"/>
      <c r="O32" s="44" t="n"/>
    </row>
    <row r="33">
      <c r="A33" s="43" t="n"/>
      <c r="C33" s="44" t="n"/>
      <c r="D33" s="44" t="n"/>
      <c r="L33" s="45" t="n"/>
      <c r="O33" s="44" t="n"/>
    </row>
    <row r="34">
      <c r="A34" s="43" t="n"/>
      <c r="C34" s="44" t="n"/>
      <c r="D34" s="44" t="n"/>
      <c r="L34" s="45" t="n"/>
      <c r="O34" s="44" t="n"/>
    </row>
    <row r="35">
      <c r="A35" s="43" t="n"/>
      <c r="C35" s="44" t="n"/>
      <c r="D35" s="44" t="n"/>
      <c r="L35" s="45" t="n"/>
      <c r="O35" s="44" t="n"/>
    </row>
    <row r="36">
      <c r="A36" s="43" t="n"/>
      <c r="C36" s="44" t="n"/>
      <c r="D36" s="44" t="n"/>
      <c r="L36" s="45" t="n"/>
      <c r="O36" s="44" t="n"/>
    </row>
    <row r="37">
      <c r="A37" s="43" t="n"/>
      <c r="C37" s="44" t="n"/>
      <c r="D37" s="44" t="n"/>
      <c r="L37" s="45" t="n"/>
      <c r="O37" s="44" t="n"/>
    </row>
    <row r="38">
      <c r="A38" s="43" t="n"/>
      <c r="C38" s="44" t="n"/>
      <c r="D38" s="44" t="n"/>
      <c r="L38" s="45" t="n"/>
      <c r="O38" s="44" t="n"/>
    </row>
    <row r="39">
      <c r="A39" s="43" t="n"/>
      <c r="C39" s="44" t="n"/>
      <c r="D39" s="44" t="n"/>
      <c r="L39" s="45" t="n"/>
      <c r="O39" s="44" t="n"/>
    </row>
    <row r="40">
      <c r="A40" s="43" t="n"/>
      <c r="C40" s="44" t="n"/>
      <c r="D40" s="44" t="n"/>
      <c r="L40" s="45" t="n"/>
      <c r="O40" s="44" t="n"/>
    </row>
    <row r="41">
      <c r="A41" s="43" t="n"/>
      <c r="C41" s="44" t="n"/>
      <c r="D41" s="44" t="n"/>
      <c r="L41" s="45" t="n"/>
      <c r="O41" s="44" t="n"/>
    </row>
    <row r="42">
      <c r="A42" s="43" t="n"/>
      <c r="C42" s="44" t="n"/>
      <c r="D42" s="44" t="n"/>
      <c r="L42" s="45" t="n"/>
      <c r="O42" s="44" t="n"/>
    </row>
    <row r="43">
      <c r="A43" s="43" t="n"/>
      <c r="C43" s="44" t="n"/>
      <c r="D43" s="44" t="n"/>
      <c r="L43" s="45" t="n"/>
      <c r="O43" s="44" t="n"/>
    </row>
    <row r="44">
      <c r="A44" s="43" t="n"/>
      <c r="C44" s="44" t="n"/>
      <c r="D44" s="44" t="n"/>
      <c r="L44" s="45" t="n"/>
      <c r="O44" s="44" t="n"/>
    </row>
    <row r="45">
      <c r="A45" s="43" t="n"/>
      <c r="C45" s="44" t="n"/>
      <c r="D45" s="44" t="n"/>
      <c r="L45" s="45" t="n"/>
      <c r="O45" s="44" t="n"/>
    </row>
    <row r="46">
      <c r="A46" s="43" t="n"/>
      <c r="C46" s="44" t="n"/>
      <c r="D46" s="44" t="n"/>
      <c r="L46" s="45" t="n"/>
      <c r="O46" s="44" t="n"/>
    </row>
    <row r="47">
      <c r="A47" s="43" t="n"/>
      <c r="C47" s="44" t="n"/>
      <c r="D47" s="44" t="n"/>
      <c r="L47" s="45" t="n"/>
      <c r="O47" s="44" t="n"/>
    </row>
    <row r="48">
      <c r="A48" s="43" t="n"/>
      <c r="C48" s="44" t="n"/>
      <c r="D48" s="44" t="n"/>
      <c r="L48" s="45" t="n"/>
      <c r="O48" s="44" t="n"/>
    </row>
    <row r="49">
      <c r="A49" s="43" t="n"/>
      <c r="C49" s="44" t="n"/>
      <c r="D49" s="44" t="n"/>
      <c r="L49" s="45" t="n"/>
      <c r="O49" s="44" t="n"/>
    </row>
    <row r="50">
      <c r="A50" s="43" t="n"/>
      <c r="C50" s="44" t="n"/>
      <c r="D50" s="44" t="n"/>
      <c r="L50" s="45" t="n"/>
      <c r="O50" s="44" t="n"/>
    </row>
    <row r="51">
      <c r="A51" s="43" t="n"/>
      <c r="C51" s="44" t="n"/>
      <c r="D51" s="44" t="n"/>
      <c r="L51" s="45" t="n"/>
      <c r="O51" s="44" t="n"/>
    </row>
    <row r="52">
      <c r="A52" s="43" t="n"/>
      <c r="C52" s="44" t="n"/>
      <c r="D52" s="44" t="n"/>
      <c r="L52" s="45" t="n"/>
      <c r="O52" s="44" t="n"/>
    </row>
    <row r="53">
      <c r="A53" s="43" t="n"/>
      <c r="C53" s="44" t="n"/>
      <c r="D53" s="44" t="n"/>
      <c r="L53" s="45" t="n"/>
      <c r="O53" s="44" t="n"/>
    </row>
    <row r="54">
      <c r="A54" s="43" t="n"/>
      <c r="C54" s="44" t="n"/>
      <c r="D54" s="44" t="n"/>
      <c r="L54" s="45" t="n"/>
      <c r="O54" s="44" t="n"/>
    </row>
    <row r="55">
      <c r="A55" s="43" t="n"/>
      <c r="C55" s="44" t="n"/>
      <c r="D55" s="44" t="n"/>
      <c r="L55" s="45" t="n"/>
      <c r="O55" s="44" t="n"/>
    </row>
    <row r="56">
      <c r="A56" s="43" t="n"/>
      <c r="C56" s="44" t="n"/>
      <c r="D56" s="44" t="n"/>
      <c r="L56" s="45" t="n"/>
      <c r="O56" s="44" t="n"/>
    </row>
    <row r="57">
      <c r="A57" s="43" t="n"/>
      <c r="C57" s="44" t="n"/>
      <c r="D57" s="44" t="n"/>
      <c r="L57" s="45" t="n"/>
      <c r="O57" s="44" t="n"/>
    </row>
    <row r="58">
      <c r="A58" s="43" t="n"/>
      <c r="C58" s="44" t="n"/>
      <c r="D58" s="44" t="n"/>
      <c r="L58" s="45" t="n"/>
      <c r="O58" s="44" t="n"/>
    </row>
    <row r="59">
      <c r="A59" s="43" t="n"/>
      <c r="C59" s="44" t="n"/>
      <c r="D59" s="44" t="n"/>
      <c r="L59" s="45" t="n"/>
      <c r="O59" s="44" t="n"/>
    </row>
    <row r="60">
      <c r="A60" s="43" t="n"/>
      <c r="C60" s="44" t="n"/>
      <c r="D60" s="44" t="n"/>
      <c r="L60" s="45" t="n"/>
      <c r="O60" s="44" t="n"/>
    </row>
    <row r="61">
      <c r="A61" s="43" t="n"/>
      <c r="C61" s="44" t="n"/>
      <c r="D61" s="44" t="n"/>
      <c r="L61" s="45" t="n"/>
      <c r="O61" s="44" t="n"/>
    </row>
    <row r="62">
      <c r="A62" s="43" t="n"/>
      <c r="C62" s="44" t="n"/>
      <c r="D62" s="44" t="n"/>
      <c r="L62" s="45" t="n"/>
      <c r="O62" s="44" t="n"/>
    </row>
    <row r="63">
      <c r="A63" s="43" t="n"/>
      <c r="C63" s="44" t="n"/>
      <c r="D63" s="44" t="n"/>
      <c r="L63" s="45" t="n"/>
      <c r="O63" s="44" t="n"/>
    </row>
    <row r="64">
      <c r="A64" s="43" t="n"/>
      <c r="C64" s="44" t="n"/>
      <c r="D64" s="44" t="n"/>
      <c r="L64" s="45" t="n"/>
      <c r="O64" s="44" t="n"/>
    </row>
    <row r="65">
      <c r="A65" s="43" t="n"/>
      <c r="C65" s="44" t="n"/>
      <c r="D65" s="44" t="n"/>
      <c r="L65" s="45" t="n"/>
      <c r="O65" s="44" t="n"/>
    </row>
    <row r="66">
      <c r="A66" s="43" t="n"/>
      <c r="C66" s="44" t="n"/>
      <c r="D66" s="44" t="n"/>
      <c r="L66" s="45" t="n"/>
      <c r="O66" s="44" t="n"/>
    </row>
    <row r="67">
      <c r="A67" s="43" t="n"/>
      <c r="C67" s="44" t="n"/>
      <c r="D67" s="44" t="n"/>
      <c r="L67" s="45" t="n"/>
      <c r="O67" s="44" t="n"/>
    </row>
    <row r="68">
      <c r="A68" s="43" t="n"/>
      <c r="C68" s="44" t="n"/>
      <c r="D68" s="44" t="n"/>
      <c r="L68" s="45" t="n"/>
      <c r="O68" s="44" t="n"/>
    </row>
    <row r="69">
      <c r="A69" s="43" t="n"/>
      <c r="C69" s="44" t="n"/>
      <c r="D69" s="44" t="n"/>
      <c r="L69" s="45" t="n"/>
      <c r="O69" s="44" t="n"/>
    </row>
    <row r="70">
      <c r="A70" s="43" t="n"/>
      <c r="C70" s="44" t="n"/>
      <c r="D70" s="44" t="n"/>
      <c r="L70" s="45" t="n"/>
      <c r="O70" s="44" t="n"/>
    </row>
    <row r="71">
      <c r="A71" s="43" t="n"/>
      <c r="C71" s="44" t="n"/>
      <c r="D71" s="44" t="n"/>
      <c r="L71" s="45" t="n"/>
      <c r="O71" s="44" t="n"/>
    </row>
    <row r="72">
      <c r="A72" s="43" t="n"/>
      <c r="C72" s="44" t="n"/>
      <c r="D72" s="44" t="n"/>
      <c r="L72" s="45" t="n"/>
      <c r="O72" s="44" t="n"/>
    </row>
    <row r="73">
      <c r="A73" s="43" t="n"/>
      <c r="C73" s="44" t="n"/>
      <c r="D73" s="44" t="n"/>
      <c r="L73" s="45" t="n"/>
      <c r="O73" s="44" t="n"/>
    </row>
    <row r="74">
      <c r="A74" s="43" t="n"/>
      <c r="C74" s="44" t="n"/>
      <c r="D74" s="44" t="n"/>
      <c r="L74" s="45" t="n"/>
      <c r="O74" s="44" t="n"/>
    </row>
    <row r="75">
      <c r="A75" s="43" t="n"/>
      <c r="C75" s="44" t="n"/>
      <c r="D75" s="44" t="n"/>
      <c r="L75" s="45" t="n"/>
      <c r="O75" s="44" t="n"/>
    </row>
    <row r="76">
      <c r="A76" s="43" t="n"/>
      <c r="C76" s="44" t="n"/>
      <c r="D76" s="44" t="n"/>
      <c r="L76" s="45" t="n"/>
      <c r="O76" s="44" t="n"/>
    </row>
    <row r="77">
      <c r="A77" s="43" t="n"/>
      <c r="C77" s="44" t="n"/>
      <c r="D77" s="44" t="n"/>
      <c r="L77" s="45" t="n"/>
      <c r="O77" s="44" t="n"/>
    </row>
    <row r="78">
      <c r="A78" s="43" t="n"/>
      <c r="C78" s="44" t="n"/>
      <c r="D78" s="44" t="n"/>
      <c r="L78" s="45" t="n"/>
      <c r="O78" s="44" t="n"/>
    </row>
    <row r="79">
      <c r="A79" s="43" t="n"/>
      <c r="C79" s="44" t="n"/>
      <c r="D79" s="44" t="n"/>
      <c r="L79" s="45" t="n"/>
      <c r="O79" s="44" t="n"/>
    </row>
    <row r="80">
      <c r="A80" s="43" t="n"/>
      <c r="C80" s="44" t="n"/>
      <c r="D80" s="44" t="n"/>
      <c r="L80" s="45" t="n"/>
      <c r="O80" s="44" t="n"/>
    </row>
    <row r="81">
      <c r="A81" s="43" t="n"/>
      <c r="C81" s="44" t="n"/>
      <c r="D81" s="44" t="n"/>
      <c r="L81" s="45" t="n"/>
      <c r="O81" s="44" t="n"/>
    </row>
    <row r="82">
      <c r="A82" s="43" t="n"/>
      <c r="C82" s="44" t="n"/>
      <c r="D82" s="44" t="n"/>
      <c r="L82" s="45" t="n"/>
      <c r="O82" s="44" t="n"/>
    </row>
    <row r="83">
      <c r="A83" s="43" t="n"/>
      <c r="C83" s="44" t="n"/>
      <c r="D83" s="44" t="n"/>
      <c r="L83" s="45" t="n"/>
      <c r="O83" s="44" t="n"/>
    </row>
    <row r="84">
      <c r="A84" s="43" t="n"/>
      <c r="C84" s="44" t="n"/>
      <c r="D84" s="44" t="n"/>
      <c r="L84" s="45" t="n"/>
      <c r="O84" s="44" t="n"/>
    </row>
    <row r="85">
      <c r="A85" s="43" t="n"/>
      <c r="C85" s="44" t="n"/>
      <c r="D85" s="44" t="n"/>
      <c r="L85" s="45" t="n"/>
      <c r="O85" s="44" t="n"/>
    </row>
    <row r="86">
      <c r="A86" s="43" t="n"/>
      <c r="C86" s="44" t="n"/>
      <c r="D86" s="44" t="n"/>
      <c r="L86" s="45" t="n"/>
      <c r="O86" s="44" t="n"/>
    </row>
    <row r="87">
      <c r="A87" s="43" t="n"/>
      <c r="C87" s="44" t="n"/>
      <c r="D87" s="44" t="n"/>
      <c r="L87" s="45" t="n"/>
      <c r="O87" s="44" t="n"/>
    </row>
    <row r="88">
      <c r="A88" s="43" t="n"/>
      <c r="C88" s="44" t="n"/>
      <c r="D88" s="44" t="n"/>
      <c r="L88" s="45" t="n"/>
      <c r="O88" s="44" t="n"/>
    </row>
    <row r="89">
      <c r="A89" s="43" t="n"/>
      <c r="C89" s="44" t="n"/>
      <c r="D89" s="44" t="n"/>
      <c r="L89" s="45" t="n"/>
      <c r="O89" s="44" t="n"/>
    </row>
    <row r="90">
      <c r="A90" s="43" t="n"/>
      <c r="C90" s="44" t="n"/>
      <c r="D90" s="44" t="n"/>
      <c r="L90" s="45" t="n"/>
      <c r="O90" s="44" t="n"/>
    </row>
    <row r="91">
      <c r="A91" s="43" t="n"/>
      <c r="C91" s="44" t="n"/>
      <c r="D91" s="44" t="n"/>
      <c r="L91" s="45" t="n"/>
      <c r="O91" s="44" t="n"/>
    </row>
    <row r="92">
      <c r="A92" s="43" t="n"/>
      <c r="C92" s="44" t="n"/>
      <c r="D92" s="44" t="n"/>
      <c r="L92" s="45" t="n"/>
      <c r="O92" s="44" t="n"/>
    </row>
    <row r="93">
      <c r="A93" s="43" t="n"/>
      <c r="C93" s="44" t="n"/>
      <c r="D93" s="44" t="n"/>
      <c r="L93" s="45" t="n"/>
      <c r="O93" s="44" t="n"/>
    </row>
    <row r="94">
      <c r="A94" s="43" t="n"/>
      <c r="C94" s="44" t="n"/>
      <c r="D94" s="44" t="n"/>
      <c r="L94" s="45" t="n"/>
      <c r="O94" s="44" t="n"/>
    </row>
    <row r="95">
      <c r="A95" s="43" t="n"/>
      <c r="C95" s="44" t="n"/>
      <c r="D95" s="44" t="n"/>
      <c r="L95" s="45" t="n"/>
      <c r="O95" s="44" t="n"/>
    </row>
    <row r="96">
      <c r="A96" s="43" t="n"/>
      <c r="C96" s="44" t="n"/>
      <c r="D96" s="44" t="n"/>
      <c r="L96" s="45" t="n"/>
      <c r="O96" s="44" t="n"/>
    </row>
    <row r="97">
      <c r="A97" s="43" t="n"/>
      <c r="C97" s="44" t="n"/>
      <c r="D97" s="44" t="n"/>
      <c r="L97" s="45" t="n"/>
      <c r="O97" s="44" t="n"/>
    </row>
    <row r="98">
      <c r="A98" s="43" t="n"/>
      <c r="C98" s="44" t="n"/>
      <c r="D98" s="44" t="n"/>
      <c r="L98" s="45" t="n"/>
      <c r="O98" s="44" t="n"/>
    </row>
    <row r="99">
      <c r="A99" s="43" t="n"/>
      <c r="C99" s="44" t="n"/>
      <c r="D99" s="44" t="n"/>
      <c r="L99" s="45" t="n"/>
      <c r="O99" s="44" t="n"/>
    </row>
    <row r="100">
      <c r="A100" s="43" t="n"/>
      <c r="C100" s="44" t="n"/>
      <c r="D100" s="44" t="n"/>
      <c r="L100" s="45" t="n"/>
      <c r="O100" s="44" t="n"/>
    </row>
    <row r="101">
      <c r="A101" s="43" t="n"/>
      <c r="C101" s="44" t="n"/>
      <c r="D101" s="44" t="n"/>
      <c r="L101" s="45" t="n"/>
      <c r="O101" s="44" t="n"/>
    </row>
    <row r="102">
      <c r="A102" s="43" t="n"/>
      <c r="C102" s="44" t="n"/>
      <c r="D102" s="44" t="n"/>
      <c r="L102" s="45" t="n"/>
      <c r="O102" s="44" t="n"/>
    </row>
    <row r="103">
      <c r="A103" s="43" t="n"/>
      <c r="C103" s="44" t="n"/>
      <c r="D103" s="44" t="n"/>
      <c r="L103" s="45" t="n"/>
      <c r="O103" s="44" t="n"/>
    </row>
    <row r="104">
      <c r="A104" s="43" t="n"/>
      <c r="C104" s="44" t="n"/>
      <c r="D104" s="44" t="n"/>
      <c r="L104" s="45" t="n"/>
      <c r="O104" s="44" t="n"/>
    </row>
    <row r="105">
      <c r="A105" s="43" t="n"/>
      <c r="C105" s="44" t="n"/>
      <c r="D105" s="44" t="n"/>
      <c r="L105" s="45" t="n"/>
      <c r="O105" s="44" t="n"/>
    </row>
    <row r="106">
      <c r="A106" s="43" t="n"/>
      <c r="C106" s="44" t="n"/>
      <c r="D106" s="44" t="n"/>
      <c r="L106" s="45" t="n"/>
      <c r="O106" s="44" t="n"/>
    </row>
    <row r="107">
      <c r="A107" s="43" t="n"/>
      <c r="C107" s="44" t="n"/>
      <c r="D107" s="44" t="n"/>
      <c r="L107" s="45" t="n"/>
      <c r="O107" s="44" t="n"/>
    </row>
    <row r="108">
      <c r="A108" s="43" t="n"/>
      <c r="C108" s="44" t="n"/>
      <c r="D108" s="44" t="n"/>
      <c r="L108" s="45" t="n"/>
      <c r="O108" s="44" t="n"/>
    </row>
    <row r="109">
      <c r="A109" s="43" t="n"/>
      <c r="C109" s="44" t="n"/>
      <c r="D109" s="44" t="n"/>
      <c r="L109" s="45" t="n"/>
      <c r="O109" s="44" t="n"/>
    </row>
    <row r="110">
      <c r="A110" s="43" t="n"/>
      <c r="C110" s="44" t="n"/>
      <c r="D110" s="44" t="n"/>
      <c r="L110" s="45" t="n"/>
      <c r="O110" s="44" t="n"/>
    </row>
    <row r="111">
      <c r="A111" s="43" t="n"/>
      <c r="C111" s="44" t="n"/>
      <c r="D111" s="44" t="n"/>
      <c r="L111" s="45" t="n"/>
      <c r="O111" s="44" t="n"/>
    </row>
    <row r="112">
      <c r="A112" s="43" t="n"/>
      <c r="C112" s="44" t="n"/>
      <c r="D112" s="44" t="n"/>
      <c r="L112" s="45" t="n"/>
      <c r="O112" s="44" t="n"/>
    </row>
    <row r="113">
      <c r="A113" s="43" t="n"/>
      <c r="C113" s="44" t="n"/>
      <c r="D113" s="44" t="n"/>
      <c r="L113" s="45" t="n"/>
      <c r="O113" s="44" t="n"/>
    </row>
    <row r="114">
      <c r="A114" s="43" t="n"/>
      <c r="C114" s="44" t="n"/>
      <c r="D114" s="44" t="n"/>
      <c r="L114" s="45" t="n"/>
      <c r="O114" s="44" t="n"/>
    </row>
    <row r="115">
      <c r="A115" s="43" t="n"/>
      <c r="C115" s="44" t="n"/>
      <c r="D115" s="44" t="n"/>
      <c r="L115" s="45" t="n"/>
      <c r="O115" s="44" t="n"/>
    </row>
    <row r="116">
      <c r="A116" s="43" t="n"/>
      <c r="C116" s="44" t="n"/>
      <c r="D116" s="44" t="n"/>
      <c r="L116" s="45" t="n"/>
      <c r="O116" s="44" t="n"/>
    </row>
    <row r="117">
      <c r="A117" s="43" t="n"/>
      <c r="C117" s="44" t="n"/>
      <c r="D117" s="44" t="n"/>
      <c r="L117" s="45" t="n"/>
      <c r="O117" s="44" t="n"/>
    </row>
    <row r="118">
      <c r="A118" s="43" t="n"/>
      <c r="C118" s="44" t="n"/>
      <c r="D118" s="44" t="n"/>
      <c r="L118" s="45" t="n"/>
      <c r="O118" s="44" t="n"/>
    </row>
    <row r="119">
      <c r="A119" s="43" t="n"/>
      <c r="C119" s="44" t="n"/>
      <c r="D119" s="44" t="n"/>
      <c r="L119" s="45" t="n"/>
      <c r="O119" s="44" t="n"/>
    </row>
    <row r="120">
      <c r="A120" s="43" t="n"/>
      <c r="C120" s="44" t="n"/>
      <c r="D120" s="44" t="n"/>
      <c r="L120" s="45" t="n"/>
      <c r="O120" s="44" t="n"/>
    </row>
    <row r="121">
      <c r="A121" s="43" t="n"/>
      <c r="C121" s="44" t="n"/>
      <c r="D121" s="44" t="n"/>
      <c r="L121" s="45" t="n"/>
      <c r="O121" s="44" t="n"/>
    </row>
    <row r="122">
      <c r="A122" s="43" t="n"/>
      <c r="C122" s="44" t="n"/>
      <c r="D122" s="44" t="n"/>
      <c r="L122" s="45" t="n"/>
      <c r="O122" s="44" t="n"/>
    </row>
    <row r="123">
      <c r="A123" s="43" t="n"/>
      <c r="C123" s="44" t="n"/>
      <c r="D123" s="44" t="n"/>
      <c r="L123" s="45" t="n"/>
      <c r="O123" s="44" t="n"/>
    </row>
    <row r="124">
      <c r="A124" s="43" t="n"/>
      <c r="C124" s="44" t="n"/>
      <c r="D124" s="44" t="n"/>
      <c r="L124" s="45" t="n"/>
      <c r="O124" s="44" t="n"/>
    </row>
    <row r="125">
      <c r="A125" s="43" t="n"/>
      <c r="C125" s="44" t="n"/>
      <c r="D125" s="44" t="n"/>
      <c r="L125" s="45" t="n"/>
      <c r="O125" s="44" t="n"/>
    </row>
    <row r="126">
      <c r="A126" s="43" t="n"/>
      <c r="C126" s="44" t="n"/>
      <c r="D126" s="44" t="n"/>
      <c r="L126" s="45" t="n"/>
      <c r="O126" s="44" t="n"/>
    </row>
    <row r="127">
      <c r="A127" s="43" t="n"/>
      <c r="C127" s="44" t="n"/>
      <c r="D127" s="44" t="n"/>
      <c r="L127" s="45" t="n"/>
      <c r="O127" s="44" t="n"/>
    </row>
    <row r="128">
      <c r="A128" s="43" t="n"/>
      <c r="C128" s="44" t="n"/>
      <c r="D128" s="44" t="n"/>
      <c r="L128" s="45" t="n"/>
      <c r="O128" s="44" t="n"/>
    </row>
    <row r="129">
      <c r="A129" s="43" t="n"/>
      <c r="C129" s="44" t="n"/>
      <c r="D129" s="44" t="n"/>
      <c r="L129" s="45" t="n"/>
      <c r="O129" s="44" t="n"/>
    </row>
    <row r="130">
      <c r="A130" s="43" t="n"/>
      <c r="C130" s="44" t="n"/>
      <c r="D130" s="44" t="n"/>
      <c r="L130" s="45" t="n"/>
      <c r="O130" s="44" t="n"/>
    </row>
    <row r="131">
      <c r="A131" s="43" t="n"/>
      <c r="C131" s="44" t="n"/>
      <c r="D131" s="44" t="n"/>
      <c r="L131" s="45" t="n"/>
      <c r="O131" s="44" t="n"/>
    </row>
    <row r="132">
      <c r="A132" s="43" t="n"/>
      <c r="C132" s="44" t="n"/>
      <c r="D132" s="44" t="n"/>
      <c r="L132" s="45" t="n"/>
      <c r="O132" s="44" t="n"/>
    </row>
    <row r="133">
      <c r="A133" s="43" t="n"/>
      <c r="C133" s="44" t="n"/>
      <c r="D133" s="44" t="n"/>
      <c r="L133" s="45" t="n"/>
      <c r="O133" s="44" t="n"/>
    </row>
    <row r="134">
      <c r="A134" s="43" t="n"/>
      <c r="C134" s="44" t="n"/>
      <c r="D134" s="44" t="n"/>
      <c r="L134" s="45" t="n"/>
      <c r="O134" s="44" t="n"/>
    </row>
    <row r="135">
      <c r="A135" s="43" t="n"/>
      <c r="C135" s="44" t="n"/>
      <c r="D135" s="44" t="n"/>
      <c r="L135" s="45" t="n"/>
      <c r="O135" s="44" t="n"/>
    </row>
    <row r="136">
      <c r="A136" s="43" t="n"/>
      <c r="C136" s="44" t="n"/>
      <c r="D136" s="44" t="n"/>
      <c r="L136" s="45" t="n"/>
      <c r="O136" s="44" t="n"/>
    </row>
    <row r="137">
      <c r="A137" s="43" t="n"/>
      <c r="C137" s="44" t="n"/>
      <c r="D137" s="44" t="n"/>
      <c r="L137" s="45" t="n"/>
      <c r="O137" s="44" t="n"/>
    </row>
    <row r="138">
      <c r="A138" s="43" t="n"/>
      <c r="C138" s="44" t="n"/>
      <c r="D138" s="44" t="n"/>
      <c r="L138" s="45" t="n"/>
      <c r="O138" s="44" t="n"/>
    </row>
    <row r="139">
      <c r="A139" s="43" t="n"/>
      <c r="C139" s="44" t="n"/>
      <c r="D139" s="44" t="n"/>
      <c r="L139" s="45" t="n"/>
      <c r="O139" s="44" t="n"/>
    </row>
    <row r="140">
      <c r="A140" s="43" t="n"/>
      <c r="C140" s="44" t="n"/>
      <c r="D140" s="44" t="n"/>
      <c r="L140" s="45" t="n"/>
      <c r="O140" s="44" t="n"/>
    </row>
    <row r="141">
      <c r="A141" s="43" t="n"/>
      <c r="C141" s="44" t="n"/>
      <c r="D141" s="44" t="n"/>
      <c r="L141" s="45" t="n"/>
      <c r="O141" s="44" t="n"/>
    </row>
    <row r="142">
      <c r="A142" s="43" t="n"/>
      <c r="C142" s="44" t="n"/>
      <c r="D142" s="44" t="n"/>
      <c r="L142" s="45" t="n"/>
      <c r="O142" s="44" t="n"/>
    </row>
    <row r="143">
      <c r="A143" s="43" t="n"/>
      <c r="C143" s="44" t="n"/>
      <c r="D143" s="44" t="n"/>
      <c r="L143" s="45" t="n"/>
      <c r="O143" s="44" t="n"/>
    </row>
    <row r="144">
      <c r="A144" s="43" t="n"/>
      <c r="C144" s="44" t="n"/>
      <c r="D144" s="44" t="n"/>
      <c r="L144" s="45" t="n"/>
      <c r="O144" s="44" t="n"/>
    </row>
    <row r="145">
      <c r="A145" s="43" t="n"/>
      <c r="C145" s="44" t="n"/>
      <c r="D145" s="44" t="n"/>
      <c r="L145" s="45" t="n"/>
      <c r="O145" s="44" t="n"/>
    </row>
    <row r="146">
      <c r="A146" s="43" t="n"/>
      <c r="C146" s="44" t="n"/>
      <c r="D146" s="44" t="n"/>
      <c r="L146" s="45" t="n"/>
      <c r="O146" s="44" t="n"/>
    </row>
    <row r="147">
      <c r="A147" s="43" t="n"/>
      <c r="C147" s="44" t="n"/>
      <c r="D147" s="44" t="n"/>
      <c r="L147" s="45" t="n"/>
      <c r="O147" s="44" t="n"/>
    </row>
    <row r="148">
      <c r="A148" s="43" t="n"/>
      <c r="C148" s="44" t="n"/>
      <c r="D148" s="44" t="n"/>
      <c r="L148" s="45" t="n"/>
      <c r="O148" s="44" t="n"/>
    </row>
    <row r="149">
      <c r="A149" s="43" t="n"/>
      <c r="C149" s="44" t="n"/>
      <c r="D149" s="44" t="n"/>
      <c r="L149" s="45" t="n"/>
      <c r="O149" s="44" t="n"/>
    </row>
    <row r="150">
      <c r="A150" s="43" t="n"/>
      <c r="C150" s="44" t="n"/>
      <c r="D150" s="44" t="n"/>
      <c r="L150" s="45" t="n"/>
      <c r="O150" s="44" t="n"/>
    </row>
    <row r="151">
      <c r="A151" s="43" t="n"/>
      <c r="C151" s="44" t="n"/>
      <c r="D151" s="44" t="n"/>
      <c r="L151" s="45" t="n"/>
      <c r="O151" s="44" t="n"/>
    </row>
    <row r="152">
      <c r="A152" s="43" t="n"/>
      <c r="C152" s="44" t="n"/>
      <c r="D152" s="44" t="n"/>
      <c r="L152" s="45" t="n"/>
      <c r="O152" s="44" t="n"/>
    </row>
    <row r="153">
      <c r="A153" s="43" t="n"/>
      <c r="C153" s="44" t="n"/>
      <c r="D153" s="44" t="n"/>
      <c r="L153" s="45" t="n"/>
      <c r="O153" s="44" t="n"/>
    </row>
    <row r="154">
      <c r="A154" s="43" t="n"/>
      <c r="C154" s="44" t="n"/>
      <c r="D154" s="44" t="n"/>
      <c r="L154" s="45" t="n"/>
      <c r="O154" s="44" t="n"/>
    </row>
    <row r="155">
      <c r="A155" s="43" t="n"/>
      <c r="C155" s="44" t="n"/>
      <c r="D155" s="44" t="n"/>
      <c r="L155" s="45" t="n"/>
      <c r="O155" s="44" t="n"/>
    </row>
    <row r="156">
      <c r="A156" s="43" t="n"/>
      <c r="C156" s="44" t="n"/>
      <c r="D156" s="44" t="n"/>
      <c r="L156" s="45" t="n"/>
      <c r="O156" s="44" t="n"/>
    </row>
    <row r="157">
      <c r="A157" s="43" t="n"/>
      <c r="C157" s="44" t="n"/>
      <c r="D157" s="44" t="n"/>
      <c r="L157" s="45" t="n"/>
      <c r="O157" s="44" t="n"/>
    </row>
    <row r="158">
      <c r="A158" s="43" t="n"/>
      <c r="C158" s="44" t="n"/>
      <c r="D158" s="44" t="n"/>
      <c r="L158" s="45" t="n"/>
      <c r="O158" s="44" t="n"/>
    </row>
    <row r="159">
      <c r="A159" s="43" t="n"/>
      <c r="C159" s="44" t="n"/>
      <c r="D159" s="44" t="n"/>
      <c r="L159" s="45" t="n"/>
      <c r="O159" s="44" t="n"/>
    </row>
    <row r="160">
      <c r="A160" s="43" t="n"/>
      <c r="C160" s="44" t="n"/>
      <c r="D160" s="44" t="n"/>
      <c r="L160" s="45" t="n"/>
      <c r="O160" s="44" t="n"/>
    </row>
    <row r="161">
      <c r="A161" s="43" t="n"/>
      <c r="C161" s="44" t="n"/>
      <c r="D161" s="44" t="n"/>
      <c r="L161" s="45" t="n"/>
      <c r="O161" s="44" t="n"/>
    </row>
    <row r="162">
      <c r="A162" s="43" t="n"/>
      <c r="C162" s="44" t="n"/>
      <c r="D162" s="44" t="n"/>
      <c r="L162" s="45" t="n"/>
      <c r="O162" s="44" t="n"/>
    </row>
    <row r="163">
      <c r="A163" s="43" t="n"/>
      <c r="C163" s="44" t="n"/>
      <c r="D163" s="44" t="n"/>
      <c r="L163" s="45" t="n"/>
      <c r="O163" s="44" t="n"/>
    </row>
    <row r="164">
      <c r="A164" s="43" t="n"/>
      <c r="C164" s="44" t="n"/>
      <c r="D164" s="44" t="n"/>
      <c r="L164" s="45" t="n"/>
      <c r="O164" s="44" t="n"/>
    </row>
    <row r="165">
      <c r="A165" s="43" t="n"/>
      <c r="C165" s="44" t="n"/>
      <c r="D165" s="44" t="n"/>
      <c r="L165" s="45" t="n"/>
      <c r="O165" s="44" t="n"/>
    </row>
    <row r="166">
      <c r="A166" s="43" t="n"/>
      <c r="C166" s="44" t="n"/>
      <c r="D166" s="44" t="n"/>
      <c r="L166" s="45" t="n"/>
      <c r="O166" s="44" t="n"/>
    </row>
    <row r="167">
      <c r="A167" s="43" t="n"/>
      <c r="C167" s="44" t="n"/>
      <c r="D167" s="44" t="n"/>
      <c r="L167" s="45" t="n"/>
      <c r="O167" s="44" t="n"/>
    </row>
    <row r="168">
      <c r="A168" s="43" t="n"/>
      <c r="C168" s="44" t="n"/>
      <c r="D168" s="44" t="n"/>
      <c r="L168" s="45" t="n"/>
      <c r="O168" s="44" t="n"/>
    </row>
    <row r="169">
      <c r="A169" s="43" t="n"/>
      <c r="C169" s="44" t="n"/>
      <c r="D169" s="44" t="n"/>
      <c r="L169" s="45" t="n"/>
      <c r="O169" s="44" t="n"/>
    </row>
    <row r="170">
      <c r="A170" s="43" t="n"/>
      <c r="C170" s="44" t="n"/>
      <c r="D170" s="44" t="n"/>
      <c r="L170" s="45" t="n"/>
      <c r="O170" s="44" t="n"/>
    </row>
    <row r="171">
      <c r="A171" s="43" t="n"/>
      <c r="C171" s="44" t="n"/>
      <c r="D171" s="44" t="n"/>
      <c r="L171" s="45" t="n"/>
      <c r="O171" s="44" t="n"/>
    </row>
    <row r="172">
      <c r="A172" s="43" t="n"/>
      <c r="C172" s="44" t="n"/>
      <c r="D172" s="44" t="n"/>
      <c r="L172" s="45" t="n"/>
      <c r="O172" s="44" t="n"/>
    </row>
    <row r="173">
      <c r="A173" s="43" t="n"/>
      <c r="C173" s="44" t="n"/>
      <c r="D173" s="44" t="n"/>
      <c r="L173" s="45" t="n"/>
      <c r="O173" s="44" t="n"/>
    </row>
    <row r="174">
      <c r="A174" s="43" t="n"/>
      <c r="C174" s="44" t="n"/>
      <c r="D174" s="44" t="n"/>
      <c r="L174" s="45" t="n"/>
      <c r="O174" s="44" t="n"/>
    </row>
    <row r="175">
      <c r="A175" s="43" t="n"/>
      <c r="C175" s="44" t="n"/>
      <c r="D175" s="44" t="n"/>
      <c r="L175" s="45" t="n"/>
      <c r="O175" s="44" t="n"/>
    </row>
    <row r="176">
      <c r="A176" s="43" t="n"/>
      <c r="C176" s="44" t="n"/>
      <c r="D176" s="44" t="n"/>
      <c r="L176" s="45" t="n"/>
      <c r="O176" s="44" t="n"/>
    </row>
    <row r="177">
      <c r="A177" s="43" t="n"/>
      <c r="C177" s="44" t="n"/>
      <c r="D177" s="44" t="n"/>
      <c r="L177" s="45" t="n"/>
      <c r="O177" s="44" t="n"/>
    </row>
    <row r="178">
      <c r="A178" s="43" t="n"/>
      <c r="C178" s="44" t="n"/>
      <c r="D178" s="44" t="n"/>
      <c r="L178" s="45" t="n"/>
      <c r="O178" s="44" t="n"/>
    </row>
    <row r="179">
      <c r="A179" s="43" t="n"/>
      <c r="C179" s="44" t="n"/>
      <c r="D179" s="44" t="n"/>
      <c r="L179" s="45" t="n"/>
      <c r="O179" s="44" t="n"/>
    </row>
    <row r="180">
      <c r="A180" s="43" t="n"/>
      <c r="C180" s="44" t="n"/>
      <c r="D180" s="44" t="n"/>
      <c r="L180" s="45" t="n"/>
      <c r="O180" s="44" t="n"/>
    </row>
    <row r="181">
      <c r="A181" s="43" t="n"/>
      <c r="C181" s="44" t="n"/>
      <c r="D181" s="44" t="n"/>
      <c r="L181" s="45" t="n"/>
      <c r="O181" s="44" t="n"/>
    </row>
    <row r="182">
      <c r="A182" s="43" t="n"/>
      <c r="C182" s="44" t="n"/>
      <c r="D182" s="44" t="n"/>
      <c r="L182" s="45" t="n"/>
      <c r="O182" s="44" t="n"/>
    </row>
    <row r="183">
      <c r="A183" s="43" t="n"/>
      <c r="C183" s="44" t="n"/>
      <c r="D183" s="44" t="n"/>
      <c r="L183" s="45" t="n"/>
      <c r="O183" s="44" t="n"/>
    </row>
    <row r="184">
      <c r="A184" s="43" t="n"/>
      <c r="C184" s="44" t="n"/>
      <c r="D184" s="44" t="n"/>
      <c r="L184" s="45" t="n"/>
      <c r="O184" s="44" t="n"/>
    </row>
    <row r="185">
      <c r="A185" s="43" t="n"/>
      <c r="C185" s="44" t="n"/>
      <c r="D185" s="44" t="n"/>
      <c r="L185" s="45" t="n"/>
      <c r="O185" s="44" t="n"/>
    </row>
    <row r="186">
      <c r="A186" s="43" t="n"/>
      <c r="C186" s="44" t="n"/>
      <c r="D186" s="44" t="n"/>
      <c r="L186" s="45" t="n"/>
      <c r="O186" s="44" t="n"/>
    </row>
    <row r="187">
      <c r="A187" s="43" t="n"/>
      <c r="C187" s="44" t="n"/>
      <c r="D187" s="44" t="n"/>
      <c r="L187" s="45" t="n"/>
      <c r="O187" s="44" t="n"/>
    </row>
    <row r="188">
      <c r="A188" s="43" t="n"/>
      <c r="C188" s="44" t="n"/>
      <c r="D188" s="44" t="n"/>
      <c r="L188" s="45" t="n"/>
      <c r="O188" s="44" t="n"/>
    </row>
    <row r="189">
      <c r="A189" s="43" t="n"/>
      <c r="C189" s="44" t="n"/>
      <c r="D189" s="44" t="n"/>
      <c r="L189" s="45" t="n"/>
      <c r="O189" s="44" t="n"/>
    </row>
    <row r="190">
      <c r="A190" s="43" t="n"/>
      <c r="C190" s="44" t="n"/>
      <c r="D190" s="44" t="n"/>
      <c r="L190" s="45" t="n"/>
      <c r="O190" s="44" t="n"/>
    </row>
    <row r="191">
      <c r="A191" s="43" t="n"/>
      <c r="C191" s="44" t="n"/>
      <c r="D191" s="44" t="n"/>
      <c r="L191" s="45" t="n"/>
      <c r="O191" s="44" t="n"/>
    </row>
    <row r="192">
      <c r="A192" s="43" t="n"/>
      <c r="C192" s="44" t="n"/>
      <c r="D192" s="44" t="n"/>
      <c r="L192" s="45" t="n"/>
      <c r="O192" s="44" t="n"/>
    </row>
    <row r="193">
      <c r="A193" s="43" t="n"/>
      <c r="C193" s="44" t="n"/>
      <c r="D193" s="44" t="n"/>
      <c r="L193" s="45" t="n"/>
      <c r="O193" s="44" t="n"/>
    </row>
    <row r="194">
      <c r="A194" s="43" t="n"/>
      <c r="C194" s="44" t="n"/>
      <c r="D194" s="44" t="n"/>
      <c r="L194" s="45" t="n"/>
      <c r="O194" s="44" t="n"/>
    </row>
    <row r="195">
      <c r="A195" s="43" t="n"/>
      <c r="C195" s="44" t="n"/>
      <c r="D195" s="44" t="n"/>
      <c r="L195" s="45" t="n"/>
      <c r="O195" s="44" t="n"/>
    </row>
    <row r="196">
      <c r="A196" s="43" t="n"/>
      <c r="C196" s="44" t="n"/>
      <c r="D196" s="44" t="n"/>
      <c r="L196" s="45" t="n"/>
      <c r="O196" s="44" t="n"/>
    </row>
    <row r="197">
      <c r="A197" s="43" t="n"/>
      <c r="C197" s="44" t="n"/>
      <c r="D197" s="44" t="n"/>
      <c r="L197" s="45" t="n"/>
      <c r="O197" s="44" t="n"/>
    </row>
    <row r="198">
      <c r="A198" s="43" t="n"/>
      <c r="C198" s="44" t="n"/>
      <c r="D198" s="44" t="n"/>
      <c r="L198" s="45" t="n"/>
      <c r="O198" s="44" t="n"/>
    </row>
    <row r="199">
      <c r="A199" s="43" t="n"/>
      <c r="C199" s="44" t="n"/>
      <c r="D199" s="44" t="n"/>
      <c r="L199" s="45" t="n"/>
      <c r="O199" s="44" t="n"/>
    </row>
    <row r="200">
      <c r="A200" s="43" t="n"/>
      <c r="C200" s="44" t="n"/>
      <c r="D200" s="44" t="n"/>
      <c r="L200" s="45" t="n"/>
      <c r="O200" s="44" t="n"/>
    </row>
    <row r="201">
      <c r="A201" s="43" t="n"/>
      <c r="C201" s="44" t="n"/>
      <c r="D201" s="44" t="n"/>
      <c r="L201" s="45" t="n"/>
      <c r="O201" s="44" t="n"/>
    </row>
    <row r="202">
      <c r="A202" s="43" t="n"/>
      <c r="C202" s="44" t="n"/>
      <c r="D202" s="44" t="n"/>
      <c r="L202" s="45" t="n"/>
      <c r="O202" s="44" t="n"/>
    </row>
    <row r="203">
      <c r="A203" s="43" t="n"/>
      <c r="C203" s="44" t="n"/>
      <c r="D203" s="44" t="n"/>
      <c r="L203" s="45" t="n"/>
      <c r="O203" s="44" t="n"/>
    </row>
    <row r="204">
      <c r="A204" s="43" t="n"/>
      <c r="C204" s="44" t="n"/>
      <c r="D204" s="44" t="n"/>
      <c r="L204" s="45" t="n"/>
      <c r="O204" s="44" t="n"/>
    </row>
    <row r="205">
      <c r="A205" s="43" t="n"/>
      <c r="C205" s="44" t="n"/>
      <c r="D205" s="44" t="n"/>
      <c r="L205" s="45" t="n"/>
      <c r="O205" s="44" t="n"/>
    </row>
    <row r="206">
      <c r="A206" s="43" t="n"/>
      <c r="C206" s="44" t="n"/>
      <c r="D206" s="44" t="n"/>
      <c r="L206" s="45" t="n"/>
      <c r="O206" s="44" t="n"/>
    </row>
    <row r="207">
      <c r="A207" s="43" t="n"/>
      <c r="C207" s="44" t="n"/>
      <c r="D207" s="44" t="n"/>
      <c r="L207" s="45" t="n"/>
      <c r="O207" s="44" t="n"/>
    </row>
    <row r="208">
      <c r="A208" s="43" t="n"/>
      <c r="C208" s="44" t="n"/>
      <c r="D208" s="44" t="n"/>
      <c r="L208" s="45" t="n"/>
      <c r="O208" s="44" t="n"/>
    </row>
    <row r="209">
      <c r="A209" s="43" t="n"/>
      <c r="C209" s="44" t="n"/>
      <c r="D209" s="44" t="n"/>
      <c r="L209" s="45" t="n"/>
      <c r="O209" s="44" t="n"/>
    </row>
    <row r="210">
      <c r="A210" s="43" t="n"/>
      <c r="C210" s="44" t="n"/>
      <c r="D210" s="44" t="n"/>
      <c r="L210" s="45" t="n"/>
      <c r="O210" s="44" t="n"/>
    </row>
    <row r="211">
      <c r="A211" s="43" t="n"/>
      <c r="C211" s="44" t="n"/>
      <c r="D211" s="44" t="n"/>
      <c r="L211" s="45" t="n"/>
      <c r="O211" s="44" t="n"/>
    </row>
    <row r="212">
      <c r="A212" s="43" t="n"/>
      <c r="C212" s="44" t="n"/>
      <c r="D212" s="44" t="n"/>
      <c r="L212" s="45" t="n"/>
      <c r="O212" s="44" t="n"/>
    </row>
    <row r="213">
      <c r="A213" s="43" t="n"/>
      <c r="C213" s="44" t="n"/>
      <c r="D213" s="44" t="n"/>
      <c r="L213" s="45" t="n"/>
      <c r="O213" s="44" t="n"/>
    </row>
    <row r="214">
      <c r="A214" s="43" t="n"/>
      <c r="C214" s="44" t="n"/>
      <c r="D214" s="44" t="n"/>
      <c r="L214" s="45" t="n"/>
      <c r="O214" s="44" t="n"/>
    </row>
    <row r="215">
      <c r="A215" s="43" t="n"/>
      <c r="C215" s="44" t="n"/>
      <c r="D215" s="44" t="n"/>
      <c r="L215" s="45" t="n"/>
      <c r="O215" s="44" t="n"/>
    </row>
    <row r="216">
      <c r="A216" s="43" t="n"/>
      <c r="C216" s="44" t="n"/>
      <c r="D216" s="44" t="n"/>
      <c r="L216" s="45" t="n"/>
      <c r="O216" s="44" t="n"/>
    </row>
    <row r="217">
      <c r="A217" s="43" t="n"/>
      <c r="C217" s="44" t="n"/>
      <c r="D217" s="44" t="n"/>
      <c r="L217" s="45" t="n"/>
      <c r="O217" s="44" t="n"/>
    </row>
    <row r="218">
      <c r="A218" s="43" t="n"/>
      <c r="C218" s="44" t="n"/>
      <c r="D218" s="44" t="n"/>
      <c r="L218" s="45" t="n"/>
      <c r="O218" s="44" t="n"/>
    </row>
    <row r="219">
      <c r="A219" s="43" t="n"/>
      <c r="C219" s="44" t="n"/>
      <c r="D219" s="44" t="n"/>
      <c r="L219" s="45" t="n"/>
      <c r="O219" s="44" t="n"/>
    </row>
    <row r="220">
      <c r="A220" s="43" t="n"/>
      <c r="C220" s="44" t="n"/>
      <c r="D220" s="44" t="n"/>
      <c r="L220" s="45" t="n"/>
      <c r="O220" s="44" t="n"/>
    </row>
    <row r="221">
      <c r="A221" s="43" t="n"/>
      <c r="C221" s="44" t="n"/>
      <c r="D221" s="44" t="n"/>
      <c r="L221" s="45" t="n"/>
      <c r="O221" s="44" t="n"/>
    </row>
    <row r="222">
      <c r="A222" s="43" t="n"/>
      <c r="C222" s="44" t="n"/>
      <c r="D222" s="44" t="n"/>
      <c r="L222" s="45" t="n"/>
      <c r="O222" s="44" t="n"/>
    </row>
    <row r="223">
      <c r="A223" s="43" t="n"/>
      <c r="C223" s="44" t="n"/>
      <c r="D223" s="44" t="n"/>
      <c r="L223" s="45" t="n"/>
      <c r="O223" s="44" t="n"/>
    </row>
    <row r="224">
      <c r="A224" s="43" t="n"/>
      <c r="C224" s="44" t="n"/>
      <c r="D224" s="44" t="n"/>
      <c r="L224" s="45" t="n"/>
      <c r="O224" s="44" t="n"/>
    </row>
    <row r="225">
      <c r="A225" s="43" t="n"/>
      <c r="C225" s="44" t="n"/>
      <c r="D225" s="44" t="n"/>
      <c r="L225" s="45" t="n"/>
      <c r="O225" s="44" t="n"/>
    </row>
    <row r="226">
      <c r="A226" s="43" t="n"/>
      <c r="C226" s="44" t="n"/>
      <c r="D226" s="44" t="n"/>
      <c r="L226" s="45" t="n"/>
      <c r="O226" s="44" t="n"/>
    </row>
    <row r="227">
      <c r="A227" s="43" t="n"/>
      <c r="C227" s="44" t="n"/>
      <c r="D227" s="44" t="n"/>
      <c r="L227" s="45" t="n"/>
      <c r="O227" s="44" t="n"/>
    </row>
    <row r="228">
      <c r="A228" s="43" t="n"/>
      <c r="C228" s="44" t="n"/>
      <c r="D228" s="44" t="n"/>
      <c r="L228" s="45" t="n"/>
      <c r="O228" s="44" t="n"/>
    </row>
    <row r="229">
      <c r="A229" s="43" t="n"/>
      <c r="C229" s="44" t="n"/>
      <c r="D229" s="44" t="n"/>
      <c r="L229" s="45" t="n"/>
      <c r="O229" s="44" t="n"/>
    </row>
    <row r="230">
      <c r="A230" s="43" t="n"/>
      <c r="C230" s="44" t="n"/>
      <c r="D230" s="44" t="n"/>
      <c r="L230" s="45" t="n"/>
      <c r="O230" s="44" t="n"/>
    </row>
    <row r="231">
      <c r="A231" s="43" t="n"/>
      <c r="C231" s="44" t="n"/>
      <c r="D231" s="44" t="n"/>
      <c r="L231" s="45" t="n"/>
      <c r="O231" s="44" t="n"/>
    </row>
    <row r="232">
      <c r="A232" s="43" t="n"/>
      <c r="C232" s="44" t="n"/>
      <c r="D232" s="44" t="n"/>
      <c r="L232" s="45" t="n"/>
      <c r="O232" s="44" t="n"/>
    </row>
    <row r="233">
      <c r="A233" s="43" t="n"/>
      <c r="C233" s="44" t="n"/>
      <c r="D233" s="44" t="n"/>
      <c r="L233" s="45" t="n"/>
      <c r="O233" s="44" t="n"/>
    </row>
    <row r="234">
      <c r="A234" s="43" t="n"/>
      <c r="C234" s="44" t="n"/>
      <c r="D234" s="44" t="n"/>
      <c r="L234" s="45" t="n"/>
      <c r="O234" s="44" t="n"/>
    </row>
    <row r="235">
      <c r="A235" s="43" t="n"/>
      <c r="C235" s="44" t="n"/>
      <c r="D235" s="44" t="n"/>
      <c r="L235" s="45" t="n"/>
      <c r="O235" s="44" t="n"/>
    </row>
    <row r="236">
      <c r="A236" s="43" t="n"/>
      <c r="C236" s="44" t="n"/>
      <c r="D236" s="44" t="n"/>
      <c r="L236" s="45" t="n"/>
      <c r="O236" s="44" t="n"/>
    </row>
    <row r="237">
      <c r="A237" s="43" t="n"/>
      <c r="C237" s="44" t="n"/>
      <c r="D237" s="44" t="n"/>
      <c r="L237" s="45" t="n"/>
      <c r="O237" s="44" t="n"/>
    </row>
    <row r="238">
      <c r="A238" s="43" t="n"/>
      <c r="C238" s="44" t="n"/>
      <c r="D238" s="44" t="n"/>
      <c r="L238" s="45" t="n"/>
      <c r="O238" s="44" t="n"/>
    </row>
    <row r="239">
      <c r="A239" s="43" t="n"/>
      <c r="C239" s="44" t="n"/>
      <c r="D239" s="44" t="n"/>
      <c r="L239" s="45" t="n"/>
      <c r="O239" s="44" t="n"/>
    </row>
    <row r="240">
      <c r="A240" s="43" t="n"/>
      <c r="C240" s="44" t="n"/>
      <c r="D240" s="44" t="n"/>
      <c r="L240" s="45" t="n"/>
      <c r="O240" s="44" t="n"/>
    </row>
    <row r="241">
      <c r="A241" s="43" t="n"/>
      <c r="C241" s="44" t="n"/>
      <c r="D241" s="44" t="n"/>
      <c r="L241" s="45" t="n"/>
      <c r="O241" s="44" t="n"/>
    </row>
    <row r="242">
      <c r="A242" s="43" t="n"/>
      <c r="C242" s="44" t="n"/>
      <c r="D242" s="44" t="n"/>
      <c r="L242" s="45" t="n"/>
      <c r="O242" s="44" t="n"/>
    </row>
    <row r="243">
      <c r="A243" s="43" t="n"/>
      <c r="C243" s="44" t="n"/>
      <c r="D243" s="44" t="n"/>
      <c r="L243" s="45" t="n"/>
      <c r="O243" s="44" t="n"/>
    </row>
    <row r="244">
      <c r="A244" s="43" t="n"/>
      <c r="C244" s="44" t="n"/>
      <c r="D244" s="44" t="n"/>
      <c r="L244" s="45" t="n"/>
      <c r="O244" s="44" t="n"/>
    </row>
    <row r="245">
      <c r="A245" s="43" t="n"/>
      <c r="C245" s="44" t="n"/>
      <c r="D245" s="44" t="n"/>
      <c r="L245" s="45" t="n"/>
      <c r="O245" s="44" t="n"/>
    </row>
    <row r="246">
      <c r="A246" s="43" t="n"/>
      <c r="C246" s="44" t="n"/>
      <c r="D246" s="44" t="n"/>
      <c r="L246" s="45" t="n"/>
      <c r="O246" s="44" t="n"/>
    </row>
    <row r="247">
      <c r="A247" s="43" t="n"/>
      <c r="C247" s="44" t="n"/>
      <c r="D247" s="44" t="n"/>
      <c r="L247" s="45" t="n"/>
      <c r="O247" s="44" t="n"/>
    </row>
    <row r="248">
      <c r="A248" s="43" t="n"/>
      <c r="C248" s="44" t="n"/>
      <c r="D248" s="44" t="n"/>
      <c r="L248" s="45" t="n"/>
      <c r="O248" s="44" t="n"/>
    </row>
    <row r="249">
      <c r="A249" s="43" t="n"/>
      <c r="C249" s="44" t="n"/>
      <c r="D249" s="44" t="n"/>
      <c r="L249" s="45" t="n"/>
      <c r="O249" s="44" t="n"/>
    </row>
    <row r="250">
      <c r="A250" s="43" t="n"/>
      <c r="C250" s="44" t="n"/>
      <c r="D250" s="44" t="n"/>
      <c r="L250" s="45" t="n"/>
      <c r="O250" s="44" t="n"/>
    </row>
    <row r="251">
      <c r="A251" s="43" t="n"/>
      <c r="C251" s="44" t="n"/>
      <c r="D251" s="44" t="n"/>
      <c r="L251" s="45" t="n"/>
      <c r="O251" s="44" t="n"/>
    </row>
    <row r="252">
      <c r="A252" s="43" t="n"/>
      <c r="C252" s="44" t="n"/>
      <c r="D252" s="44" t="n"/>
      <c r="L252" s="45" t="n"/>
      <c r="O252" s="44" t="n"/>
    </row>
    <row r="253">
      <c r="A253" s="43" t="n"/>
      <c r="C253" s="44" t="n"/>
      <c r="D253" s="44" t="n"/>
      <c r="L253" s="45" t="n"/>
      <c r="O253" s="44" t="n"/>
    </row>
    <row r="254">
      <c r="A254" s="43" t="n"/>
      <c r="C254" s="44" t="n"/>
      <c r="D254" s="44" t="n"/>
      <c r="L254" s="45" t="n"/>
      <c r="O254" s="44" t="n"/>
    </row>
    <row r="255">
      <c r="A255" s="43" t="n"/>
      <c r="C255" s="44" t="n"/>
      <c r="D255" s="44" t="n"/>
      <c r="L255" s="45" t="n"/>
      <c r="O255" s="44" t="n"/>
    </row>
    <row r="256">
      <c r="A256" s="43" t="n"/>
      <c r="C256" s="44" t="n"/>
      <c r="D256" s="44" t="n"/>
      <c r="L256" s="45" t="n"/>
      <c r="O256" s="44" t="n"/>
    </row>
    <row r="257">
      <c r="A257" s="43" t="n"/>
      <c r="C257" s="44" t="n"/>
      <c r="D257" s="44" t="n"/>
      <c r="L257" s="45" t="n"/>
      <c r="O257" s="44" t="n"/>
    </row>
    <row r="258">
      <c r="A258" s="43" t="n"/>
      <c r="C258" s="44" t="n"/>
      <c r="D258" s="44" t="n"/>
      <c r="L258" s="45" t="n"/>
      <c r="O258" s="44" t="n"/>
    </row>
    <row r="259">
      <c r="A259" s="43" t="n"/>
      <c r="C259" s="44" t="n"/>
      <c r="D259" s="44" t="n"/>
      <c r="L259" s="45" t="n"/>
      <c r="O259" s="44" t="n"/>
    </row>
    <row r="260">
      <c r="A260" s="43" t="n"/>
      <c r="C260" s="44" t="n"/>
      <c r="D260" s="44" t="n"/>
      <c r="L260" s="45" t="n"/>
      <c r="O260" s="44" t="n"/>
    </row>
    <row r="261">
      <c r="A261" s="43" t="n"/>
      <c r="C261" s="44" t="n"/>
      <c r="D261" s="44" t="n"/>
      <c r="L261" s="45" t="n"/>
      <c r="O261" s="44" t="n"/>
    </row>
    <row r="262">
      <c r="A262" s="43" t="n"/>
      <c r="C262" s="44" t="n"/>
      <c r="D262" s="44" t="n"/>
      <c r="L262" s="45" t="n"/>
      <c r="O262" s="44" t="n"/>
    </row>
    <row r="263">
      <c r="A263" s="43" t="n"/>
      <c r="C263" s="44" t="n"/>
      <c r="D263" s="44" t="n"/>
      <c r="L263" s="45" t="n"/>
      <c r="O263" s="44" t="n"/>
    </row>
    <row r="264">
      <c r="A264" s="43" t="n"/>
      <c r="C264" s="44" t="n"/>
      <c r="D264" s="44" t="n"/>
      <c r="L264" s="45" t="n"/>
      <c r="O264" s="44" t="n"/>
    </row>
    <row r="265">
      <c r="A265" s="43" t="n"/>
      <c r="C265" s="44" t="n"/>
      <c r="D265" s="44" t="n"/>
      <c r="L265" s="45" t="n"/>
      <c r="O265" s="44" t="n"/>
    </row>
    <row r="266">
      <c r="A266" s="43" t="n"/>
      <c r="C266" s="44" t="n"/>
      <c r="D266" s="44" t="n"/>
      <c r="L266" s="45" t="n"/>
      <c r="O266" s="44" t="n"/>
    </row>
    <row r="267">
      <c r="A267" s="43" t="n"/>
      <c r="C267" s="44" t="n"/>
      <c r="D267" s="44" t="n"/>
      <c r="L267" s="45" t="n"/>
      <c r="O267" s="44" t="n"/>
    </row>
    <row r="268">
      <c r="A268" s="43" t="n"/>
      <c r="C268" s="44" t="n"/>
      <c r="D268" s="44" t="n"/>
      <c r="L268" s="45" t="n"/>
      <c r="O268" s="44" t="n"/>
    </row>
    <row r="269">
      <c r="A269" s="43" t="n"/>
      <c r="C269" s="44" t="n"/>
      <c r="D269" s="44" t="n"/>
      <c r="L269" s="45" t="n"/>
      <c r="O269" s="44" t="n"/>
    </row>
    <row r="270">
      <c r="A270" s="43" t="n"/>
      <c r="C270" s="44" t="n"/>
      <c r="D270" s="44" t="n"/>
      <c r="L270" s="45" t="n"/>
      <c r="O270" s="44" t="n"/>
    </row>
    <row r="271">
      <c r="A271" s="43" t="n"/>
      <c r="C271" s="44" t="n"/>
      <c r="D271" s="44" t="n"/>
      <c r="L271" s="45" t="n"/>
      <c r="O271" s="44" t="n"/>
    </row>
    <row r="272">
      <c r="A272" s="43" t="n"/>
      <c r="C272" s="44" t="n"/>
      <c r="D272" s="44" t="n"/>
      <c r="L272" s="45" t="n"/>
      <c r="O272" s="44" t="n"/>
    </row>
    <row r="273">
      <c r="A273" s="43" t="n"/>
      <c r="C273" s="44" t="n"/>
      <c r="D273" s="44" t="n"/>
      <c r="L273" s="45" t="n"/>
      <c r="O273" s="44" t="n"/>
    </row>
    <row r="274">
      <c r="A274" s="43" t="n"/>
      <c r="C274" s="44" t="n"/>
      <c r="D274" s="44" t="n"/>
      <c r="L274" s="45" t="n"/>
      <c r="O274" s="44" t="n"/>
    </row>
    <row r="275">
      <c r="A275" s="43" t="n"/>
      <c r="C275" s="44" t="n"/>
      <c r="D275" s="44" t="n"/>
      <c r="L275" s="45" t="n"/>
      <c r="O275" s="44" t="n"/>
    </row>
    <row r="276">
      <c r="A276" s="43" t="n"/>
      <c r="C276" s="44" t="n"/>
      <c r="D276" s="44" t="n"/>
      <c r="L276" s="45" t="n"/>
      <c r="O276" s="44" t="n"/>
    </row>
    <row r="277">
      <c r="A277" s="43" t="n"/>
      <c r="C277" s="44" t="n"/>
      <c r="D277" s="44" t="n"/>
      <c r="L277" s="45" t="n"/>
      <c r="O277" s="44" t="n"/>
    </row>
    <row r="278">
      <c r="A278" s="43" t="n"/>
      <c r="C278" s="44" t="n"/>
      <c r="D278" s="44" t="n"/>
      <c r="L278" s="45" t="n"/>
      <c r="O278" s="44" t="n"/>
    </row>
    <row r="279">
      <c r="A279" s="43" t="n"/>
      <c r="C279" s="44" t="n"/>
      <c r="D279" s="44" t="n"/>
      <c r="L279" s="45" t="n"/>
      <c r="O279" s="44" t="n"/>
    </row>
    <row r="280">
      <c r="A280" s="43" t="n"/>
      <c r="C280" s="44" t="n"/>
      <c r="D280" s="44" t="n"/>
      <c r="L280" s="45" t="n"/>
      <c r="O280" s="44" t="n"/>
    </row>
    <row r="281">
      <c r="A281" s="43" t="n"/>
      <c r="C281" s="44" t="n"/>
      <c r="D281" s="44" t="n"/>
      <c r="L281" s="45" t="n"/>
      <c r="O281" s="44" t="n"/>
    </row>
    <row r="282">
      <c r="A282" s="43" t="n"/>
      <c r="C282" s="44" t="n"/>
      <c r="D282" s="44" t="n"/>
      <c r="L282" s="45" t="n"/>
      <c r="O282" s="44" t="n"/>
    </row>
    <row r="283">
      <c r="A283" s="43" t="n"/>
      <c r="C283" s="44" t="n"/>
      <c r="D283" s="44" t="n"/>
      <c r="L283" s="45" t="n"/>
      <c r="O283" s="44" t="n"/>
    </row>
    <row r="284">
      <c r="A284" s="43" t="n"/>
      <c r="C284" s="44" t="n"/>
      <c r="D284" s="44" t="n"/>
      <c r="L284" s="45" t="n"/>
      <c r="O284" s="44" t="n"/>
    </row>
    <row r="285">
      <c r="A285" s="43" t="n"/>
      <c r="C285" s="44" t="n"/>
      <c r="D285" s="44" t="n"/>
      <c r="L285" s="45" t="n"/>
      <c r="O285" s="44" t="n"/>
    </row>
    <row r="286">
      <c r="A286" s="43" t="n"/>
      <c r="C286" s="44" t="n"/>
      <c r="D286" s="44" t="n"/>
      <c r="L286" s="45" t="n"/>
      <c r="O286" s="44" t="n"/>
    </row>
    <row r="287">
      <c r="A287" s="43" t="n"/>
      <c r="C287" s="44" t="n"/>
      <c r="D287" s="44" t="n"/>
      <c r="L287" s="45" t="n"/>
      <c r="O287" s="44" t="n"/>
    </row>
    <row r="288">
      <c r="A288" s="43" t="n"/>
      <c r="C288" s="44" t="n"/>
      <c r="D288" s="44" t="n"/>
      <c r="L288" s="45" t="n"/>
      <c r="O288" s="44" t="n"/>
    </row>
    <row r="289">
      <c r="A289" s="43" t="n"/>
      <c r="C289" s="44" t="n"/>
      <c r="D289" s="44" t="n"/>
      <c r="L289" s="45" t="n"/>
      <c r="O289" s="44" t="n"/>
    </row>
    <row r="290">
      <c r="A290" s="43" t="n"/>
      <c r="C290" s="44" t="n"/>
      <c r="D290" s="44" t="n"/>
      <c r="L290" s="45" t="n"/>
      <c r="O290" s="44" t="n"/>
    </row>
    <row r="291">
      <c r="A291" s="43" t="n"/>
      <c r="C291" s="44" t="n"/>
      <c r="D291" s="44" t="n"/>
      <c r="L291" s="45" t="n"/>
      <c r="O291" s="44" t="n"/>
    </row>
    <row r="292">
      <c r="A292" s="43" t="n"/>
      <c r="C292" s="44" t="n"/>
      <c r="D292" s="44" t="n"/>
      <c r="L292" s="45" t="n"/>
      <c r="O292" s="44" t="n"/>
    </row>
    <row r="293">
      <c r="A293" s="43" t="n"/>
      <c r="C293" s="44" t="n"/>
      <c r="D293" s="44" t="n"/>
      <c r="L293" s="45" t="n"/>
      <c r="O293" s="44" t="n"/>
    </row>
    <row r="294">
      <c r="A294" s="43" t="n"/>
      <c r="C294" s="44" t="n"/>
      <c r="D294" s="44" t="n"/>
      <c r="L294" s="45" t="n"/>
      <c r="O294" s="44" t="n"/>
    </row>
    <row r="295">
      <c r="A295" s="43" t="n"/>
      <c r="C295" s="44" t="n"/>
      <c r="D295" s="44" t="n"/>
      <c r="L295" s="45" t="n"/>
      <c r="O295" s="44" t="n"/>
    </row>
    <row r="296">
      <c r="A296" s="43" t="n"/>
      <c r="C296" s="44" t="n"/>
      <c r="D296" s="44" t="n"/>
      <c r="L296" s="45" t="n"/>
      <c r="O296" s="44" t="n"/>
    </row>
    <row r="297">
      <c r="A297" s="43" t="n"/>
      <c r="C297" s="44" t="n"/>
      <c r="D297" s="44" t="n"/>
      <c r="L297" s="45" t="n"/>
      <c r="O297" s="44" t="n"/>
    </row>
    <row r="298">
      <c r="A298" s="43" t="n"/>
      <c r="C298" s="44" t="n"/>
      <c r="D298" s="44" t="n"/>
      <c r="L298" s="45" t="n"/>
      <c r="O298" s="44" t="n"/>
    </row>
    <row r="299">
      <c r="A299" s="43" t="n"/>
      <c r="C299" s="44" t="n"/>
      <c r="D299" s="44" t="n"/>
      <c r="L299" s="45" t="n"/>
      <c r="O299" s="44" t="n"/>
    </row>
    <row r="300">
      <c r="A300" s="43" t="n"/>
      <c r="C300" s="44" t="n"/>
      <c r="D300" s="44" t="n"/>
      <c r="L300" s="45" t="n"/>
      <c r="O300" s="44" t="n"/>
    </row>
    <row r="301">
      <c r="A301" s="43" t="n"/>
      <c r="C301" s="44" t="n"/>
      <c r="D301" s="44" t="n"/>
      <c r="L301" s="45" t="n"/>
      <c r="O301" s="44" t="n"/>
    </row>
    <row r="302">
      <c r="A302" s="43" t="n"/>
      <c r="C302" s="44" t="n"/>
      <c r="D302" s="44" t="n"/>
      <c r="L302" s="45" t="n"/>
      <c r="O302" s="44" t="n"/>
    </row>
    <row r="303">
      <c r="A303" s="43" t="n"/>
      <c r="C303" s="44" t="n"/>
      <c r="D303" s="44" t="n"/>
      <c r="L303" s="45" t="n"/>
      <c r="O303" s="44" t="n"/>
    </row>
    <row r="304">
      <c r="A304" s="43" t="n"/>
      <c r="C304" s="44" t="n"/>
      <c r="D304" s="44" t="n"/>
      <c r="L304" s="45" t="n"/>
      <c r="O304" s="44" t="n"/>
    </row>
    <row r="305">
      <c r="A305" s="43" t="n"/>
      <c r="C305" s="44" t="n"/>
      <c r="D305" s="44" t="n"/>
      <c r="L305" s="45" t="n"/>
      <c r="O305" s="44" t="n"/>
    </row>
    <row r="306">
      <c r="A306" s="43" t="n"/>
      <c r="C306" s="44" t="n"/>
      <c r="D306" s="44" t="n"/>
      <c r="L306" s="45" t="n"/>
      <c r="O306" s="44" t="n"/>
    </row>
    <row r="307">
      <c r="A307" s="43" t="n"/>
      <c r="C307" s="44" t="n"/>
      <c r="D307" s="44" t="n"/>
      <c r="L307" s="45" t="n"/>
      <c r="O307" s="44" t="n"/>
    </row>
    <row r="308">
      <c r="A308" s="43" t="n"/>
      <c r="C308" s="44" t="n"/>
      <c r="D308" s="44" t="n"/>
      <c r="L308" s="45" t="n"/>
      <c r="O308" s="44" t="n"/>
    </row>
    <row r="309">
      <c r="A309" s="43" t="n"/>
      <c r="C309" s="44" t="n"/>
      <c r="D309" s="44" t="n"/>
      <c r="L309" s="45" t="n"/>
      <c r="O309" s="44" t="n"/>
    </row>
    <row r="310">
      <c r="A310" s="43" t="n"/>
      <c r="C310" s="44" t="n"/>
      <c r="D310" s="44" t="n"/>
      <c r="L310" s="45" t="n"/>
      <c r="O310" s="44" t="n"/>
    </row>
    <row r="311">
      <c r="A311" s="43" t="n"/>
      <c r="C311" s="44" t="n"/>
      <c r="D311" s="44" t="n"/>
      <c r="L311" s="45" t="n"/>
      <c r="O311" s="44" t="n"/>
    </row>
    <row r="312">
      <c r="A312" s="43" t="n"/>
      <c r="C312" s="44" t="n"/>
      <c r="D312" s="44" t="n"/>
      <c r="L312" s="45" t="n"/>
      <c r="O312" s="44" t="n"/>
    </row>
    <row r="313">
      <c r="A313" s="43" t="n"/>
      <c r="C313" s="44" t="n"/>
      <c r="D313" s="44" t="n"/>
      <c r="L313" s="45" t="n"/>
      <c r="O313" s="44" t="n"/>
    </row>
    <row r="314">
      <c r="A314" s="43" t="n"/>
      <c r="C314" s="44" t="n"/>
      <c r="D314" s="44" t="n"/>
      <c r="L314" s="45" t="n"/>
      <c r="O314" s="44" t="n"/>
    </row>
    <row r="315">
      <c r="A315" s="43" t="n"/>
      <c r="C315" s="44" t="n"/>
      <c r="D315" s="44" t="n"/>
      <c r="L315" s="45" t="n"/>
      <c r="O315" s="44" t="n"/>
    </row>
    <row r="316">
      <c r="A316" s="43" t="n"/>
      <c r="C316" s="44" t="n"/>
      <c r="D316" s="44" t="n"/>
      <c r="L316" s="45" t="n"/>
      <c r="O316" s="44" t="n"/>
    </row>
    <row r="317">
      <c r="A317" s="43" t="n"/>
      <c r="C317" s="44" t="n"/>
      <c r="D317" s="44" t="n"/>
      <c r="L317" s="45" t="n"/>
      <c r="O317" s="44" t="n"/>
    </row>
    <row r="318">
      <c r="A318" s="43" t="n"/>
      <c r="C318" s="44" t="n"/>
      <c r="D318" s="44" t="n"/>
      <c r="L318" s="45" t="n"/>
      <c r="O318" s="44" t="n"/>
    </row>
    <row r="319">
      <c r="A319" s="43" t="n"/>
      <c r="C319" s="44" t="n"/>
      <c r="D319" s="44" t="n"/>
      <c r="L319" s="45" t="n"/>
      <c r="O319" s="44" t="n"/>
    </row>
    <row r="320">
      <c r="A320" s="43" t="n"/>
      <c r="C320" s="44" t="n"/>
      <c r="D320" s="44" t="n"/>
      <c r="L320" s="45" t="n"/>
      <c r="O320" s="44" t="n"/>
    </row>
    <row r="321">
      <c r="A321" s="43" t="n"/>
      <c r="C321" s="44" t="n"/>
      <c r="D321" s="44" t="n"/>
      <c r="L321" s="45" t="n"/>
      <c r="O321" s="44" t="n"/>
    </row>
    <row r="322">
      <c r="A322" s="43" t="n"/>
      <c r="C322" s="44" t="n"/>
      <c r="D322" s="44" t="n"/>
      <c r="L322" s="45" t="n"/>
      <c r="O322" s="44" t="n"/>
    </row>
    <row r="323">
      <c r="A323" s="43" t="n"/>
      <c r="C323" s="44" t="n"/>
      <c r="D323" s="44" t="n"/>
      <c r="L323" s="45" t="n"/>
      <c r="O323" s="44" t="n"/>
    </row>
    <row r="324">
      <c r="A324" s="43" t="n"/>
      <c r="C324" s="44" t="n"/>
      <c r="D324" s="44" t="n"/>
      <c r="L324" s="45" t="n"/>
      <c r="O324" s="44" t="n"/>
    </row>
    <row r="325">
      <c r="A325" s="43" t="n"/>
      <c r="C325" s="44" t="n"/>
      <c r="D325" s="44" t="n"/>
      <c r="L325" s="45" t="n"/>
      <c r="O325" s="44" t="n"/>
    </row>
    <row r="326">
      <c r="A326" s="43" t="n"/>
      <c r="C326" s="44" t="n"/>
      <c r="D326" s="44" t="n"/>
      <c r="L326" s="45" t="n"/>
      <c r="O326" s="44" t="n"/>
    </row>
    <row r="327">
      <c r="A327" s="43" t="n"/>
      <c r="C327" s="44" t="n"/>
      <c r="D327" s="44" t="n"/>
      <c r="L327" s="45" t="n"/>
      <c r="O327" s="44" t="n"/>
    </row>
    <row r="328">
      <c r="A328" s="43" t="n"/>
      <c r="C328" s="44" t="n"/>
      <c r="D328" s="44" t="n"/>
      <c r="L328" s="45" t="n"/>
      <c r="O328" s="44" t="n"/>
    </row>
    <row r="329">
      <c r="A329" s="43" t="n"/>
      <c r="C329" s="44" t="n"/>
      <c r="D329" s="44" t="n"/>
      <c r="L329" s="45" t="n"/>
      <c r="O329" s="44" t="n"/>
    </row>
    <row r="330">
      <c r="A330" s="43" t="n"/>
      <c r="C330" s="44" t="n"/>
      <c r="D330" s="44" t="n"/>
      <c r="L330" s="45" t="n"/>
      <c r="O330" s="44" t="n"/>
    </row>
    <row r="331">
      <c r="A331" s="43" t="n"/>
      <c r="C331" s="44" t="n"/>
      <c r="D331" s="44" t="n"/>
      <c r="L331" s="45" t="n"/>
      <c r="O331" s="44" t="n"/>
    </row>
    <row r="332">
      <c r="A332" s="43" t="n"/>
      <c r="C332" s="44" t="n"/>
      <c r="D332" s="44" t="n"/>
      <c r="L332" s="45" t="n"/>
      <c r="O332" s="44" t="n"/>
    </row>
    <row r="333">
      <c r="A333" s="43" t="n"/>
      <c r="C333" s="44" t="n"/>
      <c r="D333" s="44" t="n"/>
      <c r="L333" s="45" t="n"/>
      <c r="O333" s="44" t="n"/>
    </row>
    <row r="334">
      <c r="A334" s="43" t="n"/>
      <c r="C334" s="44" t="n"/>
      <c r="D334" s="44" t="n"/>
      <c r="L334" s="45" t="n"/>
      <c r="O334" s="44" t="n"/>
    </row>
    <row r="335">
      <c r="A335" s="43" t="n"/>
      <c r="C335" s="44" t="n"/>
      <c r="D335" s="44" t="n"/>
      <c r="L335" s="45" t="n"/>
      <c r="O335" s="44" t="n"/>
    </row>
    <row r="336">
      <c r="A336" s="43" t="n"/>
      <c r="C336" s="44" t="n"/>
      <c r="D336" s="44" t="n"/>
      <c r="L336" s="45" t="n"/>
      <c r="O336" s="44" t="n"/>
    </row>
    <row r="337">
      <c r="A337" s="43" t="n"/>
      <c r="C337" s="44" t="n"/>
      <c r="D337" s="44" t="n"/>
      <c r="L337" s="45" t="n"/>
      <c r="O337" s="44" t="n"/>
    </row>
    <row r="338">
      <c r="A338" s="43" t="n"/>
      <c r="C338" s="44" t="n"/>
      <c r="D338" s="44" t="n"/>
      <c r="L338" s="45" t="n"/>
      <c r="O338" s="44" t="n"/>
    </row>
    <row r="339">
      <c r="A339" s="43" t="n"/>
      <c r="C339" s="44" t="n"/>
      <c r="D339" s="44" t="n"/>
      <c r="L339" s="45" t="n"/>
      <c r="O339" s="44" t="n"/>
    </row>
    <row r="340">
      <c r="A340" s="43" t="n"/>
      <c r="C340" s="44" t="n"/>
      <c r="D340" s="44" t="n"/>
      <c r="L340" s="45" t="n"/>
      <c r="O340" s="44" t="n"/>
    </row>
    <row r="341">
      <c r="A341" s="43" t="n"/>
      <c r="C341" s="44" t="n"/>
      <c r="D341" s="44" t="n"/>
      <c r="L341" s="45" t="n"/>
      <c r="O341" s="44" t="n"/>
    </row>
    <row r="342">
      <c r="A342" s="43" t="n"/>
      <c r="C342" s="44" t="n"/>
      <c r="D342" s="44" t="n"/>
      <c r="L342" s="45" t="n"/>
      <c r="O342" s="44" t="n"/>
    </row>
    <row r="343">
      <c r="A343" s="43" t="n"/>
      <c r="C343" s="44" t="n"/>
      <c r="D343" s="44" t="n"/>
      <c r="L343" s="45" t="n"/>
      <c r="O343" s="44" t="n"/>
    </row>
    <row r="344">
      <c r="A344" s="43" t="n"/>
      <c r="C344" s="44" t="n"/>
      <c r="D344" s="44" t="n"/>
      <c r="L344" s="45" t="n"/>
      <c r="O344" s="44" t="n"/>
    </row>
    <row r="345">
      <c r="A345" s="43" t="n"/>
      <c r="C345" s="44" t="n"/>
      <c r="D345" s="44" t="n"/>
      <c r="L345" s="45" t="n"/>
      <c r="O345" s="44" t="n"/>
    </row>
    <row r="346">
      <c r="A346" s="43" t="n"/>
      <c r="C346" s="44" t="n"/>
      <c r="D346" s="44" t="n"/>
      <c r="L346" s="45" t="n"/>
      <c r="O346" s="44" t="n"/>
    </row>
    <row r="347">
      <c r="A347" s="43" t="n"/>
      <c r="C347" s="44" t="n"/>
      <c r="D347" s="44" t="n"/>
      <c r="L347" s="45" t="n"/>
      <c r="O347" s="44" t="n"/>
    </row>
    <row r="348">
      <c r="A348" s="43" t="n"/>
      <c r="C348" s="44" t="n"/>
      <c r="D348" s="44" t="n"/>
      <c r="L348" s="45" t="n"/>
      <c r="O348" s="44" t="n"/>
    </row>
    <row r="349">
      <c r="A349" s="43" t="n"/>
      <c r="C349" s="44" t="n"/>
      <c r="D349" s="44" t="n"/>
      <c r="L349" s="45" t="n"/>
      <c r="O349" s="44" t="n"/>
    </row>
    <row r="350">
      <c r="A350" s="43" t="n"/>
      <c r="C350" s="44" t="n"/>
      <c r="D350" s="44" t="n"/>
      <c r="L350" s="45" t="n"/>
      <c r="O350" s="44" t="n"/>
    </row>
    <row r="351">
      <c r="A351" s="43" t="n"/>
      <c r="C351" s="44" t="n"/>
      <c r="D351" s="44" t="n"/>
      <c r="L351" s="45" t="n"/>
      <c r="O351" s="44" t="n"/>
    </row>
    <row r="352">
      <c r="A352" s="43" t="n"/>
      <c r="C352" s="44" t="n"/>
      <c r="D352" s="44" t="n"/>
      <c r="L352" s="45" t="n"/>
      <c r="O352" s="44" t="n"/>
    </row>
    <row r="353">
      <c r="A353" s="43" t="n"/>
      <c r="C353" s="44" t="n"/>
      <c r="D353" s="44" t="n"/>
      <c r="L353" s="45" t="n"/>
      <c r="O353" s="44" t="n"/>
    </row>
    <row r="354">
      <c r="A354" s="43" t="n"/>
      <c r="C354" s="44" t="n"/>
      <c r="D354" s="44" t="n"/>
      <c r="L354" s="45" t="n"/>
      <c r="O354" s="44" t="n"/>
    </row>
    <row r="355">
      <c r="A355" s="43" t="n"/>
      <c r="C355" s="44" t="n"/>
      <c r="D355" s="44" t="n"/>
      <c r="L355" s="45" t="n"/>
      <c r="O355" s="44" t="n"/>
    </row>
    <row r="356">
      <c r="A356" s="43" t="n"/>
      <c r="C356" s="44" t="n"/>
      <c r="D356" s="44" t="n"/>
      <c r="L356" s="45" t="n"/>
      <c r="O356" s="44" t="n"/>
    </row>
    <row r="357">
      <c r="A357" s="43" t="n"/>
      <c r="C357" s="44" t="n"/>
      <c r="D357" s="44" t="n"/>
      <c r="L357" s="45" t="n"/>
      <c r="O357" s="44" t="n"/>
    </row>
    <row r="358">
      <c r="A358" s="43" t="n"/>
      <c r="C358" s="44" t="n"/>
      <c r="D358" s="44" t="n"/>
      <c r="L358" s="45" t="n"/>
      <c r="O358" s="44" t="n"/>
    </row>
    <row r="359">
      <c r="A359" s="43" t="n"/>
      <c r="C359" s="44" t="n"/>
      <c r="D359" s="44" t="n"/>
      <c r="L359" s="45" t="n"/>
      <c r="O359" s="44" t="n"/>
    </row>
    <row r="360">
      <c r="A360" s="43" t="n"/>
      <c r="C360" s="44" t="n"/>
      <c r="D360" s="44" t="n"/>
      <c r="L360" s="45" t="n"/>
      <c r="O360" s="44" t="n"/>
    </row>
    <row r="361">
      <c r="A361" s="43" t="n"/>
      <c r="C361" s="44" t="n"/>
      <c r="D361" s="44" t="n"/>
      <c r="L361" s="45" t="n"/>
      <c r="O361" s="44" t="n"/>
    </row>
    <row r="362">
      <c r="A362" s="43" t="n"/>
      <c r="C362" s="44" t="n"/>
      <c r="D362" s="44" t="n"/>
      <c r="L362" s="45" t="n"/>
      <c r="O362" s="44" t="n"/>
    </row>
    <row r="363">
      <c r="A363" s="43" t="n"/>
      <c r="C363" s="44" t="n"/>
      <c r="D363" s="44" t="n"/>
      <c r="L363" s="45" t="n"/>
      <c r="O363" s="44" t="n"/>
    </row>
    <row r="364">
      <c r="A364" s="43" t="n"/>
      <c r="C364" s="44" t="n"/>
      <c r="D364" s="44" t="n"/>
      <c r="L364" s="45" t="n"/>
      <c r="O364" s="44" t="n"/>
    </row>
    <row r="365">
      <c r="A365" s="43" t="n"/>
      <c r="C365" s="44" t="n"/>
      <c r="D365" s="44" t="n"/>
      <c r="L365" s="45" t="n"/>
      <c r="O365" s="44" t="n"/>
    </row>
    <row r="366">
      <c r="A366" s="43" t="n"/>
      <c r="C366" s="44" t="n"/>
      <c r="D366" s="44" t="n"/>
      <c r="L366" s="45" t="n"/>
      <c r="O366" s="44" t="n"/>
    </row>
    <row r="367">
      <c r="A367" s="43" t="n"/>
      <c r="C367" s="44" t="n"/>
      <c r="D367" s="44" t="n"/>
      <c r="L367" s="45" t="n"/>
      <c r="O367" s="44" t="n"/>
    </row>
    <row r="368">
      <c r="A368" s="43" t="n"/>
      <c r="C368" s="44" t="n"/>
      <c r="D368" s="44" t="n"/>
      <c r="L368" s="45" t="n"/>
      <c r="O368" s="44" t="n"/>
    </row>
    <row r="369">
      <c r="A369" s="43" t="n"/>
      <c r="C369" s="44" t="n"/>
      <c r="D369" s="44" t="n"/>
      <c r="L369" s="45" t="n"/>
      <c r="O369" s="44" t="n"/>
    </row>
    <row r="370">
      <c r="A370" s="43" t="n"/>
      <c r="C370" s="44" t="n"/>
      <c r="D370" s="44" t="n"/>
      <c r="L370" s="45" t="n"/>
      <c r="O370" s="44" t="n"/>
    </row>
    <row r="371">
      <c r="A371" s="43" t="n"/>
      <c r="C371" s="44" t="n"/>
      <c r="D371" s="44" t="n"/>
      <c r="L371" s="45" t="n"/>
      <c r="O371" s="44" t="n"/>
    </row>
    <row r="372">
      <c r="A372" s="43" t="n"/>
      <c r="C372" s="44" t="n"/>
      <c r="D372" s="44" t="n"/>
      <c r="L372" s="45" t="n"/>
      <c r="O372" s="44" t="n"/>
    </row>
    <row r="373">
      <c r="A373" s="43" t="n"/>
      <c r="C373" s="44" t="n"/>
      <c r="D373" s="44" t="n"/>
      <c r="L373" s="45" t="n"/>
      <c r="O373" s="44" t="n"/>
    </row>
    <row r="374">
      <c r="A374" s="43" t="n"/>
      <c r="C374" s="44" t="n"/>
      <c r="D374" s="44" t="n"/>
      <c r="L374" s="45" t="n"/>
      <c r="O374" s="44" t="n"/>
    </row>
    <row r="375">
      <c r="A375" s="43" t="n"/>
      <c r="C375" s="44" t="n"/>
      <c r="D375" s="44" t="n"/>
      <c r="L375" s="45" t="n"/>
      <c r="O375" s="44" t="n"/>
    </row>
    <row r="376">
      <c r="A376" s="43" t="n"/>
      <c r="C376" s="44" t="n"/>
      <c r="D376" s="44" t="n"/>
      <c r="L376" s="45" t="n"/>
      <c r="O376" s="44" t="n"/>
    </row>
    <row r="377">
      <c r="A377" s="43" t="n"/>
      <c r="C377" s="44" t="n"/>
      <c r="D377" s="44" t="n"/>
      <c r="L377" s="45" t="n"/>
      <c r="O377" s="44" t="n"/>
    </row>
    <row r="378">
      <c r="A378" s="43" t="n"/>
      <c r="C378" s="44" t="n"/>
      <c r="D378" s="44" t="n"/>
      <c r="L378" s="45" t="n"/>
      <c r="O378" s="44" t="n"/>
    </row>
    <row r="379">
      <c r="A379" s="43" t="n"/>
      <c r="C379" s="44" t="n"/>
      <c r="D379" s="44" t="n"/>
      <c r="L379" s="45" t="n"/>
      <c r="O379" s="44" t="n"/>
    </row>
    <row r="380">
      <c r="A380" s="43" t="n"/>
      <c r="C380" s="44" t="n"/>
      <c r="D380" s="44" t="n"/>
      <c r="L380" s="45" t="n"/>
      <c r="O380" s="44" t="n"/>
    </row>
    <row r="381">
      <c r="A381" s="43" t="n"/>
      <c r="C381" s="44" t="n"/>
      <c r="D381" s="44" t="n"/>
      <c r="L381" s="45" t="n"/>
      <c r="O381" s="44" t="n"/>
    </row>
    <row r="382">
      <c r="A382" s="43" t="n"/>
      <c r="C382" s="44" t="n"/>
      <c r="D382" s="44" t="n"/>
      <c r="L382" s="45" t="n"/>
      <c r="O382" s="44" t="n"/>
    </row>
    <row r="383">
      <c r="A383" s="43" t="n"/>
      <c r="C383" s="44" t="n"/>
      <c r="D383" s="44" t="n"/>
      <c r="L383" s="45" t="n"/>
      <c r="O383" s="44" t="n"/>
    </row>
    <row r="384">
      <c r="A384" s="43" t="n"/>
      <c r="C384" s="44" t="n"/>
      <c r="D384" s="44" t="n"/>
      <c r="L384" s="45" t="n"/>
      <c r="O384" s="44" t="n"/>
    </row>
    <row r="385">
      <c r="A385" s="43" t="n"/>
      <c r="C385" s="44" t="n"/>
      <c r="D385" s="44" t="n"/>
      <c r="L385" s="45" t="n"/>
      <c r="O385" s="44" t="n"/>
    </row>
    <row r="386">
      <c r="A386" s="43" t="n"/>
      <c r="C386" s="44" t="n"/>
      <c r="D386" s="44" t="n"/>
      <c r="L386" s="45" t="n"/>
      <c r="O386" s="44" t="n"/>
    </row>
    <row r="387">
      <c r="A387" s="43" t="n"/>
      <c r="C387" s="44" t="n"/>
      <c r="D387" s="44" t="n"/>
      <c r="L387" s="45" t="n"/>
      <c r="O387" s="44" t="n"/>
    </row>
    <row r="388">
      <c r="A388" s="43" t="n"/>
      <c r="C388" s="44" t="n"/>
      <c r="D388" s="44" t="n"/>
      <c r="L388" s="45" t="n"/>
      <c r="O388" s="44" t="n"/>
    </row>
    <row r="389">
      <c r="A389" s="43" t="n"/>
      <c r="C389" s="44" t="n"/>
      <c r="D389" s="44" t="n"/>
      <c r="L389" s="45" t="n"/>
      <c r="O389" s="44" t="n"/>
    </row>
    <row r="390">
      <c r="A390" s="43" t="n"/>
      <c r="C390" s="44" t="n"/>
      <c r="D390" s="44" t="n"/>
      <c r="L390" s="45" t="n"/>
      <c r="O390" s="44" t="n"/>
    </row>
    <row r="391">
      <c r="A391" s="43" t="n"/>
      <c r="C391" s="44" t="n"/>
      <c r="D391" s="44" t="n"/>
      <c r="L391" s="45" t="n"/>
      <c r="O391" s="44" t="n"/>
    </row>
    <row r="392">
      <c r="A392" s="43" t="n"/>
      <c r="C392" s="44" t="n"/>
      <c r="D392" s="44" t="n"/>
      <c r="L392" s="45" t="n"/>
      <c r="O392" s="44" t="n"/>
    </row>
    <row r="393">
      <c r="A393" s="43" t="n"/>
      <c r="C393" s="44" t="n"/>
      <c r="D393" s="44" t="n"/>
      <c r="L393" s="45" t="n"/>
      <c r="O393" s="44" t="n"/>
    </row>
    <row r="394">
      <c r="A394" s="43" t="n"/>
      <c r="C394" s="44" t="n"/>
      <c r="D394" s="44" t="n"/>
      <c r="L394" s="45" t="n"/>
      <c r="O394" s="44" t="n"/>
    </row>
    <row r="395">
      <c r="A395" s="43" t="n"/>
      <c r="C395" s="44" t="n"/>
      <c r="D395" s="44" t="n"/>
      <c r="L395" s="45" t="n"/>
      <c r="O395" s="44" t="n"/>
    </row>
    <row r="396">
      <c r="A396" s="43" t="n"/>
      <c r="C396" s="44" t="n"/>
      <c r="D396" s="44" t="n"/>
      <c r="L396" s="45" t="n"/>
      <c r="O396" s="44" t="n"/>
    </row>
    <row r="397">
      <c r="A397" s="43" t="n"/>
      <c r="C397" s="44" t="n"/>
      <c r="D397" s="44" t="n"/>
      <c r="L397" s="45" t="n"/>
      <c r="O397" s="44" t="n"/>
    </row>
    <row r="398">
      <c r="A398" s="43" t="n"/>
      <c r="C398" s="44" t="n"/>
      <c r="D398" s="44" t="n"/>
      <c r="L398" s="45" t="n"/>
      <c r="O398" s="44" t="n"/>
    </row>
    <row r="399">
      <c r="A399" s="43" t="n"/>
      <c r="C399" s="44" t="n"/>
      <c r="D399" s="44" t="n"/>
      <c r="L399" s="45" t="n"/>
      <c r="O399" s="44" t="n"/>
    </row>
    <row r="400">
      <c r="A400" s="43" t="n"/>
      <c r="C400" s="44" t="n"/>
      <c r="D400" s="44" t="n"/>
      <c r="L400" s="45" t="n"/>
      <c r="O400" s="44" t="n"/>
    </row>
    <row r="401">
      <c r="A401" s="43" t="n"/>
      <c r="C401" s="44" t="n"/>
      <c r="D401" s="44" t="n"/>
      <c r="L401" s="45" t="n"/>
      <c r="O401" s="44" t="n"/>
    </row>
    <row r="402">
      <c r="A402" s="43" t="n"/>
      <c r="C402" s="44" t="n"/>
      <c r="D402" s="44" t="n"/>
      <c r="L402" s="45" t="n"/>
      <c r="O402" s="44" t="n"/>
    </row>
    <row r="403">
      <c r="A403" s="43" t="n"/>
      <c r="C403" s="44" t="n"/>
      <c r="D403" s="44" t="n"/>
      <c r="L403" s="45" t="n"/>
      <c r="O403" s="44" t="n"/>
    </row>
    <row r="404">
      <c r="A404" s="43" t="n"/>
      <c r="C404" s="44" t="n"/>
      <c r="D404" s="44" t="n"/>
      <c r="L404" s="45" t="n"/>
      <c r="O404" s="44" t="n"/>
    </row>
    <row r="405">
      <c r="A405" s="43" t="n"/>
      <c r="C405" s="44" t="n"/>
      <c r="D405" s="44" t="n"/>
      <c r="L405" s="45" t="n"/>
      <c r="O405" s="44" t="n"/>
    </row>
    <row r="406">
      <c r="A406" s="43" t="n"/>
      <c r="C406" s="44" t="n"/>
      <c r="D406" s="44" t="n"/>
      <c r="L406" s="45" t="n"/>
      <c r="O406" s="44" t="n"/>
    </row>
    <row r="407">
      <c r="A407" s="43" t="n"/>
      <c r="C407" s="44" t="n"/>
      <c r="D407" s="44" t="n"/>
      <c r="L407" s="45" t="n"/>
      <c r="O407" s="44" t="n"/>
    </row>
    <row r="408">
      <c r="A408" s="43" t="n"/>
      <c r="C408" s="44" t="n"/>
      <c r="D408" s="44" t="n"/>
      <c r="L408" s="45" t="n"/>
      <c r="O408" s="44" t="n"/>
    </row>
    <row r="409">
      <c r="A409" s="43" t="n"/>
      <c r="C409" s="44" t="n"/>
      <c r="D409" s="44" t="n"/>
      <c r="L409" s="45" t="n"/>
      <c r="O409" s="44" t="n"/>
    </row>
    <row r="410">
      <c r="A410" s="43" t="n"/>
      <c r="C410" s="44" t="n"/>
      <c r="D410" s="44" t="n"/>
      <c r="L410" s="45" t="n"/>
      <c r="O410" s="44" t="n"/>
    </row>
    <row r="411">
      <c r="A411" s="43" t="n"/>
      <c r="C411" s="44" t="n"/>
      <c r="D411" s="44" t="n"/>
      <c r="L411" s="45" t="n"/>
      <c r="O411" s="44" t="n"/>
    </row>
    <row r="412">
      <c r="A412" s="43" t="n"/>
      <c r="C412" s="44" t="n"/>
      <c r="D412" s="44" t="n"/>
      <c r="L412" s="45" t="n"/>
      <c r="O412" s="44" t="n"/>
    </row>
    <row r="413">
      <c r="A413" s="43" t="n"/>
      <c r="C413" s="44" t="n"/>
      <c r="D413" s="44" t="n"/>
      <c r="L413" s="45" t="n"/>
      <c r="O413" s="44" t="n"/>
    </row>
    <row r="414">
      <c r="A414" s="43" t="n"/>
      <c r="C414" s="44" t="n"/>
      <c r="D414" s="44" t="n"/>
      <c r="L414" s="45" t="n"/>
      <c r="O414" s="44" t="n"/>
    </row>
    <row r="415">
      <c r="A415" s="43" t="n"/>
      <c r="C415" s="44" t="n"/>
      <c r="D415" s="44" t="n"/>
      <c r="L415" s="45" t="n"/>
      <c r="O415" s="44" t="n"/>
    </row>
    <row r="416">
      <c r="A416" s="43" t="n"/>
      <c r="C416" s="44" t="n"/>
      <c r="D416" s="44" t="n"/>
      <c r="L416" s="45" t="n"/>
      <c r="O416" s="44" t="n"/>
    </row>
    <row r="417">
      <c r="A417" s="43" t="n"/>
      <c r="C417" s="44" t="n"/>
      <c r="D417" s="44" t="n"/>
      <c r="L417" s="45" t="n"/>
      <c r="O417" s="44" t="n"/>
    </row>
    <row r="418">
      <c r="A418" s="43" t="n"/>
      <c r="C418" s="44" t="n"/>
      <c r="D418" s="44" t="n"/>
      <c r="L418" s="45" t="n"/>
      <c r="O418" s="44" t="n"/>
    </row>
    <row r="419">
      <c r="A419" s="43" t="n"/>
      <c r="C419" s="44" t="n"/>
      <c r="D419" s="44" t="n"/>
      <c r="L419" s="45" t="n"/>
      <c r="O419" s="44" t="n"/>
    </row>
    <row r="420">
      <c r="A420" s="43" t="n"/>
      <c r="C420" s="44" t="n"/>
      <c r="D420" s="44" t="n"/>
      <c r="L420" s="45" t="n"/>
      <c r="O420" s="44" t="n"/>
    </row>
    <row r="421">
      <c r="A421" s="43" t="n"/>
      <c r="C421" s="44" t="n"/>
      <c r="D421" s="44" t="n"/>
      <c r="L421" s="45" t="n"/>
      <c r="O421" s="44" t="n"/>
    </row>
    <row r="422">
      <c r="A422" s="43" t="n"/>
      <c r="C422" s="44" t="n"/>
      <c r="D422" s="44" t="n"/>
      <c r="L422" s="45" t="n"/>
      <c r="O422" s="44" t="n"/>
    </row>
    <row r="423">
      <c r="A423" s="43" t="n"/>
      <c r="C423" s="44" t="n"/>
      <c r="D423" s="44" t="n"/>
      <c r="L423" s="45" t="n"/>
      <c r="O423" s="44" t="n"/>
    </row>
    <row r="424">
      <c r="A424" s="43" t="n"/>
      <c r="C424" s="44" t="n"/>
      <c r="D424" s="44" t="n"/>
      <c r="L424" s="45" t="n"/>
      <c r="O424" s="44" t="n"/>
    </row>
    <row r="425">
      <c r="A425" s="43" t="n"/>
      <c r="C425" s="44" t="n"/>
      <c r="D425" s="44" t="n"/>
      <c r="L425" s="45" t="n"/>
      <c r="O425" s="44" t="n"/>
    </row>
    <row r="426">
      <c r="A426" s="43" t="n"/>
      <c r="C426" s="44" t="n"/>
      <c r="D426" s="44" t="n"/>
      <c r="L426" s="45" t="n"/>
      <c r="O426" s="44" t="n"/>
    </row>
    <row r="427">
      <c r="A427" s="43" t="n"/>
      <c r="C427" s="44" t="n"/>
      <c r="D427" s="44" t="n"/>
      <c r="L427" s="45" t="n"/>
      <c r="O427" s="44" t="n"/>
    </row>
    <row r="428">
      <c r="A428" s="43" t="n"/>
      <c r="C428" s="44" t="n"/>
      <c r="D428" s="44" t="n"/>
      <c r="L428" s="45" t="n"/>
      <c r="O428" s="44" t="n"/>
    </row>
    <row r="429">
      <c r="A429" s="43" t="n"/>
      <c r="C429" s="44" t="n"/>
      <c r="D429" s="44" t="n"/>
      <c r="L429" s="45" t="n"/>
      <c r="O429" s="44" t="n"/>
    </row>
    <row r="430">
      <c r="A430" s="43" t="n"/>
      <c r="C430" s="44" t="n"/>
      <c r="D430" s="44" t="n"/>
      <c r="L430" s="45" t="n"/>
      <c r="O430" s="44" t="n"/>
    </row>
    <row r="431">
      <c r="A431" s="43" t="n"/>
      <c r="C431" s="44" t="n"/>
      <c r="D431" s="44" t="n"/>
      <c r="L431" s="45" t="n"/>
      <c r="O431" s="44" t="n"/>
    </row>
    <row r="432">
      <c r="A432" s="43" t="n"/>
      <c r="C432" s="44" t="n"/>
      <c r="D432" s="44" t="n"/>
      <c r="L432" s="45" t="n"/>
      <c r="O432" s="44" t="n"/>
    </row>
    <row r="433">
      <c r="A433" s="43" t="n"/>
      <c r="C433" s="44" t="n"/>
      <c r="D433" s="44" t="n"/>
      <c r="L433" s="45" t="n"/>
      <c r="O433" s="44" t="n"/>
    </row>
    <row r="434">
      <c r="A434" s="43" t="n"/>
      <c r="C434" s="44" t="n"/>
      <c r="D434" s="44" t="n"/>
      <c r="L434" s="45" t="n"/>
      <c r="O434" s="44" t="n"/>
    </row>
    <row r="435">
      <c r="A435" s="43" t="n"/>
      <c r="C435" s="44" t="n"/>
      <c r="D435" s="44" t="n"/>
      <c r="L435" s="45" t="n"/>
      <c r="O435" s="44" t="n"/>
    </row>
    <row r="436">
      <c r="A436" s="43" t="n"/>
      <c r="C436" s="44" t="n"/>
      <c r="D436" s="44" t="n"/>
      <c r="L436" s="45" t="n"/>
      <c r="O436" s="44" t="n"/>
    </row>
    <row r="437">
      <c r="A437" s="43" t="n"/>
      <c r="C437" s="44" t="n"/>
      <c r="D437" s="44" t="n"/>
      <c r="L437" s="45" t="n"/>
      <c r="O437" s="44" t="n"/>
    </row>
    <row r="438">
      <c r="A438" s="43" t="n"/>
      <c r="C438" s="44" t="n"/>
      <c r="D438" s="44" t="n"/>
      <c r="L438" s="45" t="n"/>
      <c r="O438" s="44" t="n"/>
    </row>
    <row r="439">
      <c r="A439" s="43" t="n"/>
      <c r="C439" s="44" t="n"/>
      <c r="D439" s="44" t="n"/>
      <c r="L439" s="45" t="n"/>
      <c r="O439" s="44" t="n"/>
    </row>
    <row r="440">
      <c r="A440" s="43" t="n"/>
      <c r="C440" s="44" t="n"/>
      <c r="D440" s="44" t="n"/>
      <c r="L440" s="45" t="n"/>
      <c r="O440" s="44" t="n"/>
    </row>
    <row r="441">
      <c r="A441" s="43" t="n"/>
      <c r="C441" s="44" t="n"/>
      <c r="D441" s="44" t="n"/>
      <c r="L441" s="45" t="n"/>
      <c r="O441" s="44" t="n"/>
    </row>
    <row r="442">
      <c r="A442" s="43" t="n"/>
      <c r="C442" s="44" t="n"/>
      <c r="D442" s="44" t="n"/>
      <c r="L442" s="45" t="n"/>
      <c r="O442" s="44" t="n"/>
    </row>
    <row r="443">
      <c r="A443" s="43" t="n"/>
      <c r="C443" s="44" t="n"/>
      <c r="D443" s="44" t="n"/>
      <c r="L443" s="45" t="n"/>
      <c r="O443" s="44" t="n"/>
    </row>
    <row r="444">
      <c r="A444" s="43" t="n"/>
      <c r="C444" s="44" t="n"/>
      <c r="D444" s="44" t="n"/>
      <c r="L444" s="45" t="n"/>
      <c r="O444" s="44" t="n"/>
    </row>
    <row r="445">
      <c r="A445" s="43" t="n"/>
      <c r="C445" s="44" t="n"/>
      <c r="D445" s="44" t="n"/>
      <c r="L445" s="45" t="n"/>
      <c r="O445" s="44" t="n"/>
    </row>
    <row r="446">
      <c r="A446" s="43" t="n"/>
      <c r="C446" s="44" t="n"/>
      <c r="D446" s="44" t="n"/>
      <c r="L446" s="45" t="n"/>
      <c r="O446" s="44" t="n"/>
    </row>
    <row r="447">
      <c r="A447" s="43" t="n"/>
      <c r="C447" s="44" t="n"/>
      <c r="D447" s="44" t="n"/>
      <c r="L447" s="45" t="n"/>
      <c r="O447" s="44" t="n"/>
    </row>
    <row r="448">
      <c r="A448" s="43" t="n"/>
      <c r="C448" s="44" t="n"/>
      <c r="D448" s="44" t="n"/>
      <c r="L448" s="45" t="n"/>
      <c r="O448" s="44" t="n"/>
    </row>
    <row r="449">
      <c r="A449" s="43" t="n"/>
      <c r="C449" s="44" t="n"/>
      <c r="D449" s="44" t="n"/>
      <c r="L449" s="45" t="n"/>
      <c r="O449" s="44" t="n"/>
    </row>
    <row r="450">
      <c r="A450" s="43" t="n"/>
      <c r="C450" s="44" t="n"/>
      <c r="D450" s="44" t="n"/>
      <c r="L450" s="45" t="n"/>
      <c r="O450" s="44" t="n"/>
    </row>
    <row r="451">
      <c r="A451" s="43" t="n"/>
      <c r="C451" s="44" t="n"/>
      <c r="D451" s="44" t="n"/>
      <c r="L451" s="45" t="n"/>
      <c r="O451" s="44" t="n"/>
    </row>
    <row r="452">
      <c r="A452" s="43" t="n"/>
      <c r="C452" s="44" t="n"/>
      <c r="D452" s="44" t="n"/>
      <c r="L452" s="45" t="n"/>
      <c r="O452" s="44" t="n"/>
    </row>
    <row r="453">
      <c r="A453" s="43" t="n"/>
      <c r="C453" s="44" t="n"/>
      <c r="D453" s="44" t="n"/>
      <c r="L453" s="45" t="n"/>
      <c r="O453" s="44" t="n"/>
    </row>
    <row r="454">
      <c r="A454" s="43" t="n"/>
      <c r="C454" s="44" t="n"/>
      <c r="D454" s="44" t="n"/>
      <c r="L454" s="45" t="n"/>
      <c r="O454" s="44" t="n"/>
    </row>
    <row r="455">
      <c r="A455" s="43" t="n"/>
      <c r="C455" s="44" t="n"/>
      <c r="D455" s="44" t="n"/>
      <c r="L455" s="45" t="n"/>
      <c r="O455" s="44" t="n"/>
    </row>
    <row r="456">
      <c r="A456" s="43" t="n"/>
      <c r="C456" s="44" t="n"/>
      <c r="D456" s="44" t="n"/>
      <c r="L456" s="45" t="n"/>
      <c r="O456" s="44" t="n"/>
    </row>
    <row r="457">
      <c r="A457" s="43" t="n"/>
      <c r="C457" s="44" t="n"/>
      <c r="D457" s="44" t="n"/>
      <c r="L457" s="45" t="n"/>
      <c r="O457" s="44" t="n"/>
    </row>
    <row r="458">
      <c r="A458" s="43" t="n"/>
      <c r="C458" s="44" t="n"/>
      <c r="D458" s="44" t="n"/>
      <c r="L458" s="45" t="n"/>
      <c r="O458" s="44" t="n"/>
    </row>
    <row r="459">
      <c r="A459" s="43" t="n"/>
      <c r="C459" s="44" t="n"/>
      <c r="D459" s="44" t="n"/>
      <c r="L459" s="45" t="n"/>
      <c r="O459" s="44" t="n"/>
    </row>
    <row r="460">
      <c r="A460" s="43" t="n"/>
      <c r="C460" s="44" t="n"/>
      <c r="D460" s="44" t="n"/>
      <c r="L460" s="45" t="n"/>
      <c r="O460" s="44" t="n"/>
    </row>
    <row r="461">
      <c r="A461" s="43" t="n"/>
      <c r="C461" s="44" t="n"/>
      <c r="D461" s="44" t="n"/>
      <c r="L461" s="45" t="n"/>
      <c r="O461" s="44" t="n"/>
    </row>
    <row r="462">
      <c r="A462" s="43" t="n"/>
      <c r="C462" s="44" t="n"/>
      <c r="D462" s="44" t="n"/>
      <c r="L462" s="45" t="n"/>
      <c r="O462" s="44" t="n"/>
    </row>
    <row r="463">
      <c r="A463" s="43" t="n"/>
      <c r="C463" s="44" t="n"/>
      <c r="D463" s="44" t="n"/>
      <c r="L463" s="45" t="n"/>
      <c r="O463" s="44" t="n"/>
    </row>
    <row r="464">
      <c r="A464" s="43" t="n"/>
      <c r="C464" s="44" t="n"/>
      <c r="D464" s="44" t="n"/>
      <c r="L464" s="45" t="n"/>
      <c r="O464" s="44" t="n"/>
    </row>
    <row r="465">
      <c r="A465" s="43" t="n"/>
      <c r="C465" s="44" t="n"/>
      <c r="D465" s="44" t="n"/>
      <c r="L465" s="45" t="n"/>
      <c r="O465" s="44" t="n"/>
    </row>
    <row r="466">
      <c r="A466" s="43" t="n"/>
      <c r="C466" s="44" t="n"/>
      <c r="D466" s="44" t="n"/>
      <c r="L466" s="45" t="n"/>
      <c r="O466" s="44" t="n"/>
    </row>
    <row r="467">
      <c r="A467" s="43" t="n"/>
      <c r="C467" s="44" t="n"/>
      <c r="D467" s="44" t="n"/>
      <c r="L467" s="45" t="n"/>
      <c r="O467" s="44" t="n"/>
    </row>
    <row r="468">
      <c r="A468" s="43" t="n"/>
      <c r="C468" s="44" t="n"/>
      <c r="D468" s="44" t="n"/>
      <c r="L468" s="45" t="n"/>
      <c r="O468" s="44" t="n"/>
    </row>
    <row r="469">
      <c r="A469" s="43" t="n"/>
      <c r="C469" s="44" t="n"/>
      <c r="D469" s="44" t="n"/>
      <c r="L469" s="45" t="n"/>
      <c r="O469" s="44" t="n"/>
    </row>
    <row r="470">
      <c r="A470" s="43" t="n"/>
      <c r="C470" s="44" t="n"/>
      <c r="D470" s="44" t="n"/>
      <c r="L470" s="45" t="n"/>
      <c r="O470" s="44" t="n"/>
    </row>
    <row r="471">
      <c r="A471" s="43" t="n"/>
      <c r="C471" s="44" t="n"/>
      <c r="D471" s="44" t="n"/>
      <c r="L471" s="45" t="n"/>
      <c r="O471" s="44" t="n"/>
    </row>
    <row r="472">
      <c r="A472" s="43" t="n"/>
      <c r="C472" s="44" t="n"/>
      <c r="D472" s="44" t="n"/>
      <c r="L472" s="45" t="n"/>
      <c r="O472" s="44" t="n"/>
    </row>
    <row r="473">
      <c r="A473" s="43" t="n"/>
      <c r="C473" s="44" t="n"/>
      <c r="D473" s="44" t="n"/>
      <c r="L473" s="45" t="n"/>
      <c r="O473" s="44" t="n"/>
    </row>
    <row r="474">
      <c r="A474" s="43" t="n"/>
      <c r="C474" s="44" t="n"/>
      <c r="D474" s="44" t="n"/>
      <c r="L474" s="45" t="n"/>
      <c r="O474" s="44" t="n"/>
    </row>
    <row r="475">
      <c r="A475" s="43" t="n"/>
      <c r="C475" s="44" t="n"/>
      <c r="D475" s="44" t="n"/>
      <c r="L475" s="45" t="n"/>
      <c r="O475" s="44" t="n"/>
    </row>
    <row r="476">
      <c r="A476" s="43" t="n"/>
      <c r="C476" s="44" t="n"/>
      <c r="D476" s="44" t="n"/>
      <c r="L476" s="45" t="n"/>
      <c r="O476" s="44" t="n"/>
    </row>
    <row r="477">
      <c r="A477" s="43" t="n"/>
      <c r="C477" s="44" t="n"/>
      <c r="D477" s="44" t="n"/>
      <c r="L477" s="45" t="n"/>
      <c r="O477" s="44" t="n"/>
    </row>
    <row r="478">
      <c r="A478" s="43" t="n"/>
      <c r="C478" s="44" t="n"/>
      <c r="D478" s="44" t="n"/>
      <c r="L478" s="45" t="n"/>
      <c r="O478" s="44" t="n"/>
    </row>
    <row r="479">
      <c r="A479" s="43" t="n"/>
      <c r="C479" s="44" t="n"/>
      <c r="D479" s="44" t="n"/>
      <c r="L479" s="45" t="n"/>
      <c r="O479" s="44" t="n"/>
    </row>
    <row r="480">
      <c r="A480" s="43" t="n"/>
      <c r="C480" s="44" t="n"/>
      <c r="D480" s="44" t="n"/>
      <c r="L480" s="45" t="n"/>
      <c r="O480" s="44" t="n"/>
    </row>
    <row r="481">
      <c r="A481" s="43" t="n"/>
      <c r="C481" s="44" t="n"/>
      <c r="D481" s="44" t="n"/>
      <c r="L481" s="45" t="n"/>
      <c r="O481" s="44" t="n"/>
    </row>
    <row r="482">
      <c r="A482" s="43" t="n"/>
      <c r="C482" s="44" t="n"/>
      <c r="D482" s="44" t="n"/>
      <c r="L482" s="45" t="n"/>
      <c r="O482" s="44" t="n"/>
    </row>
    <row r="483">
      <c r="A483" s="43" t="n"/>
      <c r="C483" s="44" t="n"/>
      <c r="D483" s="44" t="n"/>
      <c r="L483" s="45" t="n"/>
      <c r="O483" s="44" t="n"/>
    </row>
    <row r="484">
      <c r="A484" s="43" t="n"/>
      <c r="C484" s="44" t="n"/>
      <c r="D484" s="44" t="n"/>
      <c r="L484" s="45" t="n"/>
      <c r="O484" s="44" t="n"/>
    </row>
    <row r="485">
      <c r="A485" s="43" t="n"/>
      <c r="C485" s="44" t="n"/>
      <c r="D485" s="44" t="n"/>
      <c r="L485" s="45" t="n"/>
      <c r="O485" s="44" t="n"/>
    </row>
    <row r="486">
      <c r="A486" s="43" t="n"/>
      <c r="C486" s="44" t="n"/>
      <c r="D486" s="44" t="n"/>
      <c r="L486" s="45" t="n"/>
      <c r="O486" s="44" t="n"/>
    </row>
    <row r="487">
      <c r="A487" s="43" t="n"/>
      <c r="C487" s="44" t="n"/>
      <c r="D487" s="44" t="n"/>
      <c r="L487" s="45" t="n"/>
      <c r="O487" s="44" t="n"/>
    </row>
    <row r="488">
      <c r="A488" s="43" t="n"/>
      <c r="C488" s="44" t="n"/>
      <c r="D488" s="44" t="n"/>
      <c r="L488" s="45" t="n"/>
      <c r="O488" s="44" t="n"/>
    </row>
    <row r="489">
      <c r="A489" s="43" t="n"/>
      <c r="C489" s="44" t="n"/>
      <c r="D489" s="44" t="n"/>
      <c r="L489" s="45" t="n"/>
      <c r="O489" s="44" t="n"/>
    </row>
    <row r="490">
      <c r="A490" s="43" t="n"/>
      <c r="C490" s="44" t="n"/>
      <c r="D490" s="44" t="n"/>
      <c r="L490" s="45" t="n"/>
      <c r="O490" s="44" t="n"/>
    </row>
    <row r="491">
      <c r="A491" s="43" t="n"/>
      <c r="C491" s="44" t="n"/>
      <c r="D491" s="44" t="n"/>
      <c r="L491" s="45" t="n"/>
      <c r="O491" s="44" t="n"/>
    </row>
    <row r="492">
      <c r="A492" s="43" t="n"/>
      <c r="C492" s="44" t="n"/>
      <c r="D492" s="44" t="n"/>
      <c r="L492" s="45" t="n"/>
      <c r="O492" s="44" t="n"/>
    </row>
    <row r="493">
      <c r="A493" s="43" t="n"/>
      <c r="C493" s="44" t="n"/>
      <c r="D493" s="44" t="n"/>
      <c r="L493" s="45" t="n"/>
      <c r="O493" s="44" t="n"/>
    </row>
    <row r="494">
      <c r="A494" s="43" t="n"/>
      <c r="C494" s="44" t="n"/>
      <c r="D494" s="44" t="n"/>
      <c r="L494" s="45" t="n"/>
      <c r="O494" s="44" t="n"/>
    </row>
    <row r="495">
      <c r="A495" s="43" t="n"/>
      <c r="C495" s="44" t="n"/>
      <c r="D495" s="44" t="n"/>
      <c r="L495" s="45" t="n"/>
      <c r="O495" s="44" t="n"/>
    </row>
    <row r="496">
      <c r="A496" s="43" t="n"/>
      <c r="C496" s="44" t="n"/>
      <c r="D496" s="44" t="n"/>
      <c r="L496" s="45" t="n"/>
      <c r="O496" s="44" t="n"/>
    </row>
    <row r="497">
      <c r="A497" s="43" t="n"/>
      <c r="C497" s="44" t="n"/>
      <c r="D497" s="44" t="n"/>
      <c r="L497" s="45" t="n"/>
      <c r="O497" s="44" t="n"/>
    </row>
    <row r="498">
      <c r="A498" s="43" t="n"/>
      <c r="C498" s="44" t="n"/>
      <c r="D498" s="44" t="n"/>
      <c r="L498" s="45" t="n"/>
      <c r="O498" s="44" t="n"/>
    </row>
    <row r="499">
      <c r="A499" s="43" t="n"/>
      <c r="C499" s="44" t="n"/>
      <c r="D499" s="44" t="n"/>
      <c r="L499" s="45" t="n"/>
      <c r="O499" s="44" t="n"/>
    </row>
    <row r="500">
      <c r="A500" s="43" t="n"/>
      <c r="C500" s="44" t="n"/>
      <c r="D500" s="44" t="n"/>
      <c r="L500" s="45" t="n"/>
      <c r="O500" s="44" t="n"/>
    </row>
    <row r="501">
      <c r="A501" s="43" t="n"/>
      <c r="C501" s="44" t="n"/>
      <c r="D501" s="44" t="n"/>
      <c r="L501" s="45" t="n"/>
      <c r="O501" s="44" t="n"/>
    </row>
    <row r="502">
      <c r="A502" s="43" t="n"/>
      <c r="C502" s="44" t="n"/>
      <c r="D502" s="44" t="n"/>
      <c r="L502" s="45" t="n"/>
      <c r="O502" s="44" t="n"/>
    </row>
    <row r="503">
      <c r="A503" s="43" t="n"/>
      <c r="C503" s="44" t="n"/>
      <c r="D503" s="44" t="n"/>
      <c r="L503" s="45" t="n"/>
      <c r="O503" s="44" t="n"/>
    </row>
    <row r="504">
      <c r="A504" s="43" t="n"/>
      <c r="C504" s="44" t="n"/>
      <c r="D504" s="44" t="n"/>
      <c r="L504" s="45" t="n"/>
      <c r="O504" s="44" t="n"/>
    </row>
  </sheetData>
  <autoFilter ref="A3:X504"/>
  <conditionalFormatting sqref="F2">
    <cfRule type="cellIs" priority="1" operator="lessThan" dxfId="0">
      <formula>0</formula>
    </cfRule>
    <cfRule type="cellIs" priority="2" operator="greaterThanOrEqual" dxfId="1">
      <formula>0</formula>
    </cfRule>
  </conditionalFormatting>
  <conditionalFormatting sqref="H2">
    <cfRule type="cellIs" priority="3" operator="lessThan" dxfId="0">
      <formula>0.9</formula>
    </cfRule>
    <cfRule type="cellIs" priority="4" operator="greaterThanOrEqual" dxfId="1">
      <formula>1</formula>
    </cfRule>
  </conditionalFormatting>
  <conditionalFormatting sqref="R2">
    <cfRule type="cellIs" priority="5" operator="lessThan" dxfId="0">
      <formula>P2</formula>
    </cfRule>
  </conditionalFormatting>
  <dataValidations count="10">
    <dataValidation sqref="B5:B504" showDropDown="0" showInputMessage="0" showErrorMessage="0" allowBlank="1" type="list">
      <formula1>'選択肢マスター'!$A$2:$A$3</formula1>
    </dataValidation>
    <dataValidation sqref="E5:E504" showDropDown="0" showInputMessage="0" showErrorMessage="0" allowBlank="1" type="list">
      <formula1>'選択肢マスター'!$B$2:$B$23</formula1>
    </dataValidation>
    <dataValidation sqref="M5:M504" showDropDown="0" showInputMessage="0" showErrorMessage="0" allowBlank="1" type="list">
      <formula1>'選択肢マスター'!$C$2:$C$16</formula1>
    </dataValidation>
    <dataValidation sqref="N5:N504" showDropDown="0" showInputMessage="0" showErrorMessage="0" allowBlank="1" type="list">
      <formula1>'選択肢マスター'!$D$2:$D$7</formula1>
    </dataValidation>
    <dataValidation sqref="P5:P504" showDropDown="0" showInputMessage="0" showErrorMessage="0" allowBlank="1" type="list">
      <formula1>'選択肢マスター'!$E$2:$E$5</formula1>
    </dataValidation>
    <dataValidation sqref="Q5:Q504" showDropDown="0" showInputMessage="0" showErrorMessage="0" allowBlank="1" type="list">
      <formula1>'選択肢マスター'!$F$2:$F$5</formula1>
    </dataValidation>
    <dataValidation sqref="S5:S504" showDropDown="0" showInputMessage="0" showErrorMessage="0" allowBlank="1" type="list">
      <formula1>'選択肢マスター'!$G$2:$G$8</formula1>
    </dataValidation>
    <dataValidation sqref="T5:T504" showDropDown="0" showInputMessage="0" showErrorMessage="0" allowBlank="1" type="list">
      <formula1>'選択肢マスター'!$J$2:$J$3</formula1>
    </dataValidation>
    <dataValidation sqref="U5:U504" showDropDown="0" showInputMessage="0" showErrorMessage="0" allowBlank="1" type="list">
      <formula1>'選択肢マスター'!$H$2:$H$5</formula1>
    </dataValidation>
    <dataValidation sqref="V5:V504" showDropDown="0" showInputMessage="0" showErrorMessage="0" allowBlank="1" type="list">
      <formula1>'選択肢マスター'!$I$2:$I$5</formula1>
    </dataValidation>
  </dataValidations>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X504"/>
  <sheetViews>
    <sheetView workbookViewId="0">
      <pane ySplit="4" topLeftCell="A5" activePane="bottomLeft" state="frozen"/>
      <selection pane="bottomLeft" activeCell="A1" sqref="A1"/>
    </sheetView>
  </sheetViews>
  <sheetFormatPr baseColWidth="8" defaultRowHeight="15"/>
  <cols>
    <col width="9" customWidth="1" min="1" max="1"/>
    <col width="11" customWidth="1" min="2" max="2"/>
    <col width="12" customWidth="1" min="3" max="3"/>
    <col width="12" customWidth="1" min="4" max="4"/>
    <col width="17" customWidth="1" min="5" max="5"/>
    <col width="20" customWidth="1" min="6" max="6"/>
    <col width="14" customWidth="1" min="7" max="7"/>
    <col width="16" customWidth="1" min="8" max="8"/>
    <col width="14" customWidth="1" min="9" max="9"/>
    <col width="11" customWidth="1" min="10" max="10"/>
    <col width="30" customWidth="1" min="11" max="11"/>
    <col width="12" customWidth="1" min="12" max="12"/>
    <col width="20" customWidth="1" min="13" max="13"/>
    <col width="12" customWidth="1" min="14" max="14"/>
    <col width="14" customWidth="1" min="15" max="15"/>
    <col width="12" customWidth="1" min="16" max="16"/>
    <col width="12" customWidth="1" min="17" max="17"/>
    <col width="34" customWidth="1" min="18" max="18"/>
    <col width="14" customWidth="1" min="19" max="19"/>
    <col width="11" customWidth="1" min="20" max="20"/>
    <col width="11" customWidth="1" min="21" max="21"/>
    <col width="12" customWidth="1" min="22" max="22"/>
    <col width="24" customWidth="1" min="23" max="23"/>
    <col width="10" customWidth="1" min="24" max="24"/>
  </cols>
  <sheetData>
    <row r="1" ht="18" customHeight="1">
      <c r="A1" s="8" t="inlineStr">
        <is>
          <t>◆ 5月の売上・顧客。入力は 5 行目から。2行目＝今月の目標、4行目＝自動集計（数式・触らない）</t>
        </is>
      </c>
    </row>
    <row r="2" ht="20" customHeight="1">
      <c r="A2" s="24" t="inlineStr">
        <is>
          <t>今月目標(売上)</t>
        </is>
      </c>
      <c r="B2" s="25" t="n">
        <v>2890000</v>
      </c>
      <c r="C2" s="24" t="inlineStr">
        <is>
          <t>売上 現在</t>
        </is>
      </c>
      <c r="D2" s="25">
        <f>$L$4</f>
        <v/>
      </c>
      <c r="E2" s="24" t="inlineStr">
        <is>
          <t>過不足</t>
        </is>
      </c>
      <c r="F2" s="25">
        <f>D2-B2</f>
        <v/>
      </c>
      <c r="G2" s="24" t="inlineStr">
        <is>
          <t>達成率</t>
        </is>
      </c>
      <c r="H2" s="26">
        <f>IFERROR(D2/B2,0)</f>
        <v/>
      </c>
      <c r="I2" s="24" t="inlineStr">
        <is>
          <t>必要件数</t>
        </is>
      </c>
      <c r="J2" s="27" t="n">
        <v>70</v>
      </c>
      <c r="K2" s="24" t="inlineStr">
        <is>
          <t>件数 現在</t>
        </is>
      </c>
      <c r="L2" s="27">
        <f>$E$4</f>
        <v/>
      </c>
      <c r="M2" s="24" t="inlineStr">
        <is>
          <t>残り件数</t>
        </is>
      </c>
      <c r="N2" s="27">
        <f>J2-L2</f>
        <v/>
      </c>
      <c r="O2" s="24" t="inlineStr">
        <is>
          <t>④ネット新規 目標</t>
        </is>
      </c>
      <c r="P2" s="27" t="n">
        <v>14</v>
      </c>
      <c r="Q2" s="24" t="inlineStr">
        <is>
          <t>④ 現在</t>
        </is>
      </c>
      <c r="R2" s="27">
        <f>$R$4</f>
        <v/>
      </c>
    </row>
    <row r="3" ht="30" customHeight="1">
      <c r="A3" s="3" t="inlineStr">
        <is>
          <t>通し番号</t>
        </is>
      </c>
      <c r="B3" s="3" t="inlineStr">
        <is>
          <t>売上種類</t>
        </is>
      </c>
      <c r="C3" s="3" t="inlineStr">
        <is>
          <t>受注日</t>
        </is>
      </c>
      <c r="D3" s="3" t="inlineStr">
        <is>
          <t>施工日付</t>
        </is>
      </c>
      <c r="E3" s="3" t="inlineStr">
        <is>
          <t>流入経路</t>
        </is>
      </c>
      <c r="F3" s="3" t="inlineStr">
        <is>
          <t>流入元の識別子(?src=)</t>
        </is>
      </c>
      <c r="G3" s="3" t="inlineStr">
        <is>
          <t>紹介者（顧客ID）</t>
        </is>
      </c>
      <c r="H3" s="3" t="inlineStr">
        <is>
          <t>氏名</t>
        </is>
      </c>
      <c r="I3" s="3" t="inlineStr">
        <is>
          <t>TEL(-無し)</t>
        </is>
      </c>
      <c r="J3" s="3" t="inlineStr">
        <is>
          <t>郵便番号(-無し)</t>
        </is>
      </c>
      <c r="K3" s="3" t="inlineStr">
        <is>
          <t>住所</t>
        </is>
      </c>
      <c r="L3" s="3" t="inlineStr">
        <is>
          <t>売上（税込）</t>
        </is>
      </c>
      <c r="M3" s="3" t="inlineStr">
        <is>
          <t>実施メニュー</t>
        </is>
      </c>
      <c r="N3" s="3" t="inlineStr">
        <is>
          <t>施工担当</t>
        </is>
      </c>
      <c r="O3" s="3" t="inlineStr">
        <is>
          <t>フォローコール日</t>
        </is>
      </c>
      <c r="P3" s="3" t="inlineStr">
        <is>
          <t>早期予約提案</t>
        </is>
      </c>
      <c r="Q3" s="3" t="inlineStr">
        <is>
          <t>フォローコール</t>
        </is>
      </c>
      <c r="R3" s="3" t="inlineStr">
        <is>
          <t>備考(お客様の声)</t>
        </is>
      </c>
      <c r="S3" s="3" t="inlineStr">
        <is>
          <t>入金経路</t>
        </is>
      </c>
      <c r="T3" s="3" t="inlineStr">
        <is>
          <t>入金額照合</t>
        </is>
      </c>
      <c r="U3" s="3" t="inlineStr">
        <is>
          <t>ＯＨ打診</t>
        </is>
      </c>
      <c r="V3" s="3" t="inlineStr">
        <is>
          <t>本舗ロイ区分</t>
        </is>
      </c>
      <c r="W3" s="3" t="inlineStr">
        <is>
          <t>お客様周辺/環境情報</t>
        </is>
      </c>
      <c r="X3" s="3" t="inlineStr">
        <is>
          <t>カウント用</t>
        </is>
      </c>
    </row>
    <row r="4" ht="20" customHeight="1">
      <c r="A4" s="28">
        <f>"▼自動集計"</f>
        <v/>
      </c>
      <c r="B4" s="29">
        <f>COUNTIFS($B$5:$B$504,"One Hitter")</f>
        <v/>
      </c>
      <c r="C4" s="30">
        <f>IFERROR(SUMPRODUCT(($C$5:$C$504&lt;&gt;"")*($D$5:$D$504&lt;&gt;"")*($D$5:$D$504-$C$5:$C$504))/SUMPRODUCT(($C$5:$C$504&lt;&gt;"")*($D$5:$D$504&lt;&gt;"")),0)</f>
        <v/>
      </c>
      <c r="D4" s="31">
        <f>COUNTIFS($B$5:$B$504,"本舗")</f>
        <v/>
      </c>
      <c r="E4" s="32">
        <f>COUNTA($D$5:$D$504)</f>
        <v/>
      </c>
      <c r="F4" s="33">
        <f>IFERROR(SUM($L$5:$L$504)/COUNTA($D$5:$D$504),0)</f>
        <v/>
      </c>
      <c r="G4" s="34">
        <f>COUNTA($G$5:$G$504)</f>
        <v/>
      </c>
      <c r="H4" s="35">
        <f>IFERROR(SUMIFS($L$5:$L$504,$B$5:$B$504,"One Hitter")/COUNTIFS($B$5:$B$504,"One Hitter"),0)</f>
        <v/>
      </c>
      <c r="I4" s="36">
        <f>IFERROR(SUMIFS($L$5:$L$504,$B$5:$B$504,"本舗")/COUNTIFS($B$5:$B$504,"本舗"),0)</f>
        <v/>
      </c>
      <c r="J4" s="37">
        <f>SUMIFS($L$5:$L$504,$B$5:$B$504,"One Hitter")</f>
        <v/>
      </c>
      <c r="K4" s="38">
        <f>SUMIFS($L$5:$L$504,$B$5:$B$504,"本舗")</f>
        <v/>
      </c>
      <c r="L4" s="39">
        <f>SUM($L$5:$L$504)</f>
        <v/>
      </c>
      <c r="M4" s="40" t="n"/>
      <c r="N4" s="40" t="n"/>
      <c r="O4" s="40" t="n"/>
      <c r="P4" s="40" t="n"/>
      <c r="Q4" s="40" t="n"/>
      <c r="R4" s="41">
        <f>COUNTIFS($E$5:$E$504,"HP")+COUNTIFS($E$5:$E$504,"LP")+COUNTIFS($E$5:$E$504,"SNS")+COUNTIFS($E$5:$E$504,"GBP(地図検索)")+COUNTIFS($E$5:$E$504,"公式LINE")+COUNTIFS($E$5:$E$504,"アフィリエイト")+COUNTIFS($E$5:$E$504,"LINE/SMS再販")+COUNTIFS($E$5:$E$504,"SMS")+COUNTIFS($E$5:$E$504,"広告")</f>
        <v/>
      </c>
      <c r="S4" s="42">
        <f>SUMIFS($L$5:$L$504,$E$5:$E$504,"HP")+SUMIFS($L$5:$L$504,$E$5:$E$504,"LP")+SUMIFS($L$5:$L$504,$E$5:$E$504,"SNS")+SUMIFS($L$5:$L$504,$E$5:$E$504,"GBP(地図検索)")+SUMIFS($L$5:$L$504,$E$5:$E$504,"公式LINE")+SUMIFS($L$5:$L$504,$E$5:$E$504,"アフィリエイト")+SUMIFS($L$5:$L$504,$E$5:$E$504,"LINE/SMS再販")+SUMIFS($L$5:$L$504,$E$5:$E$504,"SMS")+SUMIFS($L$5:$L$504,$E$5:$E$504,"広告")</f>
        <v/>
      </c>
      <c r="T4" s="40" t="n"/>
      <c r="U4" s="40" t="n"/>
      <c r="V4" s="40" t="n"/>
      <c r="W4" s="40" t="n"/>
      <c r="X4" s="40" t="n"/>
    </row>
    <row r="5">
      <c r="A5" s="43" t="n"/>
      <c r="C5" s="44" t="n"/>
      <c r="D5" s="44" t="n"/>
      <c r="L5" s="45" t="n"/>
      <c r="O5" s="44" t="n"/>
    </row>
    <row r="6">
      <c r="A6" s="43" t="n"/>
      <c r="C6" s="44" t="n"/>
      <c r="D6" s="44" t="n"/>
      <c r="L6" s="45" t="n"/>
      <c r="O6" s="44" t="n"/>
    </row>
    <row r="7">
      <c r="A7" s="43" t="n"/>
      <c r="C7" s="44" t="n"/>
      <c r="D7" s="44" t="n"/>
      <c r="L7" s="45" t="n"/>
      <c r="O7" s="44" t="n"/>
    </row>
    <row r="8">
      <c r="A8" s="43" t="n"/>
      <c r="C8" s="44" t="n"/>
      <c r="D8" s="44" t="n"/>
      <c r="L8" s="45" t="n"/>
      <c r="O8" s="44" t="n"/>
    </row>
    <row r="9">
      <c r="A9" s="43" t="n"/>
      <c r="C9" s="44" t="n"/>
      <c r="D9" s="44" t="n"/>
      <c r="L9" s="45" t="n"/>
      <c r="O9" s="44" t="n"/>
    </row>
    <row r="10">
      <c r="A10" s="43" t="n"/>
      <c r="C10" s="44" t="n"/>
      <c r="D10" s="44" t="n"/>
      <c r="L10" s="45" t="n"/>
      <c r="O10" s="44" t="n"/>
    </row>
    <row r="11">
      <c r="A11" s="43" t="n"/>
      <c r="C11" s="44" t="n"/>
      <c r="D11" s="44" t="n"/>
      <c r="L11" s="45" t="n"/>
      <c r="O11" s="44" t="n"/>
    </row>
    <row r="12">
      <c r="A12" s="43" t="n"/>
      <c r="C12" s="44" t="n"/>
      <c r="D12" s="44" t="n"/>
      <c r="L12" s="45" t="n"/>
      <c r="O12" s="44" t="n"/>
    </row>
    <row r="13">
      <c r="A13" s="43" t="n"/>
      <c r="C13" s="44" t="n"/>
      <c r="D13" s="44" t="n"/>
      <c r="L13" s="45" t="n"/>
      <c r="O13" s="44" t="n"/>
    </row>
    <row r="14">
      <c r="A14" s="43" t="n"/>
      <c r="C14" s="44" t="n"/>
      <c r="D14" s="44" t="n"/>
      <c r="L14" s="45" t="n"/>
      <c r="O14" s="44" t="n"/>
    </row>
    <row r="15">
      <c r="A15" s="43" t="n"/>
      <c r="C15" s="44" t="n"/>
      <c r="D15" s="44" t="n"/>
      <c r="L15" s="45" t="n"/>
      <c r="O15" s="44" t="n"/>
    </row>
    <row r="16">
      <c r="A16" s="43" t="n"/>
      <c r="C16" s="44" t="n"/>
      <c r="D16" s="44" t="n"/>
      <c r="L16" s="45" t="n"/>
      <c r="O16" s="44" t="n"/>
    </row>
    <row r="17">
      <c r="A17" s="43" t="n"/>
      <c r="C17" s="44" t="n"/>
      <c r="D17" s="44" t="n"/>
      <c r="L17" s="45" t="n"/>
      <c r="O17" s="44" t="n"/>
    </row>
    <row r="18">
      <c r="A18" s="43" t="n"/>
      <c r="C18" s="44" t="n"/>
      <c r="D18" s="44" t="n"/>
      <c r="L18" s="45" t="n"/>
      <c r="O18" s="44" t="n"/>
    </row>
    <row r="19">
      <c r="A19" s="43" t="n"/>
      <c r="C19" s="44" t="n"/>
      <c r="D19" s="44" t="n"/>
      <c r="L19" s="45" t="n"/>
      <c r="O19" s="44" t="n"/>
    </row>
    <row r="20">
      <c r="A20" s="43" t="n"/>
      <c r="C20" s="44" t="n"/>
      <c r="D20" s="44" t="n"/>
      <c r="L20" s="45" t="n"/>
      <c r="O20" s="44" t="n"/>
    </row>
    <row r="21">
      <c r="A21" s="43" t="n"/>
      <c r="C21" s="44" t="n"/>
      <c r="D21" s="44" t="n"/>
      <c r="L21" s="45" t="n"/>
      <c r="O21" s="44" t="n"/>
    </row>
    <row r="22">
      <c r="A22" s="43" t="n"/>
      <c r="C22" s="44" t="n"/>
      <c r="D22" s="44" t="n"/>
      <c r="L22" s="45" t="n"/>
      <c r="O22" s="44" t="n"/>
    </row>
    <row r="23">
      <c r="A23" s="43" t="n"/>
      <c r="C23" s="44" t="n"/>
      <c r="D23" s="44" t="n"/>
      <c r="L23" s="45" t="n"/>
      <c r="O23" s="44" t="n"/>
    </row>
    <row r="24">
      <c r="A24" s="43" t="n"/>
      <c r="C24" s="44" t="n"/>
      <c r="D24" s="44" t="n"/>
      <c r="L24" s="45" t="n"/>
      <c r="O24" s="44" t="n"/>
    </row>
    <row r="25">
      <c r="A25" s="43" t="n"/>
      <c r="C25" s="44" t="n"/>
      <c r="D25" s="44" t="n"/>
      <c r="L25" s="45" t="n"/>
      <c r="O25" s="44" t="n"/>
    </row>
    <row r="26">
      <c r="A26" s="43" t="n"/>
      <c r="C26" s="44" t="n"/>
      <c r="D26" s="44" t="n"/>
      <c r="L26" s="45" t="n"/>
      <c r="O26" s="44" t="n"/>
    </row>
    <row r="27">
      <c r="A27" s="43" t="n"/>
      <c r="C27" s="44" t="n"/>
      <c r="D27" s="44" t="n"/>
      <c r="L27" s="45" t="n"/>
      <c r="O27" s="44" t="n"/>
    </row>
    <row r="28">
      <c r="A28" s="43" t="n"/>
      <c r="C28" s="44" t="n"/>
      <c r="D28" s="44" t="n"/>
      <c r="L28" s="45" t="n"/>
      <c r="O28" s="44" t="n"/>
    </row>
    <row r="29">
      <c r="A29" s="43" t="n"/>
      <c r="C29" s="44" t="n"/>
      <c r="D29" s="44" t="n"/>
      <c r="L29" s="45" t="n"/>
      <c r="O29" s="44" t="n"/>
    </row>
    <row r="30">
      <c r="A30" s="43" t="n"/>
      <c r="C30" s="44" t="n"/>
      <c r="D30" s="44" t="n"/>
      <c r="L30" s="45" t="n"/>
      <c r="O30" s="44" t="n"/>
    </row>
    <row r="31">
      <c r="A31" s="43" t="n"/>
      <c r="C31" s="44" t="n"/>
      <c r="D31" s="44" t="n"/>
      <c r="L31" s="45" t="n"/>
      <c r="O31" s="44" t="n"/>
    </row>
    <row r="32">
      <c r="A32" s="43" t="n"/>
      <c r="C32" s="44" t="n"/>
      <c r="D32" s="44" t="n"/>
      <c r="L32" s="45" t="n"/>
      <c r="O32" s="44" t="n"/>
    </row>
    <row r="33">
      <c r="A33" s="43" t="n"/>
      <c r="C33" s="44" t="n"/>
      <c r="D33" s="44" t="n"/>
      <c r="L33" s="45" t="n"/>
      <c r="O33" s="44" t="n"/>
    </row>
    <row r="34">
      <c r="A34" s="43" t="n"/>
      <c r="C34" s="44" t="n"/>
      <c r="D34" s="44" t="n"/>
      <c r="L34" s="45" t="n"/>
      <c r="O34" s="44" t="n"/>
    </row>
    <row r="35">
      <c r="A35" s="43" t="n"/>
      <c r="C35" s="44" t="n"/>
      <c r="D35" s="44" t="n"/>
      <c r="L35" s="45" t="n"/>
      <c r="O35" s="44" t="n"/>
    </row>
    <row r="36">
      <c r="A36" s="43" t="n"/>
      <c r="C36" s="44" t="n"/>
      <c r="D36" s="44" t="n"/>
      <c r="L36" s="45" t="n"/>
      <c r="O36" s="44" t="n"/>
    </row>
    <row r="37">
      <c r="A37" s="43" t="n"/>
      <c r="C37" s="44" t="n"/>
      <c r="D37" s="44" t="n"/>
      <c r="L37" s="45" t="n"/>
      <c r="O37" s="44" t="n"/>
    </row>
    <row r="38">
      <c r="A38" s="43" t="n"/>
      <c r="C38" s="44" t="n"/>
      <c r="D38" s="44" t="n"/>
      <c r="L38" s="45" t="n"/>
      <c r="O38" s="44" t="n"/>
    </row>
    <row r="39">
      <c r="A39" s="43" t="n"/>
      <c r="C39" s="44" t="n"/>
      <c r="D39" s="44" t="n"/>
      <c r="L39" s="45" t="n"/>
      <c r="O39" s="44" t="n"/>
    </row>
    <row r="40">
      <c r="A40" s="43" t="n"/>
      <c r="C40" s="44" t="n"/>
      <c r="D40" s="44" t="n"/>
      <c r="L40" s="45" t="n"/>
      <c r="O40" s="44" t="n"/>
    </row>
    <row r="41">
      <c r="A41" s="43" t="n"/>
      <c r="C41" s="44" t="n"/>
      <c r="D41" s="44" t="n"/>
      <c r="L41" s="45" t="n"/>
      <c r="O41" s="44" t="n"/>
    </row>
    <row r="42">
      <c r="A42" s="43" t="n"/>
      <c r="C42" s="44" t="n"/>
      <c r="D42" s="44" t="n"/>
      <c r="L42" s="45" t="n"/>
      <c r="O42" s="44" t="n"/>
    </row>
    <row r="43">
      <c r="A43" s="43" t="n"/>
      <c r="C43" s="44" t="n"/>
      <c r="D43" s="44" t="n"/>
      <c r="L43" s="45" t="n"/>
      <c r="O43" s="44" t="n"/>
    </row>
    <row r="44">
      <c r="A44" s="43" t="n"/>
      <c r="C44" s="44" t="n"/>
      <c r="D44" s="44" t="n"/>
      <c r="L44" s="45" t="n"/>
      <c r="O44" s="44" t="n"/>
    </row>
    <row r="45">
      <c r="A45" s="43" t="n"/>
      <c r="C45" s="44" t="n"/>
      <c r="D45" s="44" t="n"/>
      <c r="L45" s="45" t="n"/>
      <c r="O45" s="44" t="n"/>
    </row>
    <row r="46">
      <c r="A46" s="43" t="n"/>
      <c r="C46" s="44" t="n"/>
      <c r="D46" s="44" t="n"/>
      <c r="L46" s="45" t="n"/>
      <c r="O46" s="44" t="n"/>
    </row>
    <row r="47">
      <c r="A47" s="43" t="n"/>
      <c r="C47" s="44" t="n"/>
      <c r="D47" s="44" t="n"/>
      <c r="L47" s="45" t="n"/>
      <c r="O47" s="44" t="n"/>
    </row>
    <row r="48">
      <c r="A48" s="43" t="n"/>
      <c r="C48" s="44" t="n"/>
      <c r="D48" s="44" t="n"/>
      <c r="L48" s="45" t="n"/>
      <c r="O48" s="44" t="n"/>
    </row>
    <row r="49">
      <c r="A49" s="43" t="n"/>
      <c r="C49" s="44" t="n"/>
      <c r="D49" s="44" t="n"/>
      <c r="L49" s="45" t="n"/>
      <c r="O49" s="44" t="n"/>
    </row>
    <row r="50">
      <c r="A50" s="43" t="n"/>
      <c r="C50" s="44" t="n"/>
      <c r="D50" s="44" t="n"/>
      <c r="L50" s="45" t="n"/>
      <c r="O50" s="44" t="n"/>
    </row>
    <row r="51">
      <c r="A51" s="43" t="n"/>
      <c r="C51" s="44" t="n"/>
      <c r="D51" s="44" t="n"/>
      <c r="L51" s="45" t="n"/>
      <c r="O51" s="44" t="n"/>
    </row>
    <row r="52">
      <c r="A52" s="43" t="n"/>
      <c r="C52" s="44" t="n"/>
      <c r="D52" s="44" t="n"/>
      <c r="L52" s="45" t="n"/>
      <c r="O52" s="44" t="n"/>
    </row>
    <row r="53">
      <c r="A53" s="43" t="n"/>
      <c r="C53" s="44" t="n"/>
      <c r="D53" s="44" t="n"/>
      <c r="L53" s="45" t="n"/>
      <c r="O53" s="44" t="n"/>
    </row>
    <row r="54">
      <c r="A54" s="43" t="n"/>
      <c r="C54" s="44" t="n"/>
      <c r="D54" s="44" t="n"/>
      <c r="L54" s="45" t="n"/>
      <c r="O54" s="44" t="n"/>
    </row>
    <row r="55">
      <c r="A55" s="43" t="n"/>
      <c r="C55" s="44" t="n"/>
      <c r="D55" s="44" t="n"/>
      <c r="L55" s="45" t="n"/>
      <c r="O55" s="44" t="n"/>
    </row>
    <row r="56">
      <c r="A56" s="43" t="n"/>
      <c r="C56" s="44" t="n"/>
      <c r="D56" s="44" t="n"/>
      <c r="L56" s="45" t="n"/>
      <c r="O56" s="44" t="n"/>
    </row>
    <row r="57">
      <c r="A57" s="43" t="n"/>
      <c r="C57" s="44" t="n"/>
      <c r="D57" s="44" t="n"/>
      <c r="L57" s="45" t="n"/>
      <c r="O57" s="44" t="n"/>
    </row>
    <row r="58">
      <c r="A58" s="43" t="n"/>
      <c r="C58" s="44" t="n"/>
      <c r="D58" s="44" t="n"/>
      <c r="L58" s="45" t="n"/>
      <c r="O58" s="44" t="n"/>
    </row>
    <row r="59">
      <c r="A59" s="43" t="n"/>
      <c r="C59" s="44" t="n"/>
      <c r="D59" s="44" t="n"/>
      <c r="L59" s="45" t="n"/>
      <c r="O59" s="44" t="n"/>
    </row>
    <row r="60">
      <c r="A60" s="43" t="n"/>
      <c r="C60" s="44" t="n"/>
      <c r="D60" s="44" t="n"/>
      <c r="L60" s="45" t="n"/>
      <c r="O60" s="44" t="n"/>
    </row>
    <row r="61">
      <c r="A61" s="43" t="n"/>
      <c r="C61" s="44" t="n"/>
      <c r="D61" s="44" t="n"/>
      <c r="L61" s="45" t="n"/>
      <c r="O61" s="44" t="n"/>
    </row>
    <row r="62">
      <c r="A62" s="43" t="n"/>
      <c r="C62" s="44" t="n"/>
      <c r="D62" s="44" t="n"/>
      <c r="L62" s="45" t="n"/>
      <c r="O62" s="44" t="n"/>
    </row>
    <row r="63">
      <c r="A63" s="43" t="n"/>
      <c r="C63" s="44" t="n"/>
      <c r="D63" s="44" t="n"/>
      <c r="L63" s="45" t="n"/>
      <c r="O63" s="44" t="n"/>
    </row>
    <row r="64">
      <c r="A64" s="43" t="n"/>
      <c r="C64" s="44" t="n"/>
      <c r="D64" s="44" t="n"/>
      <c r="L64" s="45" t="n"/>
      <c r="O64" s="44" t="n"/>
    </row>
    <row r="65">
      <c r="A65" s="43" t="n"/>
      <c r="C65" s="44" t="n"/>
      <c r="D65" s="44" t="n"/>
      <c r="L65" s="45" t="n"/>
      <c r="O65" s="44" t="n"/>
    </row>
    <row r="66">
      <c r="A66" s="43" t="n"/>
      <c r="C66" s="44" t="n"/>
      <c r="D66" s="44" t="n"/>
      <c r="L66" s="45" t="n"/>
      <c r="O66" s="44" t="n"/>
    </row>
    <row r="67">
      <c r="A67" s="43" t="n"/>
      <c r="C67" s="44" t="n"/>
      <c r="D67" s="44" t="n"/>
      <c r="L67" s="45" t="n"/>
      <c r="O67" s="44" t="n"/>
    </row>
    <row r="68">
      <c r="A68" s="43" t="n"/>
      <c r="C68" s="44" t="n"/>
      <c r="D68" s="44" t="n"/>
      <c r="L68" s="45" t="n"/>
      <c r="O68" s="44" t="n"/>
    </row>
    <row r="69">
      <c r="A69" s="43" t="n"/>
      <c r="C69" s="44" t="n"/>
      <c r="D69" s="44" t="n"/>
      <c r="L69" s="45" t="n"/>
      <c r="O69" s="44" t="n"/>
    </row>
    <row r="70">
      <c r="A70" s="43" t="n"/>
      <c r="C70" s="44" t="n"/>
      <c r="D70" s="44" t="n"/>
      <c r="L70" s="45" t="n"/>
      <c r="O70" s="44" t="n"/>
    </row>
    <row r="71">
      <c r="A71" s="43" t="n"/>
      <c r="C71" s="44" t="n"/>
      <c r="D71" s="44" t="n"/>
      <c r="L71" s="45" t="n"/>
      <c r="O71" s="44" t="n"/>
    </row>
    <row r="72">
      <c r="A72" s="43" t="n"/>
      <c r="C72" s="44" t="n"/>
      <c r="D72" s="44" t="n"/>
      <c r="L72" s="45" t="n"/>
      <c r="O72" s="44" t="n"/>
    </row>
    <row r="73">
      <c r="A73" s="43" t="n"/>
      <c r="C73" s="44" t="n"/>
      <c r="D73" s="44" t="n"/>
      <c r="L73" s="45" t="n"/>
      <c r="O73" s="44" t="n"/>
    </row>
    <row r="74">
      <c r="A74" s="43" t="n"/>
      <c r="C74" s="44" t="n"/>
      <c r="D74" s="44" t="n"/>
      <c r="L74" s="45" t="n"/>
      <c r="O74" s="44" t="n"/>
    </row>
    <row r="75">
      <c r="A75" s="43" t="n"/>
      <c r="C75" s="44" t="n"/>
      <c r="D75" s="44" t="n"/>
      <c r="L75" s="45" t="n"/>
      <c r="O75" s="44" t="n"/>
    </row>
    <row r="76">
      <c r="A76" s="43" t="n"/>
      <c r="C76" s="44" t="n"/>
      <c r="D76" s="44" t="n"/>
      <c r="L76" s="45" t="n"/>
      <c r="O76" s="44" t="n"/>
    </row>
    <row r="77">
      <c r="A77" s="43" t="n"/>
      <c r="C77" s="44" t="n"/>
      <c r="D77" s="44" t="n"/>
      <c r="L77" s="45" t="n"/>
      <c r="O77" s="44" t="n"/>
    </row>
    <row r="78">
      <c r="A78" s="43" t="n"/>
      <c r="C78" s="44" t="n"/>
      <c r="D78" s="44" t="n"/>
      <c r="L78" s="45" t="n"/>
      <c r="O78" s="44" t="n"/>
    </row>
    <row r="79">
      <c r="A79" s="43" t="n"/>
      <c r="C79" s="44" t="n"/>
      <c r="D79" s="44" t="n"/>
      <c r="L79" s="45" t="n"/>
      <c r="O79" s="44" t="n"/>
    </row>
    <row r="80">
      <c r="A80" s="43" t="n"/>
      <c r="C80" s="44" t="n"/>
      <c r="D80" s="44" t="n"/>
      <c r="L80" s="45" t="n"/>
      <c r="O80" s="44" t="n"/>
    </row>
    <row r="81">
      <c r="A81" s="43" t="n"/>
      <c r="C81" s="44" t="n"/>
      <c r="D81" s="44" t="n"/>
      <c r="L81" s="45" t="n"/>
      <c r="O81" s="44" t="n"/>
    </row>
    <row r="82">
      <c r="A82" s="43" t="n"/>
      <c r="C82" s="44" t="n"/>
      <c r="D82" s="44" t="n"/>
      <c r="L82" s="45" t="n"/>
      <c r="O82" s="44" t="n"/>
    </row>
    <row r="83">
      <c r="A83" s="43" t="n"/>
      <c r="C83" s="44" t="n"/>
      <c r="D83" s="44" t="n"/>
      <c r="L83" s="45" t="n"/>
      <c r="O83" s="44" t="n"/>
    </row>
    <row r="84">
      <c r="A84" s="43" t="n"/>
      <c r="C84" s="44" t="n"/>
      <c r="D84" s="44" t="n"/>
      <c r="L84" s="45" t="n"/>
      <c r="O84" s="44" t="n"/>
    </row>
    <row r="85">
      <c r="A85" s="43" t="n"/>
      <c r="C85" s="44" t="n"/>
      <c r="D85" s="44" t="n"/>
      <c r="L85" s="45" t="n"/>
      <c r="O85" s="44" t="n"/>
    </row>
    <row r="86">
      <c r="A86" s="43" t="n"/>
      <c r="C86" s="44" t="n"/>
      <c r="D86" s="44" t="n"/>
      <c r="L86" s="45" t="n"/>
      <c r="O86" s="44" t="n"/>
    </row>
    <row r="87">
      <c r="A87" s="43" t="n"/>
      <c r="C87" s="44" t="n"/>
      <c r="D87" s="44" t="n"/>
      <c r="L87" s="45" t="n"/>
      <c r="O87" s="44" t="n"/>
    </row>
    <row r="88">
      <c r="A88" s="43" t="n"/>
      <c r="C88" s="44" t="n"/>
      <c r="D88" s="44" t="n"/>
      <c r="L88" s="45" t="n"/>
      <c r="O88" s="44" t="n"/>
    </row>
    <row r="89">
      <c r="A89" s="43" t="n"/>
      <c r="C89" s="44" t="n"/>
      <c r="D89" s="44" t="n"/>
      <c r="L89" s="45" t="n"/>
      <c r="O89" s="44" t="n"/>
    </row>
    <row r="90">
      <c r="A90" s="43" t="n"/>
      <c r="C90" s="44" t="n"/>
      <c r="D90" s="44" t="n"/>
      <c r="L90" s="45" t="n"/>
      <c r="O90" s="44" t="n"/>
    </row>
    <row r="91">
      <c r="A91" s="43" t="n"/>
      <c r="C91" s="44" t="n"/>
      <c r="D91" s="44" t="n"/>
      <c r="L91" s="45" t="n"/>
      <c r="O91" s="44" t="n"/>
    </row>
    <row r="92">
      <c r="A92" s="43" t="n"/>
      <c r="C92" s="44" t="n"/>
      <c r="D92" s="44" t="n"/>
      <c r="L92" s="45" t="n"/>
      <c r="O92" s="44" t="n"/>
    </row>
    <row r="93">
      <c r="A93" s="43" t="n"/>
      <c r="C93" s="44" t="n"/>
      <c r="D93" s="44" t="n"/>
      <c r="L93" s="45" t="n"/>
      <c r="O93" s="44" t="n"/>
    </row>
    <row r="94">
      <c r="A94" s="43" t="n"/>
      <c r="C94" s="44" t="n"/>
      <c r="D94" s="44" t="n"/>
      <c r="L94" s="45" t="n"/>
      <c r="O94" s="44" t="n"/>
    </row>
    <row r="95">
      <c r="A95" s="43" t="n"/>
      <c r="C95" s="44" t="n"/>
      <c r="D95" s="44" t="n"/>
      <c r="L95" s="45" t="n"/>
      <c r="O95" s="44" t="n"/>
    </row>
    <row r="96">
      <c r="A96" s="43" t="n"/>
      <c r="C96" s="44" t="n"/>
      <c r="D96" s="44" t="n"/>
      <c r="L96" s="45" t="n"/>
      <c r="O96" s="44" t="n"/>
    </row>
    <row r="97">
      <c r="A97" s="43" t="n"/>
      <c r="C97" s="44" t="n"/>
      <c r="D97" s="44" t="n"/>
      <c r="L97" s="45" t="n"/>
      <c r="O97" s="44" t="n"/>
    </row>
    <row r="98">
      <c r="A98" s="43" t="n"/>
      <c r="C98" s="44" t="n"/>
      <c r="D98" s="44" t="n"/>
      <c r="L98" s="45" t="n"/>
      <c r="O98" s="44" t="n"/>
    </row>
    <row r="99">
      <c r="A99" s="43" t="n"/>
      <c r="C99" s="44" t="n"/>
      <c r="D99" s="44" t="n"/>
      <c r="L99" s="45" t="n"/>
      <c r="O99" s="44" t="n"/>
    </row>
    <row r="100">
      <c r="A100" s="43" t="n"/>
      <c r="C100" s="44" t="n"/>
      <c r="D100" s="44" t="n"/>
      <c r="L100" s="45" t="n"/>
      <c r="O100" s="44" t="n"/>
    </row>
    <row r="101">
      <c r="A101" s="43" t="n"/>
      <c r="C101" s="44" t="n"/>
      <c r="D101" s="44" t="n"/>
      <c r="L101" s="45" t="n"/>
      <c r="O101" s="44" t="n"/>
    </row>
    <row r="102">
      <c r="A102" s="43" t="n"/>
      <c r="C102" s="44" t="n"/>
      <c r="D102" s="44" t="n"/>
      <c r="L102" s="45" t="n"/>
      <c r="O102" s="44" t="n"/>
    </row>
    <row r="103">
      <c r="A103" s="43" t="n"/>
      <c r="C103" s="44" t="n"/>
      <c r="D103" s="44" t="n"/>
      <c r="L103" s="45" t="n"/>
      <c r="O103" s="44" t="n"/>
    </row>
    <row r="104">
      <c r="A104" s="43" t="n"/>
      <c r="C104" s="44" t="n"/>
      <c r="D104" s="44" t="n"/>
      <c r="L104" s="45" t="n"/>
      <c r="O104" s="44" t="n"/>
    </row>
    <row r="105">
      <c r="A105" s="43" t="n"/>
      <c r="C105" s="44" t="n"/>
      <c r="D105" s="44" t="n"/>
      <c r="L105" s="45" t="n"/>
      <c r="O105" s="44" t="n"/>
    </row>
    <row r="106">
      <c r="A106" s="43" t="n"/>
      <c r="C106" s="44" t="n"/>
      <c r="D106" s="44" t="n"/>
      <c r="L106" s="45" t="n"/>
      <c r="O106" s="44" t="n"/>
    </row>
    <row r="107">
      <c r="A107" s="43" t="n"/>
      <c r="C107" s="44" t="n"/>
      <c r="D107" s="44" t="n"/>
      <c r="L107" s="45" t="n"/>
      <c r="O107" s="44" t="n"/>
    </row>
    <row r="108">
      <c r="A108" s="43" t="n"/>
      <c r="C108" s="44" t="n"/>
      <c r="D108" s="44" t="n"/>
      <c r="L108" s="45" t="n"/>
      <c r="O108" s="44" t="n"/>
    </row>
    <row r="109">
      <c r="A109" s="43" t="n"/>
      <c r="C109" s="44" t="n"/>
      <c r="D109" s="44" t="n"/>
      <c r="L109" s="45" t="n"/>
      <c r="O109" s="44" t="n"/>
    </row>
    <row r="110">
      <c r="A110" s="43" t="n"/>
      <c r="C110" s="44" t="n"/>
      <c r="D110" s="44" t="n"/>
      <c r="L110" s="45" t="n"/>
      <c r="O110" s="44" t="n"/>
    </row>
    <row r="111">
      <c r="A111" s="43" t="n"/>
      <c r="C111" s="44" t="n"/>
      <c r="D111" s="44" t="n"/>
      <c r="L111" s="45" t="n"/>
      <c r="O111" s="44" t="n"/>
    </row>
    <row r="112">
      <c r="A112" s="43" t="n"/>
      <c r="C112" s="44" t="n"/>
      <c r="D112" s="44" t="n"/>
      <c r="L112" s="45" t="n"/>
      <c r="O112" s="44" t="n"/>
    </row>
    <row r="113">
      <c r="A113" s="43" t="n"/>
      <c r="C113" s="44" t="n"/>
      <c r="D113" s="44" t="n"/>
      <c r="L113" s="45" t="n"/>
      <c r="O113" s="44" t="n"/>
    </row>
    <row r="114">
      <c r="A114" s="43" t="n"/>
      <c r="C114" s="44" t="n"/>
      <c r="D114" s="44" t="n"/>
      <c r="L114" s="45" t="n"/>
      <c r="O114" s="44" t="n"/>
    </row>
    <row r="115">
      <c r="A115" s="43" t="n"/>
      <c r="C115" s="44" t="n"/>
      <c r="D115" s="44" t="n"/>
      <c r="L115" s="45" t="n"/>
      <c r="O115" s="44" t="n"/>
    </row>
    <row r="116">
      <c r="A116" s="43" t="n"/>
      <c r="C116" s="44" t="n"/>
      <c r="D116" s="44" t="n"/>
      <c r="L116" s="45" t="n"/>
      <c r="O116" s="44" t="n"/>
    </row>
    <row r="117">
      <c r="A117" s="43" t="n"/>
      <c r="C117" s="44" t="n"/>
      <c r="D117" s="44" t="n"/>
      <c r="L117" s="45" t="n"/>
      <c r="O117" s="44" t="n"/>
    </row>
    <row r="118">
      <c r="A118" s="43" t="n"/>
      <c r="C118" s="44" t="n"/>
      <c r="D118" s="44" t="n"/>
      <c r="L118" s="45" t="n"/>
      <c r="O118" s="44" t="n"/>
    </row>
    <row r="119">
      <c r="A119" s="43" t="n"/>
      <c r="C119" s="44" t="n"/>
      <c r="D119" s="44" t="n"/>
      <c r="L119" s="45" t="n"/>
      <c r="O119" s="44" t="n"/>
    </row>
    <row r="120">
      <c r="A120" s="43" t="n"/>
      <c r="C120" s="44" t="n"/>
      <c r="D120" s="44" t="n"/>
      <c r="L120" s="45" t="n"/>
      <c r="O120" s="44" t="n"/>
    </row>
    <row r="121">
      <c r="A121" s="43" t="n"/>
      <c r="C121" s="44" t="n"/>
      <c r="D121" s="44" t="n"/>
      <c r="L121" s="45" t="n"/>
      <c r="O121" s="44" t="n"/>
    </row>
    <row r="122">
      <c r="A122" s="43" t="n"/>
      <c r="C122" s="44" t="n"/>
      <c r="D122" s="44" t="n"/>
      <c r="L122" s="45" t="n"/>
      <c r="O122" s="44" t="n"/>
    </row>
    <row r="123">
      <c r="A123" s="43" t="n"/>
      <c r="C123" s="44" t="n"/>
      <c r="D123" s="44" t="n"/>
      <c r="L123" s="45" t="n"/>
      <c r="O123" s="44" t="n"/>
    </row>
    <row r="124">
      <c r="A124" s="43" t="n"/>
      <c r="C124" s="44" t="n"/>
      <c r="D124" s="44" t="n"/>
      <c r="L124" s="45" t="n"/>
      <c r="O124" s="44" t="n"/>
    </row>
    <row r="125">
      <c r="A125" s="43" t="n"/>
      <c r="C125" s="44" t="n"/>
      <c r="D125" s="44" t="n"/>
      <c r="L125" s="45" t="n"/>
      <c r="O125" s="44" t="n"/>
    </row>
    <row r="126">
      <c r="A126" s="43" t="n"/>
      <c r="C126" s="44" t="n"/>
      <c r="D126" s="44" t="n"/>
      <c r="L126" s="45" t="n"/>
      <c r="O126" s="44" t="n"/>
    </row>
    <row r="127">
      <c r="A127" s="43" t="n"/>
      <c r="C127" s="44" t="n"/>
      <c r="D127" s="44" t="n"/>
      <c r="L127" s="45" t="n"/>
      <c r="O127" s="44" t="n"/>
    </row>
    <row r="128">
      <c r="A128" s="43" t="n"/>
      <c r="C128" s="44" t="n"/>
      <c r="D128" s="44" t="n"/>
      <c r="L128" s="45" t="n"/>
      <c r="O128" s="44" t="n"/>
    </row>
    <row r="129">
      <c r="A129" s="43" t="n"/>
      <c r="C129" s="44" t="n"/>
      <c r="D129" s="44" t="n"/>
      <c r="L129" s="45" t="n"/>
      <c r="O129" s="44" t="n"/>
    </row>
    <row r="130">
      <c r="A130" s="43" t="n"/>
      <c r="C130" s="44" t="n"/>
      <c r="D130" s="44" t="n"/>
      <c r="L130" s="45" t="n"/>
      <c r="O130" s="44" t="n"/>
    </row>
    <row r="131">
      <c r="A131" s="43" t="n"/>
      <c r="C131" s="44" t="n"/>
      <c r="D131" s="44" t="n"/>
      <c r="L131" s="45" t="n"/>
      <c r="O131" s="44" t="n"/>
    </row>
    <row r="132">
      <c r="A132" s="43" t="n"/>
      <c r="C132" s="44" t="n"/>
      <c r="D132" s="44" t="n"/>
      <c r="L132" s="45" t="n"/>
      <c r="O132" s="44" t="n"/>
    </row>
    <row r="133">
      <c r="A133" s="43" t="n"/>
      <c r="C133" s="44" t="n"/>
      <c r="D133" s="44" t="n"/>
      <c r="L133" s="45" t="n"/>
      <c r="O133" s="44" t="n"/>
    </row>
    <row r="134">
      <c r="A134" s="43" t="n"/>
      <c r="C134" s="44" t="n"/>
      <c r="D134" s="44" t="n"/>
      <c r="L134" s="45" t="n"/>
      <c r="O134" s="44" t="n"/>
    </row>
    <row r="135">
      <c r="A135" s="43" t="n"/>
      <c r="C135" s="44" t="n"/>
      <c r="D135" s="44" t="n"/>
      <c r="L135" s="45" t="n"/>
      <c r="O135" s="44" t="n"/>
    </row>
    <row r="136">
      <c r="A136" s="43" t="n"/>
      <c r="C136" s="44" t="n"/>
      <c r="D136" s="44" t="n"/>
      <c r="L136" s="45" t="n"/>
      <c r="O136" s="44" t="n"/>
    </row>
    <row r="137">
      <c r="A137" s="43" t="n"/>
      <c r="C137" s="44" t="n"/>
      <c r="D137" s="44" t="n"/>
      <c r="L137" s="45" t="n"/>
      <c r="O137" s="44" t="n"/>
    </row>
    <row r="138">
      <c r="A138" s="43" t="n"/>
      <c r="C138" s="44" t="n"/>
      <c r="D138" s="44" t="n"/>
      <c r="L138" s="45" t="n"/>
      <c r="O138" s="44" t="n"/>
    </row>
    <row r="139">
      <c r="A139" s="43" t="n"/>
      <c r="C139" s="44" t="n"/>
      <c r="D139" s="44" t="n"/>
      <c r="L139" s="45" t="n"/>
      <c r="O139" s="44" t="n"/>
    </row>
    <row r="140">
      <c r="A140" s="43" t="n"/>
      <c r="C140" s="44" t="n"/>
      <c r="D140" s="44" t="n"/>
      <c r="L140" s="45" t="n"/>
      <c r="O140" s="44" t="n"/>
    </row>
    <row r="141">
      <c r="A141" s="43" t="n"/>
      <c r="C141" s="44" t="n"/>
      <c r="D141" s="44" t="n"/>
      <c r="L141" s="45" t="n"/>
      <c r="O141" s="44" t="n"/>
    </row>
    <row r="142">
      <c r="A142" s="43" t="n"/>
      <c r="C142" s="44" t="n"/>
      <c r="D142" s="44" t="n"/>
      <c r="L142" s="45" t="n"/>
      <c r="O142" s="44" t="n"/>
    </row>
    <row r="143">
      <c r="A143" s="43" t="n"/>
      <c r="C143" s="44" t="n"/>
      <c r="D143" s="44" t="n"/>
      <c r="L143" s="45" t="n"/>
      <c r="O143" s="44" t="n"/>
    </row>
    <row r="144">
      <c r="A144" s="43" t="n"/>
      <c r="C144" s="44" t="n"/>
      <c r="D144" s="44" t="n"/>
      <c r="L144" s="45" t="n"/>
      <c r="O144" s="44" t="n"/>
    </row>
    <row r="145">
      <c r="A145" s="43" t="n"/>
      <c r="C145" s="44" t="n"/>
      <c r="D145" s="44" t="n"/>
      <c r="L145" s="45" t="n"/>
      <c r="O145" s="44" t="n"/>
    </row>
    <row r="146">
      <c r="A146" s="43" t="n"/>
      <c r="C146" s="44" t="n"/>
      <c r="D146" s="44" t="n"/>
      <c r="L146" s="45" t="n"/>
      <c r="O146" s="44" t="n"/>
    </row>
    <row r="147">
      <c r="A147" s="43" t="n"/>
      <c r="C147" s="44" t="n"/>
      <c r="D147" s="44" t="n"/>
      <c r="L147" s="45" t="n"/>
      <c r="O147" s="44" t="n"/>
    </row>
    <row r="148">
      <c r="A148" s="43" t="n"/>
      <c r="C148" s="44" t="n"/>
      <c r="D148" s="44" t="n"/>
      <c r="L148" s="45" t="n"/>
      <c r="O148" s="44" t="n"/>
    </row>
    <row r="149">
      <c r="A149" s="43" t="n"/>
      <c r="C149" s="44" t="n"/>
      <c r="D149" s="44" t="n"/>
      <c r="L149" s="45" t="n"/>
      <c r="O149" s="44" t="n"/>
    </row>
    <row r="150">
      <c r="A150" s="43" t="n"/>
      <c r="C150" s="44" t="n"/>
      <c r="D150" s="44" t="n"/>
      <c r="L150" s="45" t="n"/>
      <c r="O150" s="44" t="n"/>
    </row>
    <row r="151">
      <c r="A151" s="43" t="n"/>
      <c r="C151" s="44" t="n"/>
      <c r="D151" s="44" t="n"/>
      <c r="L151" s="45" t="n"/>
      <c r="O151" s="44" t="n"/>
    </row>
    <row r="152">
      <c r="A152" s="43" t="n"/>
      <c r="C152" s="44" t="n"/>
      <c r="D152" s="44" t="n"/>
      <c r="L152" s="45" t="n"/>
      <c r="O152" s="44" t="n"/>
    </row>
    <row r="153">
      <c r="A153" s="43" t="n"/>
      <c r="C153" s="44" t="n"/>
      <c r="D153" s="44" t="n"/>
      <c r="L153" s="45" t="n"/>
      <c r="O153" s="44" t="n"/>
    </row>
    <row r="154">
      <c r="A154" s="43" t="n"/>
      <c r="C154" s="44" t="n"/>
      <c r="D154" s="44" t="n"/>
      <c r="L154" s="45" t="n"/>
      <c r="O154" s="44" t="n"/>
    </row>
    <row r="155">
      <c r="A155" s="43" t="n"/>
      <c r="C155" s="44" t="n"/>
      <c r="D155" s="44" t="n"/>
      <c r="L155" s="45" t="n"/>
      <c r="O155" s="44" t="n"/>
    </row>
    <row r="156">
      <c r="A156" s="43" t="n"/>
      <c r="C156" s="44" t="n"/>
      <c r="D156" s="44" t="n"/>
      <c r="L156" s="45" t="n"/>
      <c r="O156" s="44" t="n"/>
    </row>
    <row r="157">
      <c r="A157" s="43" t="n"/>
      <c r="C157" s="44" t="n"/>
      <c r="D157" s="44" t="n"/>
      <c r="L157" s="45" t="n"/>
      <c r="O157" s="44" t="n"/>
    </row>
    <row r="158">
      <c r="A158" s="43" t="n"/>
      <c r="C158" s="44" t="n"/>
      <c r="D158" s="44" t="n"/>
      <c r="L158" s="45" t="n"/>
      <c r="O158" s="44" t="n"/>
    </row>
    <row r="159">
      <c r="A159" s="43" t="n"/>
      <c r="C159" s="44" t="n"/>
      <c r="D159" s="44" t="n"/>
      <c r="L159" s="45" t="n"/>
      <c r="O159" s="44" t="n"/>
    </row>
    <row r="160">
      <c r="A160" s="43" t="n"/>
      <c r="C160" s="44" t="n"/>
      <c r="D160" s="44" t="n"/>
      <c r="L160" s="45" t="n"/>
      <c r="O160" s="44" t="n"/>
    </row>
    <row r="161">
      <c r="A161" s="43" t="n"/>
      <c r="C161" s="44" t="n"/>
      <c r="D161" s="44" t="n"/>
      <c r="L161" s="45" t="n"/>
      <c r="O161" s="44" t="n"/>
    </row>
    <row r="162">
      <c r="A162" s="43" t="n"/>
      <c r="C162" s="44" t="n"/>
      <c r="D162" s="44" t="n"/>
      <c r="L162" s="45" t="n"/>
      <c r="O162" s="44" t="n"/>
    </row>
    <row r="163">
      <c r="A163" s="43" t="n"/>
      <c r="C163" s="44" t="n"/>
      <c r="D163" s="44" t="n"/>
      <c r="L163" s="45" t="n"/>
      <c r="O163" s="44" t="n"/>
    </row>
    <row r="164">
      <c r="A164" s="43" t="n"/>
      <c r="C164" s="44" t="n"/>
      <c r="D164" s="44" t="n"/>
      <c r="L164" s="45" t="n"/>
      <c r="O164" s="44" t="n"/>
    </row>
    <row r="165">
      <c r="A165" s="43" t="n"/>
      <c r="C165" s="44" t="n"/>
      <c r="D165" s="44" t="n"/>
      <c r="L165" s="45" t="n"/>
      <c r="O165" s="44" t="n"/>
    </row>
    <row r="166">
      <c r="A166" s="43" t="n"/>
      <c r="C166" s="44" t="n"/>
      <c r="D166" s="44" t="n"/>
      <c r="L166" s="45" t="n"/>
      <c r="O166" s="44" t="n"/>
    </row>
    <row r="167">
      <c r="A167" s="43" t="n"/>
      <c r="C167" s="44" t="n"/>
      <c r="D167" s="44" t="n"/>
      <c r="L167" s="45" t="n"/>
      <c r="O167" s="44" t="n"/>
    </row>
    <row r="168">
      <c r="A168" s="43" t="n"/>
      <c r="C168" s="44" t="n"/>
      <c r="D168" s="44" t="n"/>
      <c r="L168" s="45" t="n"/>
      <c r="O168" s="44" t="n"/>
    </row>
    <row r="169">
      <c r="A169" s="43" t="n"/>
      <c r="C169" s="44" t="n"/>
      <c r="D169" s="44" t="n"/>
      <c r="L169" s="45" t="n"/>
      <c r="O169" s="44" t="n"/>
    </row>
    <row r="170">
      <c r="A170" s="43" t="n"/>
      <c r="C170" s="44" t="n"/>
      <c r="D170" s="44" t="n"/>
      <c r="L170" s="45" t="n"/>
      <c r="O170" s="44" t="n"/>
    </row>
    <row r="171">
      <c r="A171" s="43" t="n"/>
      <c r="C171" s="44" t="n"/>
      <c r="D171" s="44" t="n"/>
      <c r="L171" s="45" t="n"/>
      <c r="O171" s="44" t="n"/>
    </row>
    <row r="172">
      <c r="A172" s="43" t="n"/>
      <c r="C172" s="44" t="n"/>
      <c r="D172" s="44" t="n"/>
      <c r="L172" s="45" t="n"/>
      <c r="O172" s="44" t="n"/>
    </row>
    <row r="173">
      <c r="A173" s="43" t="n"/>
      <c r="C173" s="44" t="n"/>
      <c r="D173" s="44" t="n"/>
      <c r="L173" s="45" t="n"/>
      <c r="O173" s="44" t="n"/>
    </row>
    <row r="174">
      <c r="A174" s="43" t="n"/>
      <c r="C174" s="44" t="n"/>
      <c r="D174" s="44" t="n"/>
      <c r="L174" s="45" t="n"/>
      <c r="O174" s="44" t="n"/>
    </row>
    <row r="175">
      <c r="A175" s="43" t="n"/>
      <c r="C175" s="44" t="n"/>
      <c r="D175" s="44" t="n"/>
      <c r="L175" s="45" t="n"/>
      <c r="O175" s="44" t="n"/>
    </row>
    <row r="176">
      <c r="A176" s="43" t="n"/>
      <c r="C176" s="44" t="n"/>
      <c r="D176" s="44" t="n"/>
      <c r="L176" s="45" t="n"/>
      <c r="O176" s="44" t="n"/>
    </row>
    <row r="177">
      <c r="A177" s="43" t="n"/>
      <c r="C177" s="44" t="n"/>
      <c r="D177" s="44" t="n"/>
      <c r="L177" s="45" t="n"/>
      <c r="O177" s="44" t="n"/>
    </row>
    <row r="178">
      <c r="A178" s="43" t="n"/>
      <c r="C178" s="44" t="n"/>
      <c r="D178" s="44" t="n"/>
      <c r="L178" s="45" t="n"/>
      <c r="O178" s="44" t="n"/>
    </row>
    <row r="179">
      <c r="A179" s="43" t="n"/>
      <c r="C179" s="44" t="n"/>
      <c r="D179" s="44" t="n"/>
      <c r="L179" s="45" t="n"/>
      <c r="O179" s="44" t="n"/>
    </row>
    <row r="180">
      <c r="A180" s="43" t="n"/>
      <c r="C180" s="44" t="n"/>
      <c r="D180" s="44" t="n"/>
      <c r="L180" s="45" t="n"/>
      <c r="O180" s="44" t="n"/>
    </row>
    <row r="181">
      <c r="A181" s="43" t="n"/>
      <c r="C181" s="44" t="n"/>
      <c r="D181" s="44" t="n"/>
      <c r="L181" s="45" t="n"/>
      <c r="O181" s="44" t="n"/>
    </row>
    <row r="182">
      <c r="A182" s="43" t="n"/>
      <c r="C182" s="44" t="n"/>
      <c r="D182" s="44" t="n"/>
      <c r="L182" s="45" t="n"/>
      <c r="O182" s="44" t="n"/>
    </row>
    <row r="183">
      <c r="A183" s="43" t="n"/>
      <c r="C183" s="44" t="n"/>
      <c r="D183" s="44" t="n"/>
      <c r="L183" s="45" t="n"/>
      <c r="O183" s="44" t="n"/>
    </row>
    <row r="184">
      <c r="A184" s="43" t="n"/>
      <c r="C184" s="44" t="n"/>
      <c r="D184" s="44" t="n"/>
      <c r="L184" s="45" t="n"/>
      <c r="O184" s="44" t="n"/>
    </row>
    <row r="185">
      <c r="A185" s="43" t="n"/>
      <c r="C185" s="44" t="n"/>
      <c r="D185" s="44" t="n"/>
      <c r="L185" s="45" t="n"/>
      <c r="O185" s="44" t="n"/>
    </row>
    <row r="186">
      <c r="A186" s="43" t="n"/>
      <c r="C186" s="44" t="n"/>
      <c r="D186" s="44" t="n"/>
      <c r="L186" s="45" t="n"/>
      <c r="O186" s="44" t="n"/>
    </row>
    <row r="187">
      <c r="A187" s="43" t="n"/>
      <c r="C187" s="44" t="n"/>
      <c r="D187" s="44" t="n"/>
      <c r="L187" s="45" t="n"/>
      <c r="O187" s="44" t="n"/>
    </row>
    <row r="188">
      <c r="A188" s="43" t="n"/>
      <c r="C188" s="44" t="n"/>
      <c r="D188" s="44" t="n"/>
      <c r="L188" s="45" t="n"/>
      <c r="O188" s="44" t="n"/>
    </row>
    <row r="189">
      <c r="A189" s="43" t="n"/>
      <c r="C189" s="44" t="n"/>
      <c r="D189" s="44" t="n"/>
      <c r="L189" s="45" t="n"/>
      <c r="O189" s="44" t="n"/>
    </row>
    <row r="190">
      <c r="A190" s="43" t="n"/>
      <c r="C190" s="44" t="n"/>
      <c r="D190" s="44" t="n"/>
      <c r="L190" s="45" t="n"/>
      <c r="O190" s="44" t="n"/>
    </row>
    <row r="191">
      <c r="A191" s="43" t="n"/>
      <c r="C191" s="44" t="n"/>
      <c r="D191" s="44" t="n"/>
      <c r="L191" s="45" t="n"/>
      <c r="O191" s="44" t="n"/>
    </row>
    <row r="192">
      <c r="A192" s="43" t="n"/>
      <c r="C192" s="44" t="n"/>
      <c r="D192" s="44" t="n"/>
      <c r="L192" s="45" t="n"/>
      <c r="O192" s="44" t="n"/>
    </row>
    <row r="193">
      <c r="A193" s="43" t="n"/>
      <c r="C193" s="44" t="n"/>
      <c r="D193" s="44" t="n"/>
      <c r="L193" s="45" t="n"/>
      <c r="O193" s="44" t="n"/>
    </row>
    <row r="194">
      <c r="A194" s="43" t="n"/>
      <c r="C194" s="44" t="n"/>
      <c r="D194" s="44" t="n"/>
      <c r="L194" s="45" t="n"/>
      <c r="O194" s="44" t="n"/>
    </row>
    <row r="195">
      <c r="A195" s="43" t="n"/>
      <c r="C195" s="44" t="n"/>
      <c r="D195" s="44" t="n"/>
      <c r="L195" s="45" t="n"/>
      <c r="O195" s="44" t="n"/>
    </row>
    <row r="196">
      <c r="A196" s="43" t="n"/>
      <c r="C196" s="44" t="n"/>
      <c r="D196" s="44" t="n"/>
      <c r="L196" s="45" t="n"/>
      <c r="O196" s="44" t="n"/>
    </row>
    <row r="197">
      <c r="A197" s="43" t="n"/>
      <c r="C197" s="44" t="n"/>
      <c r="D197" s="44" t="n"/>
      <c r="L197" s="45" t="n"/>
      <c r="O197" s="44" t="n"/>
    </row>
    <row r="198">
      <c r="A198" s="43" t="n"/>
      <c r="C198" s="44" t="n"/>
      <c r="D198" s="44" t="n"/>
      <c r="L198" s="45" t="n"/>
      <c r="O198" s="44" t="n"/>
    </row>
    <row r="199">
      <c r="A199" s="43" t="n"/>
      <c r="C199" s="44" t="n"/>
      <c r="D199" s="44" t="n"/>
      <c r="L199" s="45" t="n"/>
      <c r="O199" s="44" t="n"/>
    </row>
    <row r="200">
      <c r="A200" s="43" t="n"/>
      <c r="C200" s="44" t="n"/>
      <c r="D200" s="44" t="n"/>
      <c r="L200" s="45" t="n"/>
      <c r="O200" s="44" t="n"/>
    </row>
    <row r="201">
      <c r="A201" s="43" t="n"/>
      <c r="C201" s="44" t="n"/>
      <c r="D201" s="44" t="n"/>
      <c r="L201" s="45" t="n"/>
      <c r="O201" s="44" t="n"/>
    </row>
    <row r="202">
      <c r="A202" s="43" t="n"/>
      <c r="C202" s="44" t="n"/>
      <c r="D202" s="44" t="n"/>
      <c r="L202" s="45" t="n"/>
      <c r="O202" s="44" t="n"/>
    </row>
    <row r="203">
      <c r="A203" s="43" t="n"/>
      <c r="C203" s="44" t="n"/>
      <c r="D203" s="44" t="n"/>
      <c r="L203" s="45" t="n"/>
      <c r="O203" s="44" t="n"/>
    </row>
    <row r="204">
      <c r="A204" s="43" t="n"/>
      <c r="C204" s="44" t="n"/>
      <c r="D204" s="44" t="n"/>
      <c r="L204" s="45" t="n"/>
      <c r="O204" s="44" t="n"/>
    </row>
    <row r="205">
      <c r="A205" s="43" t="n"/>
      <c r="C205" s="44" t="n"/>
      <c r="D205" s="44" t="n"/>
      <c r="L205" s="45" t="n"/>
      <c r="O205" s="44" t="n"/>
    </row>
    <row r="206">
      <c r="A206" s="43" t="n"/>
      <c r="C206" s="44" t="n"/>
      <c r="D206" s="44" t="n"/>
      <c r="L206" s="45" t="n"/>
      <c r="O206" s="44" t="n"/>
    </row>
    <row r="207">
      <c r="A207" s="43" t="n"/>
      <c r="C207" s="44" t="n"/>
      <c r="D207" s="44" t="n"/>
      <c r="L207" s="45" t="n"/>
      <c r="O207" s="44" t="n"/>
    </row>
    <row r="208">
      <c r="A208" s="43" t="n"/>
      <c r="C208" s="44" t="n"/>
      <c r="D208" s="44" t="n"/>
      <c r="L208" s="45" t="n"/>
      <c r="O208" s="44" t="n"/>
    </row>
    <row r="209">
      <c r="A209" s="43" t="n"/>
      <c r="C209" s="44" t="n"/>
      <c r="D209" s="44" t="n"/>
      <c r="L209" s="45" t="n"/>
      <c r="O209" s="44" t="n"/>
    </row>
    <row r="210">
      <c r="A210" s="43" t="n"/>
      <c r="C210" s="44" t="n"/>
      <c r="D210" s="44" t="n"/>
      <c r="L210" s="45" t="n"/>
      <c r="O210" s="44" t="n"/>
    </row>
    <row r="211">
      <c r="A211" s="43" t="n"/>
      <c r="C211" s="44" t="n"/>
      <c r="D211" s="44" t="n"/>
      <c r="L211" s="45" t="n"/>
      <c r="O211" s="44" t="n"/>
    </row>
    <row r="212">
      <c r="A212" s="43" t="n"/>
      <c r="C212" s="44" t="n"/>
      <c r="D212" s="44" t="n"/>
      <c r="L212" s="45" t="n"/>
      <c r="O212" s="44" t="n"/>
    </row>
    <row r="213">
      <c r="A213" s="43" t="n"/>
      <c r="C213" s="44" t="n"/>
      <c r="D213" s="44" t="n"/>
      <c r="L213" s="45" t="n"/>
      <c r="O213" s="44" t="n"/>
    </row>
    <row r="214">
      <c r="A214" s="43" t="n"/>
      <c r="C214" s="44" t="n"/>
      <c r="D214" s="44" t="n"/>
      <c r="L214" s="45" t="n"/>
      <c r="O214" s="44" t="n"/>
    </row>
    <row r="215">
      <c r="A215" s="43" t="n"/>
      <c r="C215" s="44" t="n"/>
      <c r="D215" s="44" t="n"/>
      <c r="L215" s="45" t="n"/>
      <c r="O215" s="44" t="n"/>
    </row>
    <row r="216">
      <c r="A216" s="43" t="n"/>
      <c r="C216" s="44" t="n"/>
      <c r="D216" s="44" t="n"/>
      <c r="L216" s="45" t="n"/>
      <c r="O216" s="44" t="n"/>
    </row>
    <row r="217">
      <c r="A217" s="43" t="n"/>
      <c r="C217" s="44" t="n"/>
      <c r="D217" s="44" t="n"/>
      <c r="L217" s="45" t="n"/>
      <c r="O217" s="44" t="n"/>
    </row>
    <row r="218">
      <c r="A218" s="43" t="n"/>
      <c r="C218" s="44" t="n"/>
      <c r="D218" s="44" t="n"/>
      <c r="L218" s="45" t="n"/>
      <c r="O218" s="44" t="n"/>
    </row>
    <row r="219">
      <c r="A219" s="43" t="n"/>
      <c r="C219" s="44" t="n"/>
      <c r="D219" s="44" t="n"/>
      <c r="L219" s="45" t="n"/>
      <c r="O219" s="44" t="n"/>
    </row>
    <row r="220">
      <c r="A220" s="43" t="n"/>
      <c r="C220" s="44" t="n"/>
      <c r="D220" s="44" t="n"/>
      <c r="L220" s="45" t="n"/>
      <c r="O220" s="44" t="n"/>
    </row>
    <row r="221">
      <c r="A221" s="43" t="n"/>
      <c r="C221" s="44" t="n"/>
      <c r="D221" s="44" t="n"/>
      <c r="L221" s="45" t="n"/>
      <c r="O221" s="44" t="n"/>
    </row>
    <row r="222">
      <c r="A222" s="43" t="n"/>
      <c r="C222" s="44" t="n"/>
      <c r="D222" s="44" t="n"/>
      <c r="L222" s="45" t="n"/>
      <c r="O222" s="44" t="n"/>
    </row>
    <row r="223">
      <c r="A223" s="43" t="n"/>
      <c r="C223" s="44" t="n"/>
      <c r="D223" s="44" t="n"/>
      <c r="L223" s="45" t="n"/>
      <c r="O223" s="44" t="n"/>
    </row>
    <row r="224">
      <c r="A224" s="43" t="n"/>
      <c r="C224" s="44" t="n"/>
      <c r="D224" s="44" t="n"/>
      <c r="L224" s="45" t="n"/>
      <c r="O224" s="44" t="n"/>
    </row>
    <row r="225">
      <c r="A225" s="43" t="n"/>
      <c r="C225" s="44" t="n"/>
      <c r="D225" s="44" t="n"/>
      <c r="L225" s="45" t="n"/>
      <c r="O225" s="44" t="n"/>
    </row>
    <row r="226">
      <c r="A226" s="43" t="n"/>
      <c r="C226" s="44" t="n"/>
      <c r="D226" s="44" t="n"/>
      <c r="L226" s="45" t="n"/>
      <c r="O226" s="44" t="n"/>
    </row>
    <row r="227">
      <c r="A227" s="43" t="n"/>
      <c r="C227" s="44" t="n"/>
      <c r="D227" s="44" t="n"/>
      <c r="L227" s="45" t="n"/>
      <c r="O227" s="44" t="n"/>
    </row>
    <row r="228">
      <c r="A228" s="43" t="n"/>
      <c r="C228" s="44" t="n"/>
      <c r="D228" s="44" t="n"/>
      <c r="L228" s="45" t="n"/>
      <c r="O228" s="44" t="n"/>
    </row>
    <row r="229">
      <c r="A229" s="43" t="n"/>
      <c r="C229" s="44" t="n"/>
      <c r="D229" s="44" t="n"/>
      <c r="L229" s="45" t="n"/>
      <c r="O229" s="44" t="n"/>
    </row>
    <row r="230">
      <c r="A230" s="43" t="n"/>
      <c r="C230" s="44" t="n"/>
      <c r="D230" s="44" t="n"/>
      <c r="L230" s="45" t="n"/>
      <c r="O230" s="44" t="n"/>
    </row>
    <row r="231">
      <c r="A231" s="43" t="n"/>
      <c r="C231" s="44" t="n"/>
      <c r="D231" s="44" t="n"/>
      <c r="L231" s="45" t="n"/>
      <c r="O231" s="44" t="n"/>
    </row>
    <row r="232">
      <c r="A232" s="43" t="n"/>
      <c r="C232" s="44" t="n"/>
      <c r="D232" s="44" t="n"/>
      <c r="L232" s="45" t="n"/>
      <c r="O232" s="44" t="n"/>
    </row>
    <row r="233">
      <c r="A233" s="43" t="n"/>
      <c r="C233" s="44" t="n"/>
      <c r="D233" s="44" t="n"/>
      <c r="L233" s="45" t="n"/>
      <c r="O233" s="44" t="n"/>
    </row>
    <row r="234">
      <c r="A234" s="43" t="n"/>
      <c r="C234" s="44" t="n"/>
      <c r="D234" s="44" t="n"/>
      <c r="L234" s="45" t="n"/>
      <c r="O234" s="44" t="n"/>
    </row>
    <row r="235">
      <c r="A235" s="43" t="n"/>
      <c r="C235" s="44" t="n"/>
      <c r="D235" s="44" t="n"/>
      <c r="L235" s="45" t="n"/>
      <c r="O235" s="44" t="n"/>
    </row>
    <row r="236">
      <c r="A236" s="43" t="n"/>
      <c r="C236" s="44" t="n"/>
      <c r="D236" s="44" t="n"/>
      <c r="L236" s="45" t="n"/>
      <c r="O236" s="44" t="n"/>
    </row>
    <row r="237">
      <c r="A237" s="43" t="n"/>
      <c r="C237" s="44" t="n"/>
      <c r="D237" s="44" t="n"/>
      <c r="L237" s="45" t="n"/>
      <c r="O237" s="44" t="n"/>
    </row>
    <row r="238">
      <c r="A238" s="43" t="n"/>
      <c r="C238" s="44" t="n"/>
      <c r="D238" s="44" t="n"/>
      <c r="L238" s="45" t="n"/>
      <c r="O238" s="44" t="n"/>
    </row>
    <row r="239">
      <c r="A239" s="43" t="n"/>
      <c r="C239" s="44" t="n"/>
      <c r="D239" s="44" t="n"/>
      <c r="L239" s="45" t="n"/>
      <c r="O239" s="44" t="n"/>
    </row>
    <row r="240">
      <c r="A240" s="43" t="n"/>
      <c r="C240" s="44" t="n"/>
      <c r="D240" s="44" t="n"/>
      <c r="L240" s="45" t="n"/>
      <c r="O240" s="44" t="n"/>
    </row>
    <row r="241">
      <c r="A241" s="43" t="n"/>
      <c r="C241" s="44" t="n"/>
      <c r="D241" s="44" t="n"/>
      <c r="L241" s="45" t="n"/>
      <c r="O241" s="44" t="n"/>
    </row>
    <row r="242">
      <c r="A242" s="43" t="n"/>
      <c r="C242" s="44" t="n"/>
      <c r="D242" s="44" t="n"/>
      <c r="L242" s="45" t="n"/>
      <c r="O242" s="44" t="n"/>
    </row>
    <row r="243">
      <c r="A243" s="43" t="n"/>
      <c r="C243" s="44" t="n"/>
      <c r="D243" s="44" t="n"/>
      <c r="L243" s="45" t="n"/>
      <c r="O243" s="44" t="n"/>
    </row>
    <row r="244">
      <c r="A244" s="43" t="n"/>
      <c r="C244" s="44" t="n"/>
      <c r="D244" s="44" t="n"/>
      <c r="L244" s="45" t="n"/>
      <c r="O244" s="44" t="n"/>
    </row>
    <row r="245">
      <c r="A245" s="43" t="n"/>
      <c r="C245" s="44" t="n"/>
      <c r="D245" s="44" t="n"/>
      <c r="L245" s="45" t="n"/>
      <c r="O245" s="44" t="n"/>
    </row>
    <row r="246">
      <c r="A246" s="43" t="n"/>
      <c r="C246" s="44" t="n"/>
      <c r="D246" s="44" t="n"/>
      <c r="L246" s="45" t="n"/>
      <c r="O246" s="44" t="n"/>
    </row>
    <row r="247">
      <c r="A247" s="43" t="n"/>
      <c r="C247" s="44" t="n"/>
      <c r="D247" s="44" t="n"/>
      <c r="L247" s="45" t="n"/>
      <c r="O247" s="44" t="n"/>
    </row>
    <row r="248">
      <c r="A248" s="43" t="n"/>
      <c r="C248" s="44" t="n"/>
      <c r="D248" s="44" t="n"/>
      <c r="L248" s="45" t="n"/>
      <c r="O248" s="44" t="n"/>
    </row>
    <row r="249">
      <c r="A249" s="43" t="n"/>
      <c r="C249" s="44" t="n"/>
      <c r="D249" s="44" t="n"/>
      <c r="L249" s="45" t="n"/>
      <c r="O249" s="44" t="n"/>
    </row>
    <row r="250">
      <c r="A250" s="43" t="n"/>
      <c r="C250" s="44" t="n"/>
      <c r="D250" s="44" t="n"/>
      <c r="L250" s="45" t="n"/>
      <c r="O250" s="44" t="n"/>
    </row>
    <row r="251">
      <c r="A251" s="43" t="n"/>
      <c r="C251" s="44" t="n"/>
      <c r="D251" s="44" t="n"/>
      <c r="L251" s="45" t="n"/>
      <c r="O251" s="44" t="n"/>
    </row>
    <row r="252">
      <c r="A252" s="43" t="n"/>
      <c r="C252" s="44" t="n"/>
      <c r="D252" s="44" t="n"/>
      <c r="L252" s="45" t="n"/>
      <c r="O252" s="44" t="n"/>
    </row>
    <row r="253">
      <c r="A253" s="43" t="n"/>
      <c r="C253" s="44" t="n"/>
      <c r="D253" s="44" t="n"/>
      <c r="L253" s="45" t="n"/>
      <c r="O253" s="44" t="n"/>
    </row>
    <row r="254">
      <c r="A254" s="43" t="n"/>
      <c r="C254" s="44" t="n"/>
      <c r="D254" s="44" t="n"/>
      <c r="L254" s="45" t="n"/>
      <c r="O254" s="44" t="n"/>
    </row>
    <row r="255">
      <c r="A255" s="43" t="n"/>
      <c r="C255" s="44" t="n"/>
      <c r="D255" s="44" t="n"/>
      <c r="L255" s="45" t="n"/>
      <c r="O255" s="44" t="n"/>
    </row>
    <row r="256">
      <c r="A256" s="43" t="n"/>
      <c r="C256" s="44" t="n"/>
      <c r="D256" s="44" t="n"/>
      <c r="L256" s="45" t="n"/>
      <c r="O256" s="44" t="n"/>
    </row>
    <row r="257">
      <c r="A257" s="43" t="n"/>
      <c r="C257" s="44" t="n"/>
      <c r="D257" s="44" t="n"/>
      <c r="L257" s="45" t="n"/>
      <c r="O257" s="44" t="n"/>
    </row>
    <row r="258">
      <c r="A258" s="43" t="n"/>
      <c r="C258" s="44" t="n"/>
      <c r="D258" s="44" t="n"/>
      <c r="L258" s="45" t="n"/>
      <c r="O258" s="44" t="n"/>
    </row>
    <row r="259">
      <c r="A259" s="43" t="n"/>
      <c r="C259" s="44" t="n"/>
      <c r="D259" s="44" t="n"/>
      <c r="L259" s="45" t="n"/>
      <c r="O259" s="44" t="n"/>
    </row>
    <row r="260">
      <c r="A260" s="43" t="n"/>
      <c r="C260" s="44" t="n"/>
      <c r="D260" s="44" t="n"/>
      <c r="L260" s="45" t="n"/>
      <c r="O260" s="44" t="n"/>
    </row>
    <row r="261">
      <c r="A261" s="43" t="n"/>
      <c r="C261" s="44" t="n"/>
      <c r="D261" s="44" t="n"/>
      <c r="L261" s="45" t="n"/>
      <c r="O261" s="44" t="n"/>
    </row>
    <row r="262">
      <c r="A262" s="43" t="n"/>
      <c r="C262" s="44" t="n"/>
      <c r="D262" s="44" t="n"/>
      <c r="L262" s="45" t="n"/>
      <c r="O262" s="44" t="n"/>
    </row>
    <row r="263">
      <c r="A263" s="43" t="n"/>
      <c r="C263" s="44" t="n"/>
      <c r="D263" s="44" t="n"/>
      <c r="L263" s="45" t="n"/>
      <c r="O263" s="44" t="n"/>
    </row>
    <row r="264">
      <c r="A264" s="43" t="n"/>
      <c r="C264" s="44" t="n"/>
      <c r="D264" s="44" t="n"/>
      <c r="L264" s="45" t="n"/>
      <c r="O264" s="44" t="n"/>
    </row>
    <row r="265">
      <c r="A265" s="43" t="n"/>
      <c r="C265" s="44" t="n"/>
      <c r="D265" s="44" t="n"/>
      <c r="L265" s="45" t="n"/>
      <c r="O265" s="44" t="n"/>
    </row>
    <row r="266">
      <c r="A266" s="43" t="n"/>
      <c r="C266" s="44" t="n"/>
      <c r="D266" s="44" t="n"/>
      <c r="L266" s="45" t="n"/>
      <c r="O266" s="44" t="n"/>
    </row>
    <row r="267">
      <c r="A267" s="43" t="n"/>
      <c r="C267" s="44" t="n"/>
      <c r="D267" s="44" t="n"/>
      <c r="L267" s="45" t="n"/>
      <c r="O267" s="44" t="n"/>
    </row>
    <row r="268">
      <c r="A268" s="43" t="n"/>
      <c r="C268" s="44" t="n"/>
      <c r="D268" s="44" t="n"/>
      <c r="L268" s="45" t="n"/>
      <c r="O268" s="44" t="n"/>
    </row>
    <row r="269">
      <c r="A269" s="43" t="n"/>
      <c r="C269" s="44" t="n"/>
      <c r="D269" s="44" t="n"/>
      <c r="L269" s="45" t="n"/>
      <c r="O269" s="44" t="n"/>
    </row>
    <row r="270">
      <c r="A270" s="43" t="n"/>
      <c r="C270" s="44" t="n"/>
      <c r="D270" s="44" t="n"/>
      <c r="L270" s="45" t="n"/>
      <c r="O270" s="44" t="n"/>
    </row>
    <row r="271">
      <c r="A271" s="43" t="n"/>
      <c r="C271" s="44" t="n"/>
      <c r="D271" s="44" t="n"/>
      <c r="L271" s="45" t="n"/>
      <c r="O271" s="44" t="n"/>
    </row>
    <row r="272">
      <c r="A272" s="43" t="n"/>
      <c r="C272" s="44" t="n"/>
      <c r="D272" s="44" t="n"/>
      <c r="L272" s="45" t="n"/>
      <c r="O272" s="44" t="n"/>
    </row>
    <row r="273">
      <c r="A273" s="43" t="n"/>
      <c r="C273" s="44" t="n"/>
      <c r="D273" s="44" t="n"/>
      <c r="L273" s="45" t="n"/>
      <c r="O273" s="44" t="n"/>
    </row>
    <row r="274">
      <c r="A274" s="43" t="n"/>
      <c r="C274" s="44" t="n"/>
      <c r="D274" s="44" t="n"/>
      <c r="L274" s="45" t="n"/>
      <c r="O274" s="44" t="n"/>
    </row>
    <row r="275">
      <c r="A275" s="43" t="n"/>
      <c r="C275" s="44" t="n"/>
      <c r="D275" s="44" t="n"/>
      <c r="L275" s="45" t="n"/>
      <c r="O275" s="44" t="n"/>
    </row>
    <row r="276">
      <c r="A276" s="43" t="n"/>
      <c r="C276" s="44" t="n"/>
      <c r="D276" s="44" t="n"/>
      <c r="L276" s="45" t="n"/>
      <c r="O276" s="44" t="n"/>
    </row>
    <row r="277">
      <c r="A277" s="43" t="n"/>
      <c r="C277" s="44" t="n"/>
      <c r="D277" s="44" t="n"/>
      <c r="L277" s="45" t="n"/>
      <c r="O277" s="44" t="n"/>
    </row>
    <row r="278">
      <c r="A278" s="43" t="n"/>
      <c r="C278" s="44" t="n"/>
      <c r="D278" s="44" t="n"/>
      <c r="L278" s="45" t="n"/>
      <c r="O278" s="44" t="n"/>
    </row>
    <row r="279">
      <c r="A279" s="43" t="n"/>
      <c r="C279" s="44" t="n"/>
      <c r="D279" s="44" t="n"/>
      <c r="L279" s="45" t="n"/>
      <c r="O279" s="44" t="n"/>
    </row>
    <row r="280">
      <c r="A280" s="43" t="n"/>
      <c r="C280" s="44" t="n"/>
      <c r="D280" s="44" t="n"/>
      <c r="L280" s="45" t="n"/>
      <c r="O280" s="44" t="n"/>
    </row>
    <row r="281">
      <c r="A281" s="43" t="n"/>
      <c r="C281" s="44" t="n"/>
      <c r="D281" s="44" t="n"/>
      <c r="L281" s="45" t="n"/>
      <c r="O281" s="44" t="n"/>
    </row>
    <row r="282">
      <c r="A282" s="43" t="n"/>
      <c r="C282" s="44" t="n"/>
      <c r="D282" s="44" t="n"/>
      <c r="L282" s="45" t="n"/>
      <c r="O282" s="44" t="n"/>
    </row>
    <row r="283">
      <c r="A283" s="43" t="n"/>
      <c r="C283" s="44" t="n"/>
      <c r="D283" s="44" t="n"/>
      <c r="L283" s="45" t="n"/>
      <c r="O283" s="44" t="n"/>
    </row>
    <row r="284">
      <c r="A284" s="43" t="n"/>
      <c r="C284" s="44" t="n"/>
      <c r="D284" s="44" t="n"/>
      <c r="L284" s="45" t="n"/>
      <c r="O284" s="44" t="n"/>
    </row>
    <row r="285">
      <c r="A285" s="43" t="n"/>
      <c r="C285" s="44" t="n"/>
      <c r="D285" s="44" t="n"/>
      <c r="L285" s="45" t="n"/>
      <c r="O285" s="44" t="n"/>
    </row>
    <row r="286">
      <c r="A286" s="43" t="n"/>
      <c r="C286" s="44" t="n"/>
      <c r="D286" s="44" t="n"/>
      <c r="L286" s="45" t="n"/>
      <c r="O286" s="44" t="n"/>
    </row>
    <row r="287">
      <c r="A287" s="43" t="n"/>
      <c r="C287" s="44" t="n"/>
      <c r="D287" s="44" t="n"/>
      <c r="L287" s="45" t="n"/>
      <c r="O287" s="44" t="n"/>
    </row>
    <row r="288">
      <c r="A288" s="43" t="n"/>
      <c r="C288" s="44" t="n"/>
      <c r="D288" s="44" t="n"/>
      <c r="L288" s="45" t="n"/>
      <c r="O288" s="44" t="n"/>
    </row>
    <row r="289">
      <c r="A289" s="43" t="n"/>
      <c r="C289" s="44" t="n"/>
      <c r="D289" s="44" t="n"/>
      <c r="L289" s="45" t="n"/>
      <c r="O289" s="44" t="n"/>
    </row>
    <row r="290">
      <c r="A290" s="43" t="n"/>
      <c r="C290" s="44" t="n"/>
      <c r="D290" s="44" t="n"/>
      <c r="L290" s="45" t="n"/>
      <c r="O290" s="44" t="n"/>
    </row>
    <row r="291">
      <c r="A291" s="43" t="n"/>
      <c r="C291" s="44" t="n"/>
      <c r="D291" s="44" t="n"/>
      <c r="L291" s="45" t="n"/>
      <c r="O291" s="44" t="n"/>
    </row>
    <row r="292">
      <c r="A292" s="43" t="n"/>
      <c r="C292" s="44" t="n"/>
      <c r="D292" s="44" t="n"/>
      <c r="L292" s="45" t="n"/>
      <c r="O292" s="44" t="n"/>
    </row>
    <row r="293">
      <c r="A293" s="43" t="n"/>
      <c r="C293" s="44" t="n"/>
      <c r="D293" s="44" t="n"/>
      <c r="L293" s="45" t="n"/>
      <c r="O293" s="44" t="n"/>
    </row>
    <row r="294">
      <c r="A294" s="43" t="n"/>
      <c r="C294" s="44" t="n"/>
      <c r="D294" s="44" t="n"/>
      <c r="L294" s="45" t="n"/>
      <c r="O294" s="44" t="n"/>
    </row>
    <row r="295">
      <c r="A295" s="43" t="n"/>
      <c r="C295" s="44" t="n"/>
      <c r="D295" s="44" t="n"/>
      <c r="L295" s="45" t="n"/>
      <c r="O295" s="44" t="n"/>
    </row>
    <row r="296">
      <c r="A296" s="43" t="n"/>
      <c r="C296" s="44" t="n"/>
      <c r="D296" s="44" t="n"/>
      <c r="L296" s="45" t="n"/>
      <c r="O296" s="44" t="n"/>
    </row>
    <row r="297">
      <c r="A297" s="43" t="n"/>
      <c r="C297" s="44" t="n"/>
      <c r="D297" s="44" t="n"/>
      <c r="L297" s="45" t="n"/>
      <c r="O297" s="44" t="n"/>
    </row>
    <row r="298">
      <c r="A298" s="43" t="n"/>
      <c r="C298" s="44" t="n"/>
      <c r="D298" s="44" t="n"/>
      <c r="L298" s="45" t="n"/>
      <c r="O298" s="44" t="n"/>
    </row>
    <row r="299">
      <c r="A299" s="43" t="n"/>
      <c r="C299" s="44" t="n"/>
      <c r="D299" s="44" t="n"/>
      <c r="L299" s="45" t="n"/>
      <c r="O299" s="44" t="n"/>
    </row>
    <row r="300">
      <c r="A300" s="43" t="n"/>
      <c r="C300" s="44" t="n"/>
      <c r="D300" s="44" t="n"/>
      <c r="L300" s="45" t="n"/>
      <c r="O300" s="44" t="n"/>
    </row>
    <row r="301">
      <c r="A301" s="43" t="n"/>
      <c r="C301" s="44" t="n"/>
      <c r="D301" s="44" t="n"/>
      <c r="L301" s="45" t="n"/>
      <c r="O301" s="44" t="n"/>
    </row>
    <row r="302">
      <c r="A302" s="43" t="n"/>
      <c r="C302" s="44" t="n"/>
      <c r="D302" s="44" t="n"/>
      <c r="L302" s="45" t="n"/>
      <c r="O302" s="44" t="n"/>
    </row>
    <row r="303">
      <c r="A303" s="43" t="n"/>
      <c r="C303" s="44" t="n"/>
      <c r="D303" s="44" t="n"/>
      <c r="L303" s="45" t="n"/>
      <c r="O303" s="44" t="n"/>
    </row>
    <row r="304">
      <c r="A304" s="43" t="n"/>
      <c r="C304" s="44" t="n"/>
      <c r="D304" s="44" t="n"/>
      <c r="L304" s="45" t="n"/>
      <c r="O304" s="44" t="n"/>
    </row>
    <row r="305">
      <c r="A305" s="43" t="n"/>
      <c r="C305" s="44" t="n"/>
      <c r="D305" s="44" t="n"/>
      <c r="L305" s="45" t="n"/>
      <c r="O305" s="44" t="n"/>
    </row>
    <row r="306">
      <c r="A306" s="43" t="n"/>
      <c r="C306" s="44" t="n"/>
      <c r="D306" s="44" t="n"/>
      <c r="L306" s="45" t="n"/>
      <c r="O306" s="44" t="n"/>
    </row>
    <row r="307">
      <c r="A307" s="43" t="n"/>
      <c r="C307" s="44" t="n"/>
      <c r="D307" s="44" t="n"/>
      <c r="L307" s="45" t="n"/>
      <c r="O307" s="44" t="n"/>
    </row>
    <row r="308">
      <c r="A308" s="43" t="n"/>
      <c r="C308" s="44" t="n"/>
      <c r="D308" s="44" t="n"/>
      <c r="L308" s="45" t="n"/>
      <c r="O308" s="44" t="n"/>
    </row>
    <row r="309">
      <c r="A309" s="43" t="n"/>
      <c r="C309" s="44" t="n"/>
      <c r="D309" s="44" t="n"/>
      <c r="L309" s="45" t="n"/>
      <c r="O309" s="44" t="n"/>
    </row>
    <row r="310">
      <c r="A310" s="43" t="n"/>
      <c r="C310" s="44" t="n"/>
      <c r="D310" s="44" t="n"/>
      <c r="L310" s="45" t="n"/>
      <c r="O310" s="44" t="n"/>
    </row>
    <row r="311">
      <c r="A311" s="43" t="n"/>
      <c r="C311" s="44" t="n"/>
      <c r="D311" s="44" t="n"/>
      <c r="L311" s="45" t="n"/>
      <c r="O311" s="44" t="n"/>
    </row>
    <row r="312">
      <c r="A312" s="43" t="n"/>
      <c r="C312" s="44" t="n"/>
      <c r="D312" s="44" t="n"/>
      <c r="L312" s="45" t="n"/>
      <c r="O312" s="44" t="n"/>
    </row>
    <row r="313">
      <c r="A313" s="43" t="n"/>
      <c r="C313" s="44" t="n"/>
      <c r="D313" s="44" t="n"/>
      <c r="L313" s="45" t="n"/>
      <c r="O313" s="44" t="n"/>
    </row>
    <row r="314">
      <c r="A314" s="43" t="n"/>
      <c r="C314" s="44" t="n"/>
      <c r="D314" s="44" t="n"/>
      <c r="L314" s="45" t="n"/>
      <c r="O314" s="44" t="n"/>
    </row>
    <row r="315">
      <c r="A315" s="43" t="n"/>
      <c r="C315" s="44" t="n"/>
      <c r="D315" s="44" t="n"/>
      <c r="L315" s="45" t="n"/>
      <c r="O315" s="44" t="n"/>
    </row>
    <row r="316">
      <c r="A316" s="43" t="n"/>
      <c r="C316" s="44" t="n"/>
      <c r="D316" s="44" t="n"/>
      <c r="L316" s="45" t="n"/>
      <c r="O316" s="44" t="n"/>
    </row>
    <row r="317">
      <c r="A317" s="43" t="n"/>
      <c r="C317" s="44" t="n"/>
      <c r="D317" s="44" t="n"/>
      <c r="L317" s="45" t="n"/>
      <c r="O317" s="44" t="n"/>
    </row>
    <row r="318">
      <c r="A318" s="43" t="n"/>
      <c r="C318" s="44" t="n"/>
      <c r="D318" s="44" t="n"/>
      <c r="L318" s="45" t="n"/>
      <c r="O318" s="44" t="n"/>
    </row>
    <row r="319">
      <c r="A319" s="43" t="n"/>
      <c r="C319" s="44" t="n"/>
      <c r="D319" s="44" t="n"/>
      <c r="L319" s="45" t="n"/>
      <c r="O319" s="44" t="n"/>
    </row>
    <row r="320">
      <c r="A320" s="43" t="n"/>
      <c r="C320" s="44" t="n"/>
      <c r="D320" s="44" t="n"/>
      <c r="L320" s="45" t="n"/>
      <c r="O320" s="44" t="n"/>
    </row>
    <row r="321">
      <c r="A321" s="43" t="n"/>
      <c r="C321" s="44" t="n"/>
      <c r="D321" s="44" t="n"/>
      <c r="L321" s="45" t="n"/>
      <c r="O321" s="44" t="n"/>
    </row>
    <row r="322">
      <c r="A322" s="43" t="n"/>
      <c r="C322" s="44" t="n"/>
      <c r="D322" s="44" t="n"/>
      <c r="L322" s="45" t="n"/>
      <c r="O322" s="44" t="n"/>
    </row>
    <row r="323">
      <c r="A323" s="43" t="n"/>
      <c r="C323" s="44" t="n"/>
      <c r="D323" s="44" t="n"/>
      <c r="L323" s="45" t="n"/>
      <c r="O323" s="44" t="n"/>
    </row>
    <row r="324">
      <c r="A324" s="43" t="n"/>
      <c r="C324" s="44" t="n"/>
      <c r="D324" s="44" t="n"/>
      <c r="L324" s="45" t="n"/>
      <c r="O324" s="44" t="n"/>
    </row>
    <row r="325">
      <c r="A325" s="43" t="n"/>
      <c r="C325" s="44" t="n"/>
      <c r="D325" s="44" t="n"/>
      <c r="L325" s="45" t="n"/>
      <c r="O325" s="44" t="n"/>
    </row>
    <row r="326">
      <c r="A326" s="43" t="n"/>
      <c r="C326" s="44" t="n"/>
      <c r="D326" s="44" t="n"/>
      <c r="L326" s="45" t="n"/>
      <c r="O326" s="44" t="n"/>
    </row>
    <row r="327">
      <c r="A327" s="43" t="n"/>
      <c r="C327" s="44" t="n"/>
      <c r="D327" s="44" t="n"/>
      <c r="L327" s="45" t="n"/>
      <c r="O327" s="44" t="n"/>
    </row>
    <row r="328">
      <c r="A328" s="43" t="n"/>
      <c r="C328" s="44" t="n"/>
      <c r="D328" s="44" t="n"/>
      <c r="L328" s="45" t="n"/>
      <c r="O328" s="44" t="n"/>
    </row>
    <row r="329">
      <c r="A329" s="43" t="n"/>
      <c r="C329" s="44" t="n"/>
      <c r="D329" s="44" t="n"/>
      <c r="L329" s="45" t="n"/>
      <c r="O329" s="44" t="n"/>
    </row>
    <row r="330">
      <c r="A330" s="43" t="n"/>
      <c r="C330" s="44" t="n"/>
      <c r="D330" s="44" t="n"/>
      <c r="L330" s="45" t="n"/>
      <c r="O330" s="44" t="n"/>
    </row>
    <row r="331">
      <c r="A331" s="43" t="n"/>
      <c r="C331" s="44" t="n"/>
      <c r="D331" s="44" t="n"/>
      <c r="L331" s="45" t="n"/>
      <c r="O331" s="44" t="n"/>
    </row>
    <row r="332">
      <c r="A332" s="43" t="n"/>
      <c r="C332" s="44" t="n"/>
      <c r="D332" s="44" t="n"/>
      <c r="L332" s="45" t="n"/>
      <c r="O332" s="44" t="n"/>
    </row>
    <row r="333">
      <c r="A333" s="43" t="n"/>
      <c r="C333" s="44" t="n"/>
      <c r="D333" s="44" t="n"/>
      <c r="L333" s="45" t="n"/>
      <c r="O333" s="44" t="n"/>
    </row>
    <row r="334">
      <c r="A334" s="43" t="n"/>
      <c r="C334" s="44" t="n"/>
      <c r="D334" s="44" t="n"/>
      <c r="L334" s="45" t="n"/>
      <c r="O334" s="44" t="n"/>
    </row>
    <row r="335">
      <c r="A335" s="43" t="n"/>
      <c r="C335" s="44" t="n"/>
      <c r="D335" s="44" t="n"/>
      <c r="L335" s="45" t="n"/>
      <c r="O335" s="44" t="n"/>
    </row>
    <row r="336">
      <c r="A336" s="43" t="n"/>
      <c r="C336" s="44" t="n"/>
      <c r="D336" s="44" t="n"/>
      <c r="L336" s="45" t="n"/>
      <c r="O336" s="44" t="n"/>
    </row>
    <row r="337">
      <c r="A337" s="43" t="n"/>
      <c r="C337" s="44" t="n"/>
      <c r="D337" s="44" t="n"/>
      <c r="L337" s="45" t="n"/>
      <c r="O337" s="44" t="n"/>
    </row>
    <row r="338">
      <c r="A338" s="43" t="n"/>
      <c r="C338" s="44" t="n"/>
      <c r="D338" s="44" t="n"/>
      <c r="L338" s="45" t="n"/>
      <c r="O338" s="44" t="n"/>
    </row>
    <row r="339">
      <c r="A339" s="43" t="n"/>
      <c r="C339" s="44" t="n"/>
      <c r="D339" s="44" t="n"/>
      <c r="L339" s="45" t="n"/>
      <c r="O339" s="44" t="n"/>
    </row>
    <row r="340">
      <c r="A340" s="43" t="n"/>
      <c r="C340" s="44" t="n"/>
      <c r="D340" s="44" t="n"/>
      <c r="L340" s="45" t="n"/>
      <c r="O340" s="44" t="n"/>
    </row>
    <row r="341">
      <c r="A341" s="43" t="n"/>
      <c r="C341" s="44" t="n"/>
      <c r="D341" s="44" t="n"/>
      <c r="L341" s="45" t="n"/>
      <c r="O341" s="44" t="n"/>
    </row>
    <row r="342">
      <c r="A342" s="43" t="n"/>
      <c r="C342" s="44" t="n"/>
      <c r="D342" s="44" t="n"/>
      <c r="L342" s="45" t="n"/>
      <c r="O342" s="44" t="n"/>
    </row>
    <row r="343">
      <c r="A343" s="43" t="n"/>
      <c r="C343" s="44" t="n"/>
      <c r="D343" s="44" t="n"/>
      <c r="L343" s="45" t="n"/>
      <c r="O343" s="44" t="n"/>
    </row>
    <row r="344">
      <c r="A344" s="43" t="n"/>
      <c r="C344" s="44" t="n"/>
      <c r="D344" s="44" t="n"/>
      <c r="L344" s="45" t="n"/>
      <c r="O344" s="44" t="n"/>
    </row>
    <row r="345">
      <c r="A345" s="43" t="n"/>
      <c r="C345" s="44" t="n"/>
      <c r="D345" s="44" t="n"/>
      <c r="L345" s="45" t="n"/>
      <c r="O345" s="44" t="n"/>
    </row>
    <row r="346">
      <c r="A346" s="43" t="n"/>
      <c r="C346" s="44" t="n"/>
      <c r="D346" s="44" t="n"/>
      <c r="L346" s="45" t="n"/>
      <c r="O346" s="44" t="n"/>
    </row>
    <row r="347">
      <c r="A347" s="43" t="n"/>
      <c r="C347" s="44" t="n"/>
      <c r="D347" s="44" t="n"/>
      <c r="L347" s="45" t="n"/>
      <c r="O347" s="44" t="n"/>
    </row>
    <row r="348">
      <c r="A348" s="43" t="n"/>
      <c r="C348" s="44" t="n"/>
      <c r="D348" s="44" t="n"/>
      <c r="L348" s="45" t="n"/>
      <c r="O348" s="44" t="n"/>
    </row>
    <row r="349">
      <c r="A349" s="43" t="n"/>
      <c r="C349" s="44" t="n"/>
      <c r="D349" s="44" t="n"/>
      <c r="L349" s="45" t="n"/>
      <c r="O349" s="44" t="n"/>
    </row>
    <row r="350">
      <c r="A350" s="43" t="n"/>
      <c r="C350" s="44" t="n"/>
      <c r="D350" s="44" t="n"/>
      <c r="L350" s="45" t="n"/>
      <c r="O350" s="44" t="n"/>
    </row>
    <row r="351">
      <c r="A351" s="43" t="n"/>
      <c r="C351" s="44" t="n"/>
      <c r="D351" s="44" t="n"/>
      <c r="L351" s="45" t="n"/>
      <c r="O351" s="44" t="n"/>
    </row>
    <row r="352">
      <c r="A352" s="43" t="n"/>
      <c r="C352" s="44" t="n"/>
      <c r="D352" s="44" t="n"/>
      <c r="L352" s="45" t="n"/>
      <c r="O352" s="44" t="n"/>
    </row>
    <row r="353">
      <c r="A353" s="43" t="n"/>
      <c r="C353" s="44" t="n"/>
      <c r="D353" s="44" t="n"/>
      <c r="L353" s="45" t="n"/>
      <c r="O353" s="44" t="n"/>
    </row>
    <row r="354">
      <c r="A354" s="43" t="n"/>
      <c r="C354" s="44" t="n"/>
      <c r="D354" s="44" t="n"/>
      <c r="L354" s="45" t="n"/>
      <c r="O354" s="44" t="n"/>
    </row>
    <row r="355">
      <c r="A355" s="43" t="n"/>
      <c r="C355" s="44" t="n"/>
      <c r="D355" s="44" t="n"/>
      <c r="L355" s="45" t="n"/>
      <c r="O355" s="44" t="n"/>
    </row>
    <row r="356">
      <c r="A356" s="43" t="n"/>
      <c r="C356" s="44" t="n"/>
      <c r="D356" s="44" t="n"/>
      <c r="L356" s="45" t="n"/>
      <c r="O356" s="44" t="n"/>
    </row>
    <row r="357">
      <c r="A357" s="43" t="n"/>
      <c r="C357" s="44" t="n"/>
      <c r="D357" s="44" t="n"/>
      <c r="L357" s="45" t="n"/>
      <c r="O357" s="44" t="n"/>
    </row>
    <row r="358">
      <c r="A358" s="43" t="n"/>
      <c r="C358" s="44" t="n"/>
      <c r="D358" s="44" t="n"/>
      <c r="L358" s="45" t="n"/>
      <c r="O358" s="44" t="n"/>
    </row>
    <row r="359">
      <c r="A359" s="43" t="n"/>
      <c r="C359" s="44" t="n"/>
      <c r="D359" s="44" t="n"/>
      <c r="L359" s="45" t="n"/>
      <c r="O359" s="44" t="n"/>
    </row>
    <row r="360">
      <c r="A360" s="43" t="n"/>
      <c r="C360" s="44" t="n"/>
      <c r="D360" s="44" t="n"/>
      <c r="L360" s="45" t="n"/>
      <c r="O360" s="44" t="n"/>
    </row>
    <row r="361">
      <c r="A361" s="43" t="n"/>
      <c r="C361" s="44" t="n"/>
      <c r="D361" s="44" t="n"/>
      <c r="L361" s="45" t="n"/>
      <c r="O361" s="44" t="n"/>
    </row>
    <row r="362">
      <c r="A362" s="43" t="n"/>
      <c r="C362" s="44" t="n"/>
      <c r="D362" s="44" t="n"/>
      <c r="L362" s="45" t="n"/>
      <c r="O362" s="44" t="n"/>
    </row>
    <row r="363">
      <c r="A363" s="43" t="n"/>
      <c r="C363" s="44" t="n"/>
      <c r="D363" s="44" t="n"/>
      <c r="L363" s="45" t="n"/>
      <c r="O363" s="44" t="n"/>
    </row>
    <row r="364">
      <c r="A364" s="43" t="n"/>
      <c r="C364" s="44" t="n"/>
      <c r="D364" s="44" t="n"/>
      <c r="L364" s="45" t="n"/>
      <c r="O364" s="44" t="n"/>
    </row>
    <row r="365">
      <c r="A365" s="43" t="n"/>
      <c r="C365" s="44" t="n"/>
      <c r="D365" s="44" t="n"/>
      <c r="L365" s="45" t="n"/>
      <c r="O365" s="44" t="n"/>
    </row>
    <row r="366">
      <c r="A366" s="43" t="n"/>
      <c r="C366" s="44" t="n"/>
      <c r="D366" s="44" t="n"/>
      <c r="L366" s="45" t="n"/>
      <c r="O366" s="44" t="n"/>
    </row>
    <row r="367">
      <c r="A367" s="43" t="n"/>
      <c r="C367" s="44" t="n"/>
      <c r="D367" s="44" t="n"/>
      <c r="L367" s="45" t="n"/>
      <c r="O367" s="44" t="n"/>
    </row>
    <row r="368">
      <c r="A368" s="43" t="n"/>
      <c r="C368" s="44" t="n"/>
      <c r="D368" s="44" t="n"/>
      <c r="L368" s="45" t="n"/>
      <c r="O368" s="44" t="n"/>
    </row>
    <row r="369">
      <c r="A369" s="43" t="n"/>
      <c r="C369" s="44" t="n"/>
      <c r="D369" s="44" t="n"/>
      <c r="L369" s="45" t="n"/>
      <c r="O369" s="44" t="n"/>
    </row>
    <row r="370">
      <c r="A370" s="43" t="n"/>
      <c r="C370" s="44" t="n"/>
      <c r="D370" s="44" t="n"/>
      <c r="L370" s="45" t="n"/>
      <c r="O370" s="44" t="n"/>
    </row>
    <row r="371">
      <c r="A371" s="43" t="n"/>
      <c r="C371" s="44" t="n"/>
      <c r="D371" s="44" t="n"/>
      <c r="L371" s="45" t="n"/>
      <c r="O371" s="44" t="n"/>
    </row>
    <row r="372">
      <c r="A372" s="43" t="n"/>
      <c r="C372" s="44" t="n"/>
      <c r="D372" s="44" t="n"/>
      <c r="L372" s="45" t="n"/>
      <c r="O372" s="44" t="n"/>
    </row>
    <row r="373">
      <c r="A373" s="43" t="n"/>
      <c r="C373" s="44" t="n"/>
      <c r="D373" s="44" t="n"/>
      <c r="L373" s="45" t="n"/>
      <c r="O373" s="44" t="n"/>
    </row>
    <row r="374">
      <c r="A374" s="43" t="n"/>
      <c r="C374" s="44" t="n"/>
      <c r="D374" s="44" t="n"/>
      <c r="L374" s="45" t="n"/>
      <c r="O374" s="44" t="n"/>
    </row>
    <row r="375">
      <c r="A375" s="43" t="n"/>
      <c r="C375" s="44" t="n"/>
      <c r="D375" s="44" t="n"/>
      <c r="L375" s="45" t="n"/>
      <c r="O375" s="44" t="n"/>
    </row>
    <row r="376">
      <c r="A376" s="43" t="n"/>
      <c r="C376" s="44" t="n"/>
      <c r="D376" s="44" t="n"/>
      <c r="L376" s="45" t="n"/>
      <c r="O376" s="44" t="n"/>
    </row>
    <row r="377">
      <c r="A377" s="43" t="n"/>
      <c r="C377" s="44" t="n"/>
      <c r="D377" s="44" t="n"/>
      <c r="L377" s="45" t="n"/>
      <c r="O377" s="44" t="n"/>
    </row>
    <row r="378">
      <c r="A378" s="43" t="n"/>
      <c r="C378" s="44" t="n"/>
      <c r="D378" s="44" t="n"/>
      <c r="L378" s="45" t="n"/>
      <c r="O378" s="44" t="n"/>
    </row>
    <row r="379">
      <c r="A379" s="43" t="n"/>
      <c r="C379" s="44" t="n"/>
      <c r="D379" s="44" t="n"/>
      <c r="L379" s="45" t="n"/>
      <c r="O379" s="44" t="n"/>
    </row>
    <row r="380">
      <c r="A380" s="43" t="n"/>
      <c r="C380" s="44" t="n"/>
      <c r="D380" s="44" t="n"/>
      <c r="L380" s="45" t="n"/>
      <c r="O380" s="44" t="n"/>
    </row>
    <row r="381">
      <c r="A381" s="43" t="n"/>
      <c r="C381" s="44" t="n"/>
      <c r="D381" s="44" t="n"/>
      <c r="L381" s="45" t="n"/>
      <c r="O381" s="44" t="n"/>
    </row>
    <row r="382">
      <c r="A382" s="43" t="n"/>
      <c r="C382" s="44" t="n"/>
      <c r="D382" s="44" t="n"/>
      <c r="L382" s="45" t="n"/>
      <c r="O382" s="44" t="n"/>
    </row>
    <row r="383">
      <c r="A383" s="43" t="n"/>
      <c r="C383" s="44" t="n"/>
      <c r="D383" s="44" t="n"/>
      <c r="L383" s="45" t="n"/>
      <c r="O383" s="44" t="n"/>
    </row>
    <row r="384">
      <c r="A384" s="43" t="n"/>
      <c r="C384" s="44" t="n"/>
      <c r="D384" s="44" t="n"/>
      <c r="L384" s="45" t="n"/>
      <c r="O384" s="44" t="n"/>
    </row>
    <row r="385">
      <c r="A385" s="43" t="n"/>
      <c r="C385" s="44" t="n"/>
      <c r="D385" s="44" t="n"/>
      <c r="L385" s="45" t="n"/>
      <c r="O385" s="44" t="n"/>
    </row>
    <row r="386">
      <c r="A386" s="43" t="n"/>
      <c r="C386" s="44" t="n"/>
      <c r="D386" s="44" t="n"/>
      <c r="L386" s="45" t="n"/>
      <c r="O386" s="44" t="n"/>
    </row>
    <row r="387">
      <c r="A387" s="43" t="n"/>
      <c r="C387" s="44" t="n"/>
      <c r="D387" s="44" t="n"/>
      <c r="L387" s="45" t="n"/>
      <c r="O387" s="44" t="n"/>
    </row>
    <row r="388">
      <c r="A388" s="43" t="n"/>
      <c r="C388" s="44" t="n"/>
      <c r="D388" s="44" t="n"/>
      <c r="L388" s="45" t="n"/>
      <c r="O388" s="44" t="n"/>
    </row>
    <row r="389">
      <c r="A389" s="43" t="n"/>
      <c r="C389" s="44" t="n"/>
      <c r="D389" s="44" t="n"/>
      <c r="L389" s="45" t="n"/>
      <c r="O389" s="44" t="n"/>
    </row>
    <row r="390">
      <c r="A390" s="43" t="n"/>
      <c r="C390" s="44" t="n"/>
      <c r="D390" s="44" t="n"/>
      <c r="L390" s="45" t="n"/>
      <c r="O390" s="44" t="n"/>
    </row>
    <row r="391">
      <c r="A391" s="43" t="n"/>
      <c r="C391" s="44" t="n"/>
      <c r="D391" s="44" t="n"/>
      <c r="L391" s="45" t="n"/>
      <c r="O391" s="44" t="n"/>
    </row>
    <row r="392">
      <c r="A392" s="43" t="n"/>
      <c r="C392" s="44" t="n"/>
      <c r="D392" s="44" t="n"/>
      <c r="L392" s="45" t="n"/>
      <c r="O392" s="44" t="n"/>
    </row>
    <row r="393">
      <c r="A393" s="43" t="n"/>
      <c r="C393" s="44" t="n"/>
      <c r="D393" s="44" t="n"/>
      <c r="L393" s="45" t="n"/>
      <c r="O393" s="44" t="n"/>
    </row>
    <row r="394">
      <c r="A394" s="43" t="n"/>
      <c r="C394" s="44" t="n"/>
      <c r="D394" s="44" t="n"/>
      <c r="L394" s="45" t="n"/>
      <c r="O394" s="44" t="n"/>
    </row>
    <row r="395">
      <c r="A395" s="43" t="n"/>
      <c r="C395" s="44" t="n"/>
      <c r="D395" s="44" t="n"/>
      <c r="L395" s="45" t="n"/>
      <c r="O395" s="44" t="n"/>
    </row>
    <row r="396">
      <c r="A396" s="43" t="n"/>
      <c r="C396" s="44" t="n"/>
      <c r="D396" s="44" t="n"/>
      <c r="L396" s="45" t="n"/>
      <c r="O396" s="44" t="n"/>
    </row>
    <row r="397">
      <c r="A397" s="43" t="n"/>
      <c r="C397" s="44" t="n"/>
      <c r="D397" s="44" t="n"/>
      <c r="L397" s="45" t="n"/>
      <c r="O397" s="44" t="n"/>
    </row>
    <row r="398">
      <c r="A398" s="43" t="n"/>
      <c r="C398" s="44" t="n"/>
      <c r="D398" s="44" t="n"/>
      <c r="L398" s="45" t="n"/>
      <c r="O398" s="44" t="n"/>
    </row>
    <row r="399">
      <c r="A399" s="43" t="n"/>
      <c r="C399" s="44" t="n"/>
      <c r="D399" s="44" t="n"/>
      <c r="L399" s="45" t="n"/>
      <c r="O399" s="44" t="n"/>
    </row>
    <row r="400">
      <c r="A400" s="43" t="n"/>
      <c r="C400" s="44" t="n"/>
      <c r="D400" s="44" t="n"/>
      <c r="L400" s="45" t="n"/>
      <c r="O400" s="44" t="n"/>
    </row>
    <row r="401">
      <c r="A401" s="43" t="n"/>
      <c r="C401" s="44" t="n"/>
      <c r="D401" s="44" t="n"/>
      <c r="L401" s="45" t="n"/>
      <c r="O401" s="44" t="n"/>
    </row>
    <row r="402">
      <c r="A402" s="43" t="n"/>
      <c r="C402" s="44" t="n"/>
      <c r="D402" s="44" t="n"/>
      <c r="L402" s="45" t="n"/>
      <c r="O402" s="44" t="n"/>
    </row>
    <row r="403">
      <c r="A403" s="43" t="n"/>
      <c r="C403" s="44" t="n"/>
      <c r="D403" s="44" t="n"/>
      <c r="L403" s="45" t="n"/>
      <c r="O403" s="44" t="n"/>
    </row>
    <row r="404">
      <c r="A404" s="43" t="n"/>
      <c r="C404" s="44" t="n"/>
      <c r="D404" s="44" t="n"/>
      <c r="L404" s="45" t="n"/>
      <c r="O404" s="44" t="n"/>
    </row>
    <row r="405">
      <c r="A405" s="43" t="n"/>
      <c r="C405" s="44" t="n"/>
      <c r="D405" s="44" t="n"/>
      <c r="L405" s="45" t="n"/>
      <c r="O405" s="44" t="n"/>
    </row>
    <row r="406">
      <c r="A406" s="43" t="n"/>
      <c r="C406" s="44" t="n"/>
      <c r="D406" s="44" t="n"/>
      <c r="L406" s="45" t="n"/>
      <c r="O406" s="44" t="n"/>
    </row>
    <row r="407">
      <c r="A407" s="43" t="n"/>
      <c r="C407" s="44" t="n"/>
      <c r="D407" s="44" t="n"/>
      <c r="L407" s="45" t="n"/>
      <c r="O407" s="44" t="n"/>
    </row>
    <row r="408">
      <c r="A408" s="43" t="n"/>
      <c r="C408" s="44" t="n"/>
      <c r="D408" s="44" t="n"/>
      <c r="L408" s="45" t="n"/>
      <c r="O408" s="44" t="n"/>
    </row>
    <row r="409">
      <c r="A409" s="43" t="n"/>
      <c r="C409" s="44" t="n"/>
      <c r="D409" s="44" t="n"/>
      <c r="L409" s="45" t="n"/>
      <c r="O409" s="44" t="n"/>
    </row>
    <row r="410">
      <c r="A410" s="43" t="n"/>
      <c r="C410" s="44" t="n"/>
      <c r="D410" s="44" t="n"/>
      <c r="L410" s="45" t="n"/>
      <c r="O410" s="44" t="n"/>
    </row>
    <row r="411">
      <c r="A411" s="43" t="n"/>
      <c r="C411" s="44" t="n"/>
      <c r="D411" s="44" t="n"/>
      <c r="L411" s="45" t="n"/>
      <c r="O411" s="44" t="n"/>
    </row>
    <row r="412">
      <c r="A412" s="43" t="n"/>
      <c r="C412" s="44" t="n"/>
      <c r="D412" s="44" t="n"/>
      <c r="L412" s="45" t="n"/>
      <c r="O412" s="44" t="n"/>
    </row>
    <row r="413">
      <c r="A413" s="43" t="n"/>
      <c r="C413" s="44" t="n"/>
      <c r="D413" s="44" t="n"/>
      <c r="L413" s="45" t="n"/>
      <c r="O413" s="44" t="n"/>
    </row>
    <row r="414">
      <c r="A414" s="43" t="n"/>
      <c r="C414" s="44" t="n"/>
      <c r="D414" s="44" t="n"/>
      <c r="L414" s="45" t="n"/>
      <c r="O414" s="44" t="n"/>
    </row>
    <row r="415">
      <c r="A415" s="43" t="n"/>
      <c r="C415" s="44" t="n"/>
      <c r="D415" s="44" t="n"/>
      <c r="L415" s="45" t="n"/>
      <c r="O415" s="44" t="n"/>
    </row>
    <row r="416">
      <c r="A416" s="43" t="n"/>
      <c r="C416" s="44" t="n"/>
      <c r="D416" s="44" t="n"/>
      <c r="L416" s="45" t="n"/>
      <c r="O416" s="44" t="n"/>
    </row>
    <row r="417">
      <c r="A417" s="43" t="n"/>
      <c r="C417" s="44" t="n"/>
      <c r="D417" s="44" t="n"/>
      <c r="L417" s="45" t="n"/>
      <c r="O417" s="44" t="n"/>
    </row>
    <row r="418">
      <c r="A418" s="43" t="n"/>
      <c r="C418" s="44" t="n"/>
      <c r="D418" s="44" t="n"/>
      <c r="L418" s="45" t="n"/>
      <c r="O418" s="44" t="n"/>
    </row>
    <row r="419">
      <c r="A419" s="43" t="n"/>
      <c r="C419" s="44" t="n"/>
      <c r="D419" s="44" t="n"/>
      <c r="L419" s="45" t="n"/>
      <c r="O419" s="44" t="n"/>
    </row>
    <row r="420">
      <c r="A420" s="43" t="n"/>
      <c r="C420" s="44" t="n"/>
      <c r="D420" s="44" t="n"/>
      <c r="L420" s="45" t="n"/>
      <c r="O420" s="44" t="n"/>
    </row>
    <row r="421">
      <c r="A421" s="43" t="n"/>
      <c r="C421" s="44" t="n"/>
      <c r="D421" s="44" t="n"/>
      <c r="L421" s="45" t="n"/>
      <c r="O421" s="44" t="n"/>
    </row>
    <row r="422">
      <c r="A422" s="43" t="n"/>
      <c r="C422" s="44" t="n"/>
      <c r="D422" s="44" t="n"/>
      <c r="L422" s="45" t="n"/>
      <c r="O422" s="44" t="n"/>
    </row>
    <row r="423">
      <c r="A423" s="43" t="n"/>
      <c r="C423" s="44" t="n"/>
      <c r="D423" s="44" t="n"/>
      <c r="L423" s="45" t="n"/>
      <c r="O423" s="44" t="n"/>
    </row>
    <row r="424">
      <c r="A424" s="43" t="n"/>
      <c r="C424" s="44" t="n"/>
      <c r="D424" s="44" t="n"/>
      <c r="L424" s="45" t="n"/>
      <c r="O424" s="44" t="n"/>
    </row>
    <row r="425">
      <c r="A425" s="43" t="n"/>
      <c r="C425" s="44" t="n"/>
      <c r="D425" s="44" t="n"/>
      <c r="L425" s="45" t="n"/>
      <c r="O425" s="44" t="n"/>
    </row>
    <row r="426">
      <c r="A426" s="43" t="n"/>
      <c r="C426" s="44" t="n"/>
      <c r="D426" s="44" t="n"/>
      <c r="L426" s="45" t="n"/>
      <c r="O426" s="44" t="n"/>
    </row>
    <row r="427">
      <c r="A427" s="43" t="n"/>
      <c r="C427" s="44" t="n"/>
      <c r="D427" s="44" t="n"/>
      <c r="L427" s="45" t="n"/>
      <c r="O427" s="44" t="n"/>
    </row>
    <row r="428">
      <c r="A428" s="43" t="n"/>
      <c r="C428" s="44" t="n"/>
      <c r="D428" s="44" t="n"/>
      <c r="L428" s="45" t="n"/>
      <c r="O428" s="44" t="n"/>
    </row>
    <row r="429">
      <c r="A429" s="43" t="n"/>
      <c r="C429" s="44" t="n"/>
      <c r="D429" s="44" t="n"/>
      <c r="L429" s="45" t="n"/>
      <c r="O429" s="44" t="n"/>
    </row>
    <row r="430">
      <c r="A430" s="43" t="n"/>
      <c r="C430" s="44" t="n"/>
      <c r="D430" s="44" t="n"/>
      <c r="L430" s="45" t="n"/>
      <c r="O430" s="44" t="n"/>
    </row>
    <row r="431">
      <c r="A431" s="43" t="n"/>
      <c r="C431" s="44" t="n"/>
      <c r="D431" s="44" t="n"/>
      <c r="L431" s="45" t="n"/>
      <c r="O431" s="44" t="n"/>
    </row>
    <row r="432">
      <c r="A432" s="43" t="n"/>
      <c r="C432" s="44" t="n"/>
      <c r="D432" s="44" t="n"/>
      <c r="L432" s="45" t="n"/>
      <c r="O432" s="44" t="n"/>
    </row>
    <row r="433">
      <c r="A433" s="43" t="n"/>
      <c r="C433" s="44" t="n"/>
      <c r="D433" s="44" t="n"/>
      <c r="L433" s="45" t="n"/>
      <c r="O433" s="44" t="n"/>
    </row>
    <row r="434">
      <c r="A434" s="43" t="n"/>
      <c r="C434" s="44" t="n"/>
      <c r="D434" s="44" t="n"/>
      <c r="L434" s="45" t="n"/>
      <c r="O434" s="44" t="n"/>
    </row>
    <row r="435">
      <c r="A435" s="43" t="n"/>
      <c r="C435" s="44" t="n"/>
      <c r="D435" s="44" t="n"/>
      <c r="L435" s="45" t="n"/>
      <c r="O435" s="44" t="n"/>
    </row>
    <row r="436">
      <c r="A436" s="43" t="n"/>
      <c r="C436" s="44" t="n"/>
      <c r="D436" s="44" t="n"/>
      <c r="L436" s="45" t="n"/>
      <c r="O436" s="44" t="n"/>
    </row>
    <row r="437">
      <c r="A437" s="43" t="n"/>
      <c r="C437" s="44" t="n"/>
      <c r="D437" s="44" t="n"/>
      <c r="L437" s="45" t="n"/>
      <c r="O437" s="44" t="n"/>
    </row>
    <row r="438">
      <c r="A438" s="43" t="n"/>
      <c r="C438" s="44" t="n"/>
      <c r="D438" s="44" t="n"/>
      <c r="L438" s="45" t="n"/>
      <c r="O438" s="44" t="n"/>
    </row>
    <row r="439">
      <c r="A439" s="43" t="n"/>
      <c r="C439" s="44" t="n"/>
      <c r="D439" s="44" t="n"/>
      <c r="L439" s="45" t="n"/>
      <c r="O439" s="44" t="n"/>
    </row>
    <row r="440">
      <c r="A440" s="43" t="n"/>
      <c r="C440" s="44" t="n"/>
      <c r="D440" s="44" t="n"/>
      <c r="L440" s="45" t="n"/>
      <c r="O440" s="44" t="n"/>
    </row>
    <row r="441">
      <c r="A441" s="43" t="n"/>
      <c r="C441" s="44" t="n"/>
      <c r="D441" s="44" t="n"/>
      <c r="L441" s="45" t="n"/>
      <c r="O441" s="44" t="n"/>
    </row>
    <row r="442">
      <c r="A442" s="43" t="n"/>
      <c r="C442" s="44" t="n"/>
      <c r="D442" s="44" t="n"/>
      <c r="L442" s="45" t="n"/>
      <c r="O442" s="44" t="n"/>
    </row>
    <row r="443">
      <c r="A443" s="43" t="n"/>
      <c r="C443" s="44" t="n"/>
      <c r="D443" s="44" t="n"/>
      <c r="L443" s="45" t="n"/>
      <c r="O443" s="44" t="n"/>
    </row>
    <row r="444">
      <c r="A444" s="43" t="n"/>
      <c r="C444" s="44" t="n"/>
      <c r="D444" s="44" t="n"/>
      <c r="L444" s="45" t="n"/>
      <c r="O444" s="44" t="n"/>
    </row>
    <row r="445">
      <c r="A445" s="43" t="n"/>
      <c r="C445" s="44" t="n"/>
      <c r="D445" s="44" t="n"/>
      <c r="L445" s="45" t="n"/>
      <c r="O445" s="44" t="n"/>
    </row>
    <row r="446">
      <c r="A446" s="43" t="n"/>
      <c r="C446" s="44" t="n"/>
      <c r="D446" s="44" t="n"/>
      <c r="L446" s="45" t="n"/>
      <c r="O446" s="44" t="n"/>
    </row>
    <row r="447">
      <c r="A447" s="43" t="n"/>
      <c r="C447" s="44" t="n"/>
      <c r="D447" s="44" t="n"/>
      <c r="L447" s="45" t="n"/>
      <c r="O447" s="44" t="n"/>
    </row>
    <row r="448">
      <c r="A448" s="43" t="n"/>
      <c r="C448" s="44" t="n"/>
      <c r="D448" s="44" t="n"/>
      <c r="L448" s="45" t="n"/>
      <c r="O448" s="44" t="n"/>
    </row>
    <row r="449">
      <c r="A449" s="43" t="n"/>
      <c r="C449" s="44" t="n"/>
      <c r="D449" s="44" t="n"/>
      <c r="L449" s="45" t="n"/>
      <c r="O449" s="44" t="n"/>
    </row>
    <row r="450">
      <c r="A450" s="43" t="n"/>
      <c r="C450" s="44" t="n"/>
      <c r="D450" s="44" t="n"/>
      <c r="L450" s="45" t="n"/>
      <c r="O450" s="44" t="n"/>
    </row>
    <row r="451">
      <c r="A451" s="43" t="n"/>
      <c r="C451" s="44" t="n"/>
      <c r="D451" s="44" t="n"/>
      <c r="L451" s="45" t="n"/>
      <c r="O451" s="44" t="n"/>
    </row>
    <row r="452">
      <c r="A452" s="43" t="n"/>
      <c r="C452" s="44" t="n"/>
      <c r="D452" s="44" t="n"/>
      <c r="L452" s="45" t="n"/>
      <c r="O452" s="44" t="n"/>
    </row>
    <row r="453">
      <c r="A453" s="43" t="n"/>
      <c r="C453" s="44" t="n"/>
      <c r="D453" s="44" t="n"/>
      <c r="L453" s="45" t="n"/>
      <c r="O453" s="44" t="n"/>
    </row>
    <row r="454">
      <c r="A454" s="43" t="n"/>
      <c r="C454" s="44" t="n"/>
      <c r="D454" s="44" t="n"/>
      <c r="L454" s="45" t="n"/>
      <c r="O454" s="44" t="n"/>
    </row>
    <row r="455">
      <c r="A455" s="43" t="n"/>
      <c r="C455" s="44" t="n"/>
      <c r="D455" s="44" t="n"/>
      <c r="L455" s="45" t="n"/>
      <c r="O455" s="44" t="n"/>
    </row>
    <row r="456">
      <c r="A456" s="43" t="n"/>
      <c r="C456" s="44" t="n"/>
      <c r="D456" s="44" t="n"/>
      <c r="L456" s="45" t="n"/>
      <c r="O456" s="44" t="n"/>
    </row>
    <row r="457">
      <c r="A457" s="43" t="n"/>
      <c r="C457" s="44" t="n"/>
      <c r="D457" s="44" t="n"/>
      <c r="L457" s="45" t="n"/>
      <c r="O457" s="44" t="n"/>
    </row>
    <row r="458">
      <c r="A458" s="43" t="n"/>
      <c r="C458" s="44" t="n"/>
      <c r="D458" s="44" t="n"/>
      <c r="L458" s="45" t="n"/>
      <c r="O458" s="44" t="n"/>
    </row>
    <row r="459">
      <c r="A459" s="43" t="n"/>
      <c r="C459" s="44" t="n"/>
      <c r="D459" s="44" t="n"/>
      <c r="L459" s="45" t="n"/>
      <c r="O459" s="44" t="n"/>
    </row>
    <row r="460">
      <c r="A460" s="43" t="n"/>
      <c r="C460" s="44" t="n"/>
      <c r="D460" s="44" t="n"/>
      <c r="L460" s="45" t="n"/>
      <c r="O460" s="44" t="n"/>
    </row>
    <row r="461">
      <c r="A461" s="43" t="n"/>
      <c r="C461" s="44" t="n"/>
      <c r="D461" s="44" t="n"/>
      <c r="L461" s="45" t="n"/>
      <c r="O461" s="44" t="n"/>
    </row>
    <row r="462">
      <c r="A462" s="43" t="n"/>
      <c r="C462" s="44" t="n"/>
      <c r="D462" s="44" t="n"/>
      <c r="L462" s="45" t="n"/>
      <c r="O462" s="44" t="n"/>
    </row>
    <row r="463">
      <c r="A463" s="43" t="n"/>
      <c r="C463" s="44" t="n"/>
      <c r="D463" s="44" t="n"/>
      <c r="L463" s="45" t="n"/>
      <c r="O463" s="44" t="n"/>
    </row>
    <row r="464">
      <c r="A464" s="43" t="n"/>
      <c r="C464" s="44" t="n"/>
      <c r="D464" s="44" t="n"/>
      <c r="L464" s="45" t="n"/>
      <c r="O464" s="44" t="n"/>
    </row>
    <row r="465">
      <c r="A465" s="43" t="n"/>
      <c r="C465" s="44" t="n"/>
      <c r="D465" s="44" t="n"/>
      <c r="L465" s="45" t="n"/>
      <c r="O465" s="44" t="n"/>
    </row>
    <row r="466">
      <c r="A466" s="43" t="n"/>
      <c r="C466" s="44" t="n"/>
      <c r="D466" s="44" t="n"/>
      <c r="L466" s="45" t="n"/>
      <c r="O466" s="44" t="n"/>
    </row>
    <row r="467">
      <c r="A467" s="43" t="n"/>
      <c r="C467" s="44" t="n"/>
      <c r="D467" s="44" t="n"/>
      <c r="L467" s="45" t="n"/>
      <c r="O467" s="44" t="n"/>
    </row>
    <row r="468">
      <c r="A468" s="43" t="n"/>
      <c r="C468" s="44" t="n"/>
      <c r="D468" s="44" t="n"/>
      <c r="L468" s="45" t="n"/>
      <c r="O468" s="44" t="n"/>
    </row>
    <row r="469">
      <c r="A469" s="43" t="n"/>
      <c r="C469" s="44" t="n"/>
      <c r="D469" s="44" t="n"/>
      <c r="L469" s="45" t="n"/>
      <c r="O469" s="44" t="n"/>
    </row>
    <row r="470">
      <c r="A470" s="43" t="n"/>
      <c r="C470" s="44" t="n"/>
      <c r="D470" s="44" t="n"/>
      <c r="L470" s="45" t="n"/>
      <c r="O470" s="44" t="n"/>
    </row>
    <row r="471">
      <c r="A471" s="43" t="n"/>
      <c r="C471" s="44" t="n"/>
      <c r="D471" s="44" t="n"/>
      <c r="L471" s="45" t="n"/>
      <c r="O471" s="44" t="n"/>
    </row>
    <row r="472">
      <c r="A472" s="43" t="n"/>
      <c r="C472" s="44" t="n"/>
      <c r="D472" s="44" t="n"/>
      <c r="L472" s="45" t="n"/>
      <c r="O472" s="44" t="n"/>
    </row>
    <row r="473">
      <c r="A473" s="43" t="n"/>
      <c r="C473" s="44" t="n"/>
      <c r="D473" s="44" t="n"/>
      <c r="L473" s="45" t="n"/>
      <c r="O473" s="44" t="n"/>
    </row>
    <row r="474">
      <c r="A474" s="43" t="n"/>
      <c r="C474" s="44" t="n"/>
      <c r="D474" s="44" t="n"/>
      <c r="L474" s="45" t="n"/>
      <c r="O474" s="44" t="n"/>
    </row>
    <row r="475">
      <c r="A475" s="43" t="n"/>
      <c r="C475" s="44" t="n"/>
      <c r="D475" s="44" t="n"/>
      <c r="L475" s="45" t="n"/>
      <c r="O475" s="44" t="n"/>
    </row>
    <row r="476">
      <c r="A476" s="43" t="n"/>
      <c r="C476" s="44" t="n"/>
      <c r="D476" s="44" t="n"/>
      <c r="L476" s="45" t="n"/>
      <c r="O476" s="44" t="n"/>
    </row>
    <row r="477">
      <c r="A477" s="43" t="n"/>
      <c r="C477" s="44" t="n"/>
      <c r="D477" s="44" t="n"/>
      <c r="L477" s="45" t="n"/>
      <c r="O477" s="44" t="n"/>
    </row>
    <row r="478">
      <c r="A478" s="43" t="n"/>
      <c r="C478" s="44" t="n"/>
      <c r="D478" s="44" t="n"/>
      <c r="L478" s="45" t="n"/>
      <c r="O478" s="44" t="n"/>
    </row>
    <row r="479">
      <c r="A479" s="43" t="n"/>
      <c r="C479" s="44" t="n"/>
      <c r="D479" s="44" t="n"/>
      <c r="L479" s="45" t="n"/>
      <c r="O479" s="44" t="n"/>
    </row>
    <row r="480">
      <c r="A480" s="43" t="n"/>
      <c r="C480" s="44" t="n"/>
      <c r="D480" s="44" t="n"/>
      <c r="L480" s="45" t="n"/>
      <c r="O480" s="44" t="n"/>
    </row>
    <row r="481">
      <c r="A481" s="43" t="n"/>
      <c r="C481" s="44" t="n"/>
      <c r="D481" s="44" t="n"/>
      <c r="L481" s="45" t="n"/>
      <c r="O481" s="44" t="n"/>
    </row>
    <row r="482">
      <c r="A482" s="43" t="n"/>
      <c r="C482" s="44" t="n"/>
      <c r="D482" s="44" t="n"/>
      <c r="L482" s="45" t="n"/>
      <c r="O482" s="44" t="n"/>
    </row>
    <row r="483">
      <c r="A483" s="43" t="n"/>
      <c r="C483" s="44" t="n"/>
      <c r="D483" s="44" t="n"/>
      <c r="L483" s="45" t="n"/>
      <c r="O483" s="44" t="n"/>
    </row>
    <row r="484">
      <c r="A484" s="43" t="n"/>
      <c r="C484" s="44" t="n"/>
      <c r="D484" s="44" t="n"/>
      <c r="L484" s="45" t="n"/>
      <c r="O484" s="44" t="n"/>
    </row>
    <row r="485">
      <c r="A485" s="43" t="n"/>
      <c r="C485" s="44" t="n"/>
      <c r="D485" s="44" t="n"/>
      <c r="L485" s="45" t="n"/>
      <c r="O485" s="44" t="n"/>
    </row>
    <row r="486">
      <c r="A486" s="43" t="n"/>
      <c r="C486" s="44" t="n"/>
      <c r="D486" s="44" t="n"/>
      <c r="L486" s="45" t="n"/>
      <c r="O486" s="44" t="n"/>
    </row>
    <row r="487">
      <c r="A487" s="43" t="n"/>
      <c r="C487" s="44" t="n"/>
      <c r="D487" s="44" t="n"/>
      <c r="L487" s="45" t="n"/>
      <c r="O487" s="44" t="n"/>
    </row>
    <row r="488">
      <c r="A488" s="43" t="n"/>
      <c r="C488" s="44" t="n"/>
      <c r="D488" s="44" t="n"/>
      <c r="L488" s="45" t="n"/>
      <c r="O488" s="44" t="n"/>
    </row>
    <row r="489">
      <c r="A489" s="43" t="n"/>
      <c r="C489" s="44" t="n"/>
      <c r="D489" s="44" t="n"/>
      <c r="L489" s="45" t="n"/>
      <c r="O489" s="44" t="n"/>
    </row>
    <row r="490">
      <c r="A490" s="43" t="n"/>
      <c r="C490" s="44" t="n"/>
      <c r="D490" s="44" t="n"/>
      <c r="L490" s="45" t="n"/>
      <c r="O490" s="44" t="n"/>
    </row>
    <row r="491">
      <c r="A491" s="43" t="n"/>
      <c r="C491" s="44" t="n"/>
      <c r="D491" s="44" t="n"/>
      <c r="L491" s="45" t="n"/>
      <c r="O491" s="44" t="n"/>
    </row>
    <row r="492">
      <c r="A492" s="43" t="n"/>
      <c r="C492" s="44" t="n"/>
      <c r="D492" s="44" t="n"/>
      <c r="L492" s="45" t="n"/>
      <c r="O492" s="44" t="n"/>
    </row>
    <row r="493">
      <c r="A493" s="43" t="n"/>
      <c r="C493" s="44" t="n"/>
      <c r="D493" s="44" t="n"/>
      <c r="L493" s="45" t="n"/>
      <c r="O493" s="44" t="n"/>
    </row>
    <row r="494">
      <c r="A494" s="43" t="n"/>
      <c r="C494" s="44" t="n"/>
      <c r="D494" s="44" t="n"/>
      <c r="L494" s="45" t="n"/>
      <c r="O494" s="44" t="n"/>
    </row>
    <row r="495">
      <c r="A495" s="43" t="n"/>
      <c r="C495" s="44" t="n"/>
      <c r="D495" s="44" t="n"/>
      <c r="L495" s="45" t="n"/>
      <c r="O495" s="44" t="n"/>
    </row>
    <row r="496">
      <c r="A496" s="43" t="n"/>
      <c r="C496" s="44" t="n"/>
      <c r="D496" s="44" t="n"/>
      <c r="L496" s="45" t="n"/>
      <c r="O496" s="44" t="n"/>
    </row>
    <row r="497">
      <c r="A497" s="43" t="n"/>
      <c r="C497" s="44" t="n"/>
      <c r="D497" s="44" t="n"/>
      <c r="L497" s="45" t="n"/>
      <c r="O497" s="44" t="n"/>
    </row>
    <row r="498">
      <c r="A498" s="43" t="n"/>
      <c r="C498" s="44" t="n"/>
      <c r="D498" s="44" t="n"/>
      <c r="L498" s="45" t="n"/>
      <c r="O498" s="44" t="n"/>
    </row>
    <row r="499">
      <c r="A499" s="43" t="n"/>
      <c r="C499" s="44" t="n"/>
      <c r="D499" s="44" t="n"/>
      <c r="L499" s="45" t="n"/>
      <c r="O499" s="44" t="n"/>
    </row>
    <row r="500">
      <c r="A500" s="43" t="n"/>
      <c r="C500" s="44" t="n"/>
      <c r="D500" s="44" t="n"/>
      <c r="L500" s="45" t="n"/>
      <c r="O500" s="44" t="n"/>
    </row>
    <row r="501">
      <c r="A501" s="43" t="n"/>
      <c r="C501" s="44" t="n"/>
      <c r="D501" s="44" t="n"/>
      <c r="L501" s="45" t="n"/>
      <c r="O501" s="44" t="n"/>
    </row>
    <row r="502">
      <c r="A502" s="43" t="n"/>
      <c r="C502" s="44" t="n"/>
      <c r="D502" s="44" t="n"/>
      <c r="L502" s="45" t="n"/>
      <c r="O502" s="44" t="n"/>
    </row>
    <row r="503">
      <c r="A503" s="43" t="n"/>
      <c r="C503" s="44" t="n"/>
      <c r="D503" s="44" t="n"/>
      <c r="L503" s="45" t="n"/>
      <c r="O503" s="44" t="n"/>
    </row>
    <row r="504">
      <c r="A504" s="43" t="n"/>
      <c r="C504" s="44" t="n"/>
      <c r="D504" s="44" t="n"/>
      <c r="L504" s="45" t="n"/>
      <c r="O504" s="44" t="n"/>
    </row>
  </sheetData>
  <autoFilter ref="A3:X504"/>
  <conditionalFormatting sqref="F2">
    <cfRule type="cellIs" priority="1" operator="lessThan" dxfId="0">
      <formula>0</formula>
    </cfRule>
    <cfRule type="cellIs" priority="2" operator="greaterThanOrEqual" dxfId="1">
      <formula>0</formula>
    </cfRule>
  </conditionalFormatting>
  <conditionalFormatting sqref="H2">
    <cfRule type="cellIs" priority="3" operator="lessThan" dxfId="0">
      <formula>0.9</formula>
    </cfRule>
    <cfRule type="cellIs" priority="4" operator="greaterThanOrEqual" dxfId="1">
      <formula>1</formula>
    </cfRule>
  </conditionalFormatting>
  <conditionalFormatting sqref="R2">
    <cfRule type="cellIs" priority="5" operator="lessThan" dxfId="0">
      <formula>P2</formula>
    </cfRule>
  </conditionalFormatting>
  <dataValidations count="10">
    <dataValidation sqref="B5:B504" showDropDown="0" showInputMessage="0" showErrorMessage="0" allowBlank="1" type="list">
      <formula1>'選択肢マスター'!$A$2:$A$3</formula1>
    </dataValidation>
    <dataValidation sqref="E5:E504" showDropDown="0" showInputMessage="0" showErrorMessage="0" allowBlank="1" type="list">
      <formula1>'選択肢マスター'!$B$2:$B$23</formula1>
    </dataValidation>
    <dataValidation sqref="M5:M504" showDropDown="0" showInputMessage="0" showErrorMessage="0" allowBlank="1" type="list">
      <formula1>'選択肢マスター'!$C$2:$C$16</formula1>
    </dataValidation>
    <dataValidation sqref="N5:N504" showDropDown="0" showInputMessage="0" showErrorMessage="0" allowBlank="1" type="list">
      <formula1>'選択肢マスター'!$D$2:$D$7</formula1>
    </dataValidation>
    <dataValidation sqref="P5:P504" showDropDown="0" showInputMessage="0" showErrorMessage="0" allowBlank="1" type="list">
      <formula1>'選択肢マスター'!$E$2:$E$5</formula1>
    </dataValidation>
    <dataValidation sqref="Q5:Q504" showDropDown="0" showInputMessage="0" showErrorMessage="0" allowBlank="1" type="list">
      <formula1>'選択肢マスター'!$F$2:$F$5</formula1>
    </dataValidation>
    <dataValidation sqref="S5:S504" showDropDown="0" showInputMessage="0" showErrorMessage="0" allowBlank="1" type="list">
      <formula1>'選択肢マスター'!$G$2:$G$8</formula1>
    </dataValidation>
    <dataValidation sqref="T5:T504" showDropDown="0" showInputMessage="0" showErrorMessage="0" allowBlank="1" type="list">
      <formula1>'選択肢マスター'!$J$2:$J$3</formula1>
    </dataValidation>
    <dataValidation sqref="U5:U504" showDropDown="0" showInputMessage="0" showErrorMessage="0" allowBlank="1" type="list">
      <formula1>'選択肢マスター'!$H$2:$H$5</formula1>
    </dataValidation>
    <dataValidation sqref="V5:V504" showDropDown="0" showInputMessage="0" showErrorMessage="0" allowBlank="1" type="list">
      <formula1>'選択肢マスター'!$I$2:$I$5</formula1>
    </dataValidation>
  </dataValidations>
  <pageMargins left="0.75" right="0.75" top="1" bottom="1" header="0.5" footer="0.5"/>
</worksheet>
</file>

<file path=xl/worksheets/sheet8.xml><?xml version="1.0" encoding="utf-8"?>
<worksheet xmlns="http://schemas.openxmlformats.org/spreadsheetml/2006/main">
  <sheetPr>
    <tabColor rgb="002E75B6"/>
    <outlinePr summaryBelow="1" summaryRight="1"/>
    <pageSetUpPr/>
  </sheetPr>
  <dimension ref="A1:X504"/>
  <sheetViews>
    <sheetView workbookViewId="0">
      <pane ySplit="4" topLeftCell="A5" activePane="bottomLeft" state="frozen"/>
      <selection pane="bottomLeft" activeCell="A1" sqref="A1"/>
    </sheetView>
  </sheetViews>
  <sheetFormatPr baseColWidth="8" defaultRowHeight="15"/>
  <cols>
    <col width="9" customWidth="1" min="1" max="1"/>
    <col width="11" customWidth="1" min="2" max="2"/>
    <col width="12" customWidth="1" min="3" max="3"/>
    <col width="12" customWidth="1" min="4" max="4"/>
    <col width="17" customWidth="1" min="5" max="5"/>
    <col width="20" customWidth="1" min="6" max="6"/>
    <col width="14" customWidth="1" min="7" max="7"/>
    <col width="16" customWidth="1" min="8" max="8"/>
    <col width="14" customWidth="1" min="9" max="9"/>
    <col width="11" customWidth="1" min="10" max="10"/>
    <col width="30" customWidth="1" min="11" max="11"/>
    <col width="12" customWidth="1" min="12" max="12"/>
    <col width="20" customWidth="1" min="13" max="13"/>
    <col width="12" customWidth="1" min="14" max="14"/>
    <col width="14" customWidth="1" min="15" max="15"/>
    <col width="12" customWidth="1" min="16" max="16"/>
    <col width="12" customWidth="1" min="17" max="17"/>
    <col width="34" customWidth="1" min="18" max="18"/>
    <col width="14" customWidth="1" min="19" max="19"/>
    <col width="11" customWidth="1" min="20" max="20"/>
    <col width="11" customWidth="1" min="21" max="21"/>
    <col width="12" customWidth="1" min="22" max="22"/>
    <col width="24" customWidth="1" min="23" max="23"/>
    <col width="10" customWidth="1" min="24" max="24"/>
  </cols>
  <sheetData>
    <row r="1" ht="18" customHeight="1">
      <c r="A1" s="8" t="inlineStr">
        <is>
          <t>◆ 6月の売上・顧客。入力は 5 行目から。2行目＝今月の目標、4行目＝自動集計（数式・触らない）</t>
        </is>
      </c>
    </row>
    <row r="2" ht="20" customHeight="1">
      <c r="A2" s="24" t="inlineStr">
        <is>
          <t>今月目標(売上)</t>
        </is>
      </c>
      <c r="B2" s="25" t="n">
        <v>3400000</v>
      </c>
      <c r="C2" s="24" t="inlineStr">
        <is>
          <t>売上 現在</t>
        </is>
      </c>
      <c r="D2" s="25">
        <f>$L$4</f>
        <v/>
      </c>
      <c r="E2" s="24" t="inlineStr">
        <is>
          <t>過不足</t>
        </is>
      </c>
      <c r="F2" s="25">
        <f>D2-B2</f>
        <v/>
      </c>
      <c r="G2" s="24" t="inlineStr">
        <is>
          <t>達成率</t>
        </is>
      </c>
      <c r="H2" s="26">
        <f>IFERROR(D2/B2,0)</f>
        <v/>
      </c>
      <c r="I2" s="24" t="inlineStr">
        <is>
          <t>必要件数</t>
        </is>
      </c>
      <c r="J2" s="27" t="n">
        <v>82</v>
      </c>
      <c r="K2" s="24" t="inlineStr">
        <is>
          <t>件数 現在</t>
        </is>
      </c>
      <c r="L2" s="27">
        <f>$E$4</f>
        <v/>
      </c>
      <c r="M2" s="24" t="inlineStr">
        <is>
          <t>残り件数</t>
        </is>
      </c>
      <c r="N2" s="27">
        <f>J2-L2</f>
        <v/>
      </c>
      <c r="O2" s="24" t="inlineStr">
        <is>
          <t>④ネット新規 目標</t>
        </is>
      </c>
      <c r="P2" s="27" t="n">
        <v>17</v>
      </c>
      <c r="Q2" s="24" t="inlineStr">
        <is>
          <t>④ 現在</t>
        </is>
      </c>
      <c r="R2" s="27">
        <f>$R$4</f>
        <v/>
      </c>
    </row>
    <row r="3" ht="30" customHeight="1">
      <c r="A3" s="3" t="inlineStr">
        <is>
          <t>通し番号</t>
        </is>
      </c>
      <c r="B3" s="3" t="inlineStr">
        <is>
          <t>売上種類</t>
        </is>
      </c>
      <c r="C3" s="3" t="inlineStr">
        <is>
          <t>受注日</t>
        </is>
      </c>
      <c r="D3" s="3" t="inlineStr">
        <is>
          <t>施工日付</t>
        </is>
      </c>
      <c r="E3" s="3" t="inlineStr">
        <is>
          <t>流入経路</t>
        </is>
      </c>
      <c r="F3" s="3" t="inlineStr">
        <is>
          <t>流入元の識別子(?src=)</t>
        </is>
      </c>
      <c r="G3" s="3" t="inlineStr">
        <is>
          <t>紹介者（顧客ID）</t>
        </is>
      </c>
      <c r="H3" s="3" t="inlineStr">
        <is>
          <t>氏名</t>
        </is>
      </c>
      <c r="I3" s="3" t="inlineStr">
        <is>
          <t>TEL(-無し)</t>
        </is>
      </c>
      <c r="J3" s="3" t="inlineStr">
        <is>
          <t>郵便番号(-無し)</t>
        </is>
      </c>
      <c r="K3" s="3" t="inlineStr">
        <is>
          <t>住所</t>
        </is>
      </c>
      <c r="L3" s="3" t="inlineStr">
        <is>
          <t>売上（税込）</t>
        </is>
      </c>
      <c r="M3" s="3" t="inlineStr">
        <is>
          <t>実施メニュー</t>
        </is>
      </c>
      <c r="N3" s="3" t="inlineStr">
        <is>
          <t>施工担当</t>
        </is>
      </c>
      <c r="O3" s="3" t="inlineStr">
        <is>
          <t>フォローコール日</t>
        </is>
      </c>
      <c r="P3" s="3" t="inlineStr">
        <is>
          <t>早期予約提案</t>
        </is>
      </c>
      <c r="Q3" s="3" t="inlineStr">
        <is>
          <t>フォローコール</t>
        </is>
      </c>
      <c r="R3" s="3" t="inlineStr">
        <is>
          <t>備考(お客様の声)</t>
        </is>
      </c>
      <c r="S3" s="3" t="inlineStr">
        <is>
          <t>入金経路</t>
        </is>
      </c>
      <c r="T3" s="3" t="inlineStr">
        <is>
          <t>入金額照合</t>
        </is>
      </c>
      <c r="U3" s="3" t="inlineStr">
        <is>
          <t>ＯＨ打診</t>
        </is>
      </c>
      <c r="V3" s="3" t="inlineStr">
        <is>
          <t>本舗ロイ区分</t>
        </is>
      </c>
      <c r="W3" s="3" t="inlineStr">
        <is>
          <t>お客様周辺/環境情報</t>
        </is>
      </c>
      <c r="X3" s="3" t="inlineStr">
        <is>
          <t>カウント用</t>
        </is>
      </c>
    </row>
    <row r="4" ht="20" customHeight="1">
      <c r="A4" s="28">
        <f>"▼自動集計"</f>
        <v/>
      </c>
      <c r="B4" s="29">
        <f>COUNTIFS($B$5:$B$504,"One Hitter")</f>
        <v/>
      </c>
      <c r="C4" s="30">
        <f>IFERROR(SUMPRODUCT(($C$5:$C$504&lt;&gt;"")*($D$5:$D$504&lt;&gt;"")*($D$5:$D$504-$C$5:$C$504))/SUMPRODUCT(($C$5:$C$504&lt;&gt;"")*($D$5:$D$504&lt;&gt;"")),0)</f>
        <v/>
      </c>
      <c r="D4" s="31">
        <f>COUNTIFS($B$5:$B$504,"本舗")</f>
        <v/>
      </c>
      <c r="E4" s="32">
        <f>COUNTA($D$5:$D$504)</f>
        <v/>
      </c>
      <c r="F4" s="33">
        <f>IFERROR(SUM($L$5:$L$504)/COUNTA($D$5:$D$504),0)</f>
        <v/>
      </c>
      <c r="G4" s="34">
        <f>COUNTA($G$5:$G$504)</f>
        <v/>
      </c>
      <c r="H4" s="35">
        <f>IFERROR(SUMIFS($L$5:$L$504,$B$5:$B$504,"One Hitter")/COUNTIFS($B$5:$B$504,"One Hitter"),0)</f>
        <v/>
      </c>
      <c r="I4" s="36">
        <f>IFERROR(SUMIFS($L$5:$L$504,$B$5:$B$504,"本舗")/COUNTIFS($B$5:$B$504,"本舗"),0)</f>
        <v/>
      </c>
      <c r="J4" s="37">
        <f>SUMIFS($L$5:$L$504,$B$5:$B$504,"One Hitter")</f>
        <v/>
      </c>
      <c r="K4" s="38">
        <f>SUMIFS($L$5:$L$504,$B$5:$B$504,"本舗")</f>
        <v/>
      </c>
      <c r="L4" s="39">
        <f>SUM($L$5:$L$504)</f>
        <v/>
      </c>
      <c r="M4" s="40" t="n"/>
      <c r="N4" s="40" t="n"/>
      <c r="O4" s="40" t="n"/>
      <c r="P4" s="40" t="n"/>
      <c r="Q4" s="40" t="n"/>
      <c r="R4" s="41">
        <f>COUNTIFS($E$5:$E$504,"HP")+COUNTIFS($E$5:$E$504,"LP")+COUNTIFS($E$5:$E$504,"SNS")+COUNTIFS($E$5:$E$504,"GBP(地図検索)")+COUNTIFS($E$5:$E$504,"公式LINE")+COUNTIFS($E$5:$E$504,"アフィリエイト")+COUNTIFS($E$5:$E$504,"LINE/SMS再販")+COUNTIFS($E$5:$E$504,"SMS")+COUNTIFS($E$5:$E$504,"広告")</f>
        <v/>
      </c>
      <c r="S4" s="42">
        <f>SUMIFS($L$5:$L$504,$E$5:$E$504,"HP")+SUMIFS($L$5:$L$504,$E$5:$E$504,"LP")+SUMIFS($L$5:$L$504,$E$5:$E$504,"SNS")+SUMIFS($L$5:$L$504,$E$5:$E$504,"GBP(地図検索)")+SUMIFS($L$5:$L$504,$E$5:$E$504,"公式LINE")+SUMIFS($L$5:$L$504,$E$5:$E$504,"アフィリエイト")+SUMIFS($L$5:$L$504,$E$5:$E$504,"LINE/SMS再販")+SUMIFS($L$5:$L$504,$E$5:$E$504,"SMS")+SUMIFS($L$5:$L$504,$E$5:$E$504,"広告")</f>
        <v/>
      </c>
      <c r="T4" s="40" t="n"/>
      <c r="U4" s="40" t="n"/>
      <c r="V4" s="40" t="n"/>
      <c r="W4" s="40" t="n"/>
      <c r="X4" s="40" t="n"/>
    </row>
    <row r="5">
      <c r="A5" s="43" t="n"/>
      <c r="C5" s="44" t="n"/>
      <c r="D5" s="44" t="n"/>
      <c r="L5" s="45" t="n"/>
      <c r="O5" s="44" t="n"/>
    </row>
    <row r="6">
      <c r="A6" s="43" t="n"/>
      <c r="C6" s="44" t="n"/>
      <c r="D6" s="44" t="n"/>
      <c r="L6" s="45" t="n"/>
      <c r="O6" s="44" t="n"/>
    </row>
    <row r="7">
      <c r="A7" s="43" t="n"/>
      <c r="C7" s="44" t="n"/>
      <c r="D7" s="44" t="n"/>
      <c r="L7" s="45" t="n"/>
      <c r="O7" s="44" t="n"/>
    </row>
    <row r="8">
      <c r="A8" s="43" t="n"/>
      <c r="C8" s="44" t="n"/>
      <c r="D8" s="44" t="n"/>
      <c r="L8" s="45" t="n"/>
      <c r="O8" s="44" t="n"/>
    </row>
    <row r="9">
      <c r="A9" s="43" t="n"/>
      <c r="C9" s="44" t="n"/>
      <c r="D9" s="44" t="n"/>
      <c r="L9" s="45" t="n"/>
      <c r="O9" s="44" t="n"/>
    </row>
    <row r="10">
      <c r="A10" s="43" t="n"/>
      <c r="C10" s="44" t="n"/>
      <c r="D10" s="44" t="n"/>
      <c r="L10" s="45" t="n"/>
      <c r="O10" s="44" t="n"/>
    </row>
    <row r="11">
      <c r="A11" s="43" t="n"/>
      <c r="C11" s="44" t="n"/>
      <c r="D11" s="44" t="n"/>
      <c r="L11" s="45" t="n"/>
      <c r="O11" s="44" t="n"/>
    </row>
    <row r="12">
      <c r="A12" s="43" t="n"/>
      <c r="C12" s="44" t="n"/>
      <c r="D12" s="44" t="n"/>
      <c r="L12" s="45" t="n"/>
      <c r="O12" s="44" t="n"/>
    </row>
    <row r="13">
      <c r="A13" s="43" t="n"/>
      <c r="C13" s="44" t="n"/>
      <c r="D13" s="44" t="n"/>
      <c r="L13" s="45" t="n"/>
      <c r="O13" s="44" t="n"/>
    </row>
    <row r="14">
      <c r="A14" s="43" t="n"/>
      <c r="C14" s="44" t="n"/>
      <c r="D14" s="44" t="n"/>
      <c r="L14" s="45" t="n"/>
      <c r="O14" s="44" t="n"/>
    </row>
    <row r="15">
      <c r="A15" s="43" t="n"/>
      <c r="C15" s="44" t="n"/>
      <c r="D15" s="44" t="n"/>
      <c r="L15" s="45" t="n"/>
      <c r="O15" s="44" t="n"/>
    </row>
    <row r="16">
      <c r="A16" s="43" t="n"/>
      <c r="C16" s="44" t="n"/>
      <c r="D16" s="44" t="n"/>
      <c r="L16" s="45" t="n"/>
      <c r="O16" s="44" t="n"/>
    </row>
    <row r="17">
      <c r="A17" s="43" t="n"/>
      <c r="C17" s="44" t="n"/>
      <c r="D17" s="44" t="n"/>
      <c r="L17" s="45" t="n"/>
      <c r="O17" s="44" t="n"/>
    </row>
    <row r="18">
      <c r="A18" s="43" t="n"/>
      <c r="C18" s="44" t="n"/>
      <c r="D18" s="44" t="n"/>
      <c r="L18" s="45" t="n"/>
      <c r="O18" s="44" t="n"/>
    </row>
    <row r="19">
      <c r="A19" s="43" t="n"/>
      <c r="C19" s="44" t="n"/>
      <c r="D19" s="44" t="n"/>
      <c r="L19" s="45" t="n"/>
      <c r="O19" s="44" t="n"/>
    </row>
    <row r="20">
      <c r="A20" s="43" t="n"/>
      <c r="C20" s="44" t="n"/>
      <c r="D20" s="44" t="n"/>
      <c r="L20" s="45" t="n"/>
      <c r="O20" s="44" t="n"/>
    </row>
    <row r="21">
      <c r="A21" s="43" t="n"/>
      <c r="C21" s="44" t="n"/>
      <c r="D21" s="44" t="n"/>
      <c r="L21" s="45" t="n"/>
      <c r="O21" s="44" t="n"/>
    </row>
    <row r="22">
      <c r="A22" s="43" t="n"/>
      <c r="C22" s="44" t="n"/>
      <c r="D22" s="44" t="n"/>
      <c r="L22" s="45" t="n"/>
      <c r="O22" s="44" t="n"/>
    </row>
    <row r="23">
      <c r="A23" s="43" t="n"/>
      <c r="C23" s="44" t="n"/>
      <c r="D23" s="44" t="n"/>
      <c r="L23" s="45" t="n"/>
      <c r="O23" s="44" t="n"/>
    </row>
    <row r="24">
      <c r="A24" s="43" t="n"/>
      <c r="C24" s="44" t="n"/>
      <c r="D24" s="44" t="n"/>
      <c r="L24" s="45" t="n"/>
      <c r="O24" s="44" t="n"/>
    </row>
    <row r="25">
      <c r="A25" s="43" t="n"/>
      <c r="C25" s="44" t="n"/>
      <c r="D25" s="44" t="n"/>
      <c r="L25" s="45" t="n"/>
      <c r="O25" s="44" t="n"/>
    </row>
    <row r="26">
      <c r="A26" s="43" t="n"/>
      <c r="C26" s="44" t="n"/>
      <c r="D26" s="44" t="n"/>
      <c r="L26" s="45" t="n"/>
      <c r="O26" s="44" t="n"/>
    </row>
    <row r="27">
      <c r="A27" s="43" t="n"/>
      <c r="C27" s="44" t="n"/>
      <c r="D27" s="44" t="n"/>
      <c r="L27" s="45" t="n"/>
      <c r="O27" s="44" t="n"/>
    </row>
    <row r="28">
      <c r="A28" s="43" t="n"/>
      <c r="C28" s="44" t="n"/>
      <c r="D28" s="44" t="n"/>
      <c r="L28" s="45" t="n"/>
      <c r="O28" s="44" t="n"/>
    </row>
    <row r="29">
      <c r="A29" s="43" t="n"/>
      <c r="C29" s="44" t="n"/>
      <c r="D29" s="44" t="n"/>
      <c r="L29" s="45" t="n"/>
      <c r="O29" s="44" t="n"/>
    </row>
    <row r="30">
      <c r="A30" s="43" t="n"/>
      <c r="C30" s="44" t="n"/>
      <c r="D30" s="44" t="n"/>
      <c r="L30" s="45" t="n"/>
      <c r="O30" s="44" t="n"/>
    </row>
    <row r="31">
      <c r="A31" s="43" t="n"/>
      <c r="C31" s="44" t="n"/>
      <c r="D31" s="44" t="n"/>
      <c r="L31" s="45" t="n"/>
      <c r="O31" s="44" t="n"/>
    </row>
    <row r="32">
      <c r="A32" s="43" t="n"/>
      <c r="C32" s="44" t="n"/>
      <c r="D32" s="44" t="n"/>
      <c r="L32" s="45" t="n"/>
      <c r="O32" s="44" t="n"/>
    </row>
    <row r="33">
      <c r="A33" s="43" t="n"/>
      <c r="C33" s="44" t="n"/>
      <c r="D33" s="44" t="n"/>
      <c r="L33" s="45" t="n"/>
      <c r="O33" s="44" t="n"/>
    </row>
    <row r="34">
      <c r="A34" s="43" t="n"/>
      <c r="C34" s="44" t="n"/>
      <c r="D34" s="44" t="n"/>
      <c r="L34" s="45" t="n"/>
      <c r="O34" s="44" t="n"/>
    </row>
    <row r="35">
      <c r="A35" s="43" t="n"/>
      <c r="C35" s="44" t="n"/>
      <c r="D35" s="44" t="n"/>
      <c r="L35" s="45" t="n"/>
      <c r="O35" s="44" t="n"/>
    </row>
    <row r="36">
      <c r="A36" s="43" t="n"/>
      <c r="C36" s="44" t="n"/>
      <c r="D36" s="44" t="n"/>
      <c r="L36" s="45" t="n"/>
      <c r="O36" s="44" t="n"/>
    </row>
    <row r="37">
      <c r="A37" s="43" t="n"/>
      <c r="C37" s="44" t="n"/>
      <c r="D37" s="44" t="n"/>
      <c r="L37" s="45" t="n"/>
      <c r="O37" s="44" t="n"/>
    </row>
    <row r="38">
      <c r="A38" s="43" t="n"/>
      <c r="C38" s="44" t="n"/>
      <c r="D38" s="44" t="n"/>
      <c r="L38" s="45" t="n"/>
      <c r="O38" s="44" t="n"/>
    </row>
    <row r="39">
      <c r="A39" s="43" t="n"/>
      <c r="C39" s="44" t="n"/>
      <c r="D39" s="44" t="n"/>
      <c r="L39" s="45" t="n"/>
      <c r="O39" s="44" t="n"/>
    </row>
    <row r="40">
      <c r="A40" s="43" t="n"/>
      <c r="C40" s="44" t="n"/>
      <c r="D40" s="44" t="n"/>
      <c r="L40" s="45" t="n"/>
      <c r="O40" s="44" t="n"/>
    </row>
    <row r="41">
      <c r="A41" s="43" t="n"/>
      <c r="C41" s="44" t="n"/>
      <c r="D41" s="44" t="n"/>
      <c r="L41" s="45" t="n"/>
      <c r="O41" s="44" t="n"/>
    </row>
    <row r="42">
      <c r="A42" s="43" t="n"/>
      <c r="C42" s="44" t="n"/>
      <c r="D42" s="44" t="n"/>
      <c r="L42" s="45" t="n"/>
      <c r="O42" s="44" t="n"/>
    </row>
    <row r="43">
      <c r="A43" s="43" t="n"/>
      <c r="C43" s="44" t="n"/>
      <c r="D43" s="44" t="n"/>
      <c r="L43" s="45" t="n"/>
      <c r="O43" s="44" t="n"/>
    </row>
    <row r="44">
      <c r="A44" s="43" t="n"/>
      <c r="C44" s="44" t="n"/>
      <c r="D44" s="44" t="n"/>
      <c r="L44" s="45" t="n"/>
      <c r="O44" s="44" t="n"/>
    </row>
    <row r="45">
      <c r="A45" s="43" t="n"/>
      <c r="C45" s="44" t="n"/>
      <c r="D45" s="44" t="n"/>
      <c r="L45" s="45" t="n"/>
      <c r="O45" s="44" t="n"/>
    </row>
    <row r="46">
      <c r="A46" s="43" t="n"/>
      <c r="C46" s="44" t="n"/>
      <c r="D46" s="44" t="n"/>
      <c r="L46" s="45" t="n"/>
      <c r="O46" s="44" t="n"/>
    </row>
    <row r="47">
      <c r="A47" s="43" t="n"/>
      <c r="C47" s="44" t="n"/>
      <c r="D47" s="44" t="n"/>
      <c r="L47" s="45" t="n"/>
      <c r="O47" s="44" t="n"/>
    </row>
    <row r="48">
      <c r="A48" s="43" t="n"/>
      <c r="C48" s="44" t="n"/>
      <c r="D48" s="44" t="n"/>
      <c r="L48" s="45" t="n"/>
      <c r="O48" s="44" t="n"/>
    </row>
    <row r="49">
      <c r="A49" s="43" t="n"/>
      <c r="C49" s="44" t="n"/>
      <c r="D49" s="44" t="n"/>
      <c r="L49" s="45" t="n"/>
      <c r="O49" s="44" t="n"/>
    </row>
    <row r="50">
      <c r="A50" s="43" t="n"/>
      <c r="C50" s="44" t="n"/>
      <c r="D50" s="44" t="n"/>
      <c r="L50" s="45" t="n"/>
      <c r="O50" s="44" t="n"/>
    </row>
    <row r="51">
      <c r="A51" s="43" t="n"/>
      <c r="C51" s="44" t="n"/>
      <c r="D51" s="44" t="n"/>
      <c r="L51" s="45" t="n"/>
      <c r="O51" s="44" t="n"/>
    </row>
    <row r="52">
      <c r="A52" s="43" t="n"/>
      <c r="C52" s="44" t="n"/>
      <c r="D52" s="44" t="n"/>
      <c r="L52" s="45" t="n"/>
      <c r="O52" s="44" t="n"/>
    </row>
    <row r="53">
      <c r="A53" s="43" t="n"/>
      <c r="C53" s="44" t="n"/>
      <c r="D53" s="44" t="n"/>
      <c r="L53" s="45" t="n"/>
      <c r="O53" s="44" t="n"/>
    </row>
    <row r="54">
      <c r="A54" s="43" t="n"/>
      <c r="C54" s="44" t="n"/>
      <c r="D54" s="44" t="n"/>
      <c r="L54" s="45" t="n"/>
      <c r="O54" s="44" t="n"/>
    </row>
    <row r="55">
      <c r="A55" s="43" t="n"/>
      <c r="C55" s="44" t="n"/>
      <c r="D55" s="44" t="n"/>
      <c r="L55" s="45" t="n"/>
      <c r="O55" s="44" t="n"/>
    </row>
    <row r="56">
      <c r="A56" s="43" t="n"/>
      <c r="C56" s="44" t="n"/>
      <c r="D56" s="44" t="n"/>
      <c r="L56" s="45" t="n"/>
      <c r="O56" s="44" t="n"/>
    </row>
    <row r="57">
      <c r="A57" s="43" t="n"/>
      <c r="C57" s="44" t="n"/>
      <c r="D57" s="44" t="n"/>
      <c r="L57" s="45" t="n"/>
      <c r="O57" s="44" t="n"/>
    </row>
    <row r="58">
      <c r="A58" s="43" t="n"/>
      <c r="C58" s="44" t="n"/>
      <c r="D58" s="44" t="n"/>
      <c r="L58" s="45" t="n"/>
      <c r="O58" s="44" t="n"/>
    </row>
    <row r="59">
      <c r="A59" s="43" t="n"/>
      <c r="C59" s="44" t="n"/>
      <c r="D59" s="44" t="n"/>
      <c r="L59" s="45" t="n"/>
      <c r="O59" s="44" t="n"/>
    </row>
    <row r="60">
      <c r="A60" s="43" t="n"/>
      <c r="C60" s="44" t="n"/>
      <c r="D60" s="44" t="n"/>
      <c r="L60" s="45" t="n"/>
      <c r="O60" s="44" t="n"/>
    </row>
    <row r="61">
      <c r="A61" s="43" t="n"/>
      <c r="C61" s="44" t="n"/>
      <c r="D61" s="44" t="n"/>
      <c r="L61" s="45" t="n"/>
      <c r="O61" s="44" t="n"/>
    </row>
    <row r="62">
      <c r="A62" s="43" t="n"/>
      <c r="C62" s="44" t="n"/>
      <c r="D62" s="44" t="n"/>
      <c r="L62" s="45" t="n"/>
      <c r="O62" s="44" t="n"/>
    </row>
    <row r="63">
      <c r="A63" s="43" t="n"/>
      <c r="C63" s="44" t="n"/>
      <c r="D63" s="44" t="n"/>
      <c r="L63" s="45" t="n"/>
      <c r="O63" s="44" t="n"/>
    </row>
    <row r="64">
      <c r="A64" s="43" t="n"/>
      <c r="C64" s="44" t="n"/>
      <c r="D64" s="44" t="n"/>
      <c r="L64" s="45" t="n"/>
      <c r="O64" s="44" t="n"/>
    </row>
    <row r="65">
      <c r="A65" s="43" t="n"/>
      <c r="C65" s="44" t="n"/>
      <c r="D65" s="44" t="n"/>
      <c r="L65" s="45" t="n"/>
      <c r="O65" s="44" t="n"/>
    </row>
    <row r="66">
      <c r="A66" s="43" t="n"/>
      <c r="C66" s="44" t="n"/>
      <c r="D66" s="44" t="n"/>
      <c r="L66" s="45" t="n"/>
      <c r="O66" s="44" t="n"/>
    </row>
    <row r="67">
      <c r="A67" s="43" t="n"/>
      <c r="C67" s="44" t="n"/>
      <c r="D67" s="44" t="n"/>
      <c r="L67" s="45" t="n"/>
      <c r="O67" s="44" t="n"/>
    </row>
    <row r="68">
      <c r="A68" s="43" t="n"/>
      <c r="C68" s="44" t="n"/>
      <c r="D68" s="44" t="n"/>
      <c r="L68" s="45" t="n"/>
      <c r="O68" s="44" t="n"/>
    </row>
    <row r="69">
      <c r="A69" s="43" t="n"/>
      <c r="C69" s="44" t="n"/>
      <c r="D69" s="44" t="n"/>
      <c r="L69" s="45" t="n"/>
      <c r="O69" s="44" t="n"/>
    </row>
    <row r="70">
      <c r="A70" s="43" t="n"/>
      <c r="C70" s="44" t="n"/>
      <c r="D70" s="44" t="n"/>
      <c r="L70" s="45" t="n"/>
      <c r="O70" s="44" t="n"/>
    </row>
    <row r="71">
      <c r="A71" s="43" t="n"/>
      <c r="C71" s="44" t="n"/>
      <c r="D71" s="44" t="n"/>
      <c r="L71" s="45" t="n"/>
      <c r="O71" s="44" t="n"/>
    </row>
    <row r="72">
      <c r="A72" s="43" t="n"/>
      <c r="C72" s="44" t="n"/>
      <c r="D72" s="44" t="n"/>
      <c r="L72" s="45" t="n"/>
      <c r="O72" s="44" t="n"/>
    </row>
    <row r="73">
      <c r="A73" s="43" t="n"/>
      <c r="C73" s="44" t="n"/>
      <c r="D73" s="44" t="n"/>
      <c r="L73" s="45" t="n"/>
      <c r="O73" s="44" t="n"/>
    </row>
    <row r="74">
      <c r="A74" s="43" t="n"/>
      <c r="C74" s="44" t="n"/>
      <c r="D74" s="44" t="n"/>
      <c r="L74" s="45" t="n"/>
      <c r="O74" s="44" t="n"/>
    </row>
    <row r="75">
      <c r="A75" s="43" t="n"/>
      <c r="C75" s="44" t="n"/>
      <c r="D75" s="44" t="n"/>
      <c r="L75" s="45" t="n"/>
      <c r="O75" s="44" t="n"/>
    </row>
    <row r="76">
      <c r="A76" s="43" t="n"/>
      <c r="C76" s="44" t="n"/>
      <c r="D76" s="44" t="n"/>
      <c r="L76" s="45" t="n"/>
      <c r="O76" s="44" t="n"/>
    </row>
    <row r="77">
      <c r="A77" s="43" t="n"/>
      <c r="C77" s="44" t="n"/>
      <c r="D77" s="44" t="n"/>
      <c r="L77" s="45" t="n"/>
      <c r="O77" s="44" t="n"/>
    </row>
    <row r="78">
      <c r="A78" s="43" t="n"/>
      <c r="C78" s="44" t="n"/>
      <c r="D78" s="44" t="n"/>
      <c r="L78" s="45" t="n"/>
      <c r="O78" s="44" t="n"/>
    </row>
    <row r="79">
      <c r="A79" s="43" t="n"/>
      <c r="C79" s="44" t="n"/>
      <c r="D79" s="44" t="n"/>
      <c r="L79" s="45" t="n"/>
      <c r="O79" s="44" t="n"/>
    </row>
    <row r="80">
      <c r="A80" s="43" t="n"/>
      <c r="C80" s="44" t="n"/>
      <c r="D80" s="44" t="n"/>
      <c r="L80" s="45" t="n"/>
      <c r="O80" s="44" t="n"/>
    </row>
    <row r="81">
      <c r="A81" s="43" t="n"/>
      <c r="C81" s="44" t="n"/>
      <c r="D81" s="44" t="n"/>
      <c r="L81" s="45" t="n"/>
      <c r="O81" s="44" t="n"/>
    </row>
    <row r="82">
      <c r="A82" s="43" t="n"/>
      <c r="C82" s="44" t="n"/>
      <c r="D82" s="44" t="n"/>
      <c r="L82" s="45" t="n"/>
      <c r="O82" s="44" t="n"/>
    </row>
    <row r="83">
      <c r="A83" s="43" t="n"/>
      <c r="C83" s="44" t="n"/>
      <c r="D83" s="44" t="n"/>
      <c r="L83" s="45" t="n"/>
      <c r="O83" s="44" t="n"/>
    </row>
    <row r="84">
      <c r="A84" s="43" t="n"/>
      <c r="C84" s="44" t="n"/>
      <c r="D84" s="44" t="n"/>
      <c r="L84" s="45" t="n"/>
      <c r="O84" s="44" t="n"/>
    </row>
    <row r="85">
      <c r="A85" s="43" t="n"/>
      <c r="C85" s="44" t="n"/>
      <c r="D85" s="44" t="n"/>
      <c r="L85" s="45" t="n"/>
      <c r="O85" s="44" t="n"/>
    </row>
    <row r="86">
      <c r="A86" s="43" t="n"/>
      <c r="C86" s="44" t="n"/>
      <c r="D86" s="44" t="n"/>
      <c r="L86" s="45" t="n"/>
      <c r="O86" s="44" t="n"/>
    </row>
    <row r="87">
      <c r="A87" s="43" t="n"/>
      <c r="C87" s="44" t="n"/>
      <c r="D87" s="44" t="n"/>
      <c r="L87" s="45" t="n"/>
      <c r="O87" s="44" t="n"/>
    </row>
    <row r="88">
      <c r="A88" s="43" t="n"/>
      <c r="C88" s="44" t="n"/>
      <c r="D88" s="44" t="n"/>
      <c r="L88" s="45" t="n"/>
      <c r="O88" s="44" t="n"/>
    </row>
    <row r="89">
      <c r="A89" s="43" t="n"/>
      <c r="C89" s="44" t="n"/>
      <c r="D89" s="44" t="n"/>
      <c r="L89" s="45" t="n"/>
      <c r="O89" s="44" t="n"/>
    </row>
    <row r="90">
      <c r="A90" s="43" t="n"/>
      <c r="C90" s="44" t="n"/>
      <c r="D90" s="44" t="n"/>
      <c r="L90" s="45" t="n"/>
      <c r="O90" s="44" t="n"/>
    </row>
    <row r="91">
      <c r="A91" s="43" t="n"/>
      <c r="C91" s="44" t="n"/>
      <c r="D91" s="44" t="n"/>
      <c r="L91" s="45" t="n"/>
      <c r="O91" s="44" t="n"/>
    </row>
    <row r="92">
      <c r="A92" s="43" t="n"/>
      <c r="C92" s="44" t="n"/>
      <c r="D92" s="44" t="n"/>
      <c r="L92" s="45" t="n"/>
      <c r="O92" s="44" t="n"/>
    </row>
    <row r="93">
      <c r="A93" s="43" t="n"/>
      <c r="C93" s="44" t="n"/>
      <c r="D93" s="44" t="n"/>
      <c r="L93" s="45" t="n"/>
      <c r="O93" s="44" t="n"/>
    </row>
    <row r="94">
      <c r="A94" s="43" t="n"/>
      <c r="C94" s="44" t="n"/>
      <c r="D94" s="44" t="n"/>
      <c r="L94" s="45" t="n"/>
      <c r="O94" s="44" t="n"/>
    </row>
    <row r="95">
      <c r="A95" s="43" t="n"/>
      <c r="C95" s="44" t="n"/>
      <c r="D95" s="44" t="n"/>
      <c r="L95" s="45" t="n"/>
      <c r="O95" s="44" t="n"/>
    </row>
    <row r="96">
      <c r="A96" s="43" t="n"/>
      <c r="C96" s="44" t="n"/>
      <c r="D96" s="44" t="n"/>
      <c r="L96" s="45" t="n"/>
      <c r="O96" s="44" t="n"/>
    </row>
    <row r="97">
      <c r="A97" s="43" t="n"/>
      <c r="C97" s="44" t="n"/>
      <c r="D97" s="44" t="n"/>
      <c r="L97" s="45" t="n"/>
      <c r="O97" s="44" t="n"/>
    </row>
    <row r="98">
      <c r="A98" s="43" t="n"/>
      <c r="C98" s="44" t="n"/>
      <c r="D98" s="44" t="n"/>
      <c r="L98" s="45" t="n"/>
      <c r="O98" s="44" t="n"/>
    </row>
    <row r="99">
      <c r="A99" s="43" t="n"/>
      <c r="C99" s="44" t="n"/>
      <c r="D99" s="44" t="n"/>
      <c r="L99" s="45" t="n"/>
      <c r="O99" s="44" t="n"/>
    </row>
    <row r="100">
      <c r="A100" s="43" t="n"/>
      <c r="C100" s="44" t="n"/>
      <c r="D100" s="44" t="n"/>
      <c r="L100" s="45" t="n"/>
      <c r="O100" s="44" t="n"/>
    </row>
    <row r="101">
      <c r="A101" s="43" t="n"/>
      <c r="C101" s="44" t="n"/>
      <c r="D101" s="44" t="n"/>
      <c r="L101" s="45" t="n"/>
      <c r="O101" s="44" t="n"/>
    </row>
    <row r="102">
      <c r="A102" s="43" t="n"/>
      <c r="C102" s="44" t="n"/>
      <c r="D102" s="44" t="n"/>
      <c r="L102" s="45" t="n"/>
      <c r="O102" s="44" t="n"/>
    </row>
    <row r="103">
      <c r="A103" s="43" t="n"/>
      <c r="C103" s="44" t="n"/>
      <c r="D103" s="44" t="n"/>
      <c r="L103" s="45" t="n"/>
      <c r="O103" s="44" t="n"/>
    </row>
    <row r="104">
      <c r="A104" s="43" t="n"/>
      <c r="C104" s="44" t="n"/>
      <c r="D104" s="44" t="n"/>
      <c r="L104" s="45" t="n"/>
      <c r="O104" s="44" t="n"/>
    </row>
    <row r="105">
      <c r="A105" s="43" t="n"/>
      <c r="C105" s="44" t="n"/>
      <c r="D105" s="44" t="n"/>
      <c r="L105" s="45" t="n"/>
      <c r="O105" s="44" t="n"/>
    </row>
    <row r="106">
      <c r="A106" s="43" t="n"/>
      <c r="C106" s="44" t="n"/>
      <c r="D106" s="44" t="n"/>
      <c r="L106" s="45" t="n"/>
      <c r="O106" s="44" t="n"/>
    </row>
    <row r="107">
      <c r="A107" s="43" t="n"/>
      <c r="C107" s="44" t="n"/>
      <c r="D107" s="44" t="n"/>
      <c r="L107" s="45" t="n"/>
      <c r="O107" s="44" t="n"/>
    </row>
    <row r="108">
      <c r="A108" s="43" t="n"/>
      <c r="C108" s="44" t="n"/>
      <c r="D108" s="44" t="n"/>
      <c r="L108" s="45" t="n"/>
      <c r="O108" s="44" t="n"/>
    </row>
    <row r="109">
      <c r="A109" s="43" t="n"/>
      <c r="C109" s="44" t="n"/>
      <c r="D109" s="44" t="n"/>
      <c r="L109" s="45" t="n"/>
      <c r="O109" s="44" t="n"/>
    </row>
    <row r="110">
      <c r="A110" s="43" t="n"/>
      <c r="C110" s="44" t="n"/>
      <c r="D110" s="44" t="n"/>
      <c r="L110" s="45" t="n"/>
      <c r="O110" s="44" t="n"/>
    </row>
    <row r="111">
      <c r="A111" s="43" t="n"/>
      <c r="C111" s="44" t="n"/>
      <c r="D111" s="44" t="n"/>
      <c r="L111" s="45" t="n"/>
      <c r="O111" s="44" t="n"/>
    </row>
    <row r="112">
      <c r="A112" s="43" t="n"/>
      <c r="C112" s="44" t="n"/>
      <c r="D112" s="44" t="n"/>
      <c r="L112" s="45" t="n"/>
      <c r="O112" s="44" t="n"/>
    </row>
    <row r="113">
      <c r="A113" s="43" t="n"/>
      <c r="C113" s="44" t="n"/>
      <c r="D113" s="44" t="n"/>
      <c r="L113" s="45" t="n"/>
      <c r="O113" s="44" t="n"/>
    </row>
    <row r="114">
      <c r="A114" s="43" t="n"/>
      <c r="C114" s="44" t="n"/>
      <c r="D114" s="44" t="n"/>
      <c r="L114" s="45" t="n"/>
      <c r="O114" s="44" t="n"/>
    </row>
    <row r="115">
      <c r="A115" s="43" t="n"/>
      <c r="C115" s="44" t="n"/>
      <c r="D115" s="44" t="n"/>
      <c r="L115" s="45" t="n"/>
      <c r="O115" s="44" t="n"/>
    </row>
    <row r="116">
      <c r="A116" s="43" t="n"/>
      <c r="C116" s="44" t="n"/>
      <c r="D116" s="44" t="n"/>
      <c r="L116" s="45" t="n"/>
      <c r="O116" s="44" t="n"/>
    </row>
    <row r="117">
      <c r="A117" s="43" t="n"/>
      <c r="C117" s="44" t="n"/>
      <c r="D117" s="44" t="n"/>
      <c r="L117" s="45" t="n"/>
      <c r="O117" s="44" t="n"/>
    </row>
    <row r="118">
      <c r="A118" s="43" t="n"/>
      <c r="C118" s="44" t="n"/>
      <c r="D118" s="44" t="n"/>
      <c r="L118" s="45" t="n"/>
      <c r="O118" s="44" t="n"/>
    </row>
    <row r="119">
      <c r="A119" s="43" t="n"/>
      <c r="C119" s="44" t="n"/>
      <c r="D119" s="44" t="n"/>
      <c r="L119" s="45" t="n"/>
      <c r="O119" s="44" t="n"/>
    </row>
    <row r="120">
      <c r="A120" s="43" t="n"/>
      <c r="C120" s="44" t="n"/>
      <c r="D120" s="44" t="n"/>
      <c r="L120" s="45" t="n"/>
      <c r="O120" s="44" t="n"/>
    </row>
    <row r="121">
      <c r="A121" s="43" t="n"/>
      <c r="C121" s="44" t="n"/>
      <c r="D121" s="44" t="n"/>
      <c r="L121" s="45" t="n"/>
      <c r="O121" s="44" t="n"/>
    </row>
    <row r="122">
      <c r="A122" s="43" t="n"/>
      <c r="C122" s="44" t="n"/>
      <c r="D122" s="44" t="n"/>
      <c r="L122" s="45" t="n"/>
      <c r="O122" s="44" t="n"/>
    </row>
    <row r="123">
      <c r="A123" s="43" t="n"/>
      <c r="C123" s="44" t="n"/>
      <c r="D123" s="44" t="n"/>
      <c r="L123" s="45" t="n"/>
      <c r="O123" s="44" t="n"/>
    </row>
    <row r="124">
      <c r="A124" s="43" t="n"/>
      <c r="C124" s="44" t="n"/>
      <c r="D124" s="44" t="n"/>
      <c r="L124" s="45" t="n"/>
      <c r="O124" s="44" t="n"/>
    </row>
    <row r="125">
      <c r="A125" s="43" t="n"/>
      <c r="C125" s="44" t="n"/>
      <c r="D125" s="44" t="n"/>
      <c r="L125" s="45" t="n"/>
      <c r="O125" s="44" t="n"/>
    </row>
    <row r="126">
      <c r="A126" s="43" t="n"/>
      <c r="C126" s="44" t="n"/>
      <c r="D126" s="44" t="n"/>
      <c r="L126" s="45" t="n"/>
      <c r="O126" s="44" t="n"/>
    </row>
    <row r="127">
      <c r="A127" s="43" t="n"/>
      <c r="C127" s="44" t="n"/>
      <c r="D127" s="44" t="n"/>
      <c r="L127" s="45" t="n"/>
      <c r="O127" s="44" t="n"/>
    </row>
    <row r="128">
      <c r="A128" s="43" t="n"/>
      <c r="C128" s="44" t="n"/>
      <c r="D128" s="44" t="n"/>
      <c r="L128" s="45" t="n"/>
      <c r="O128" s="44" t="n"/>
    </row>
    <row r="129">
      <c r="A129" s="43" t="n"/>
      <c r="C129" s="44" t="n"/>
      <c r="D129" s="44" t="n"/>
      <c r="L129" s="45" t="n"/>
      <c r="O129" s="44" t="n"/>
    </row>
    <row r="130">
      <c r="A130" s="43" t="n"/>
      <c r="C130" s="44" t="n"/>
      <c r="D130" s="44" t="n"/>
      <c r="L130" s="45" t="n"/>
      <c r="O130" s="44" t="n"/>
    </row>
    <row r="131">
      <c r="A131" s="43" t="n"/>
      <c r="C131" s="44" t="n"/>
      <c r="D131" s="44" t="n"/>
      <c r="L131" s="45" t="n"/>
      <c r="O131" s="44" t="n"/>
    </row>
    <row r="132">
      <c r="A132" s="43" t="n"/>
      <c r="C132" s="44" t="n"/>
      <c r="D132" s="44" t="n"/>
      <c r="L132" s="45" t="n"/>
      <c r="O132" s="44" t="n"/>
    </row>
    <row r="133">
      <c r="A133" s="43" t="n"/>
      <c r="C133" s="44" t="n"/>
      <c r="D133" s="44" t="n"/>
      <c r="L133" s="45" t="n"/>
      <c r="O133" s="44" t="n"/>
    </row>
    <row r="134">
      <c r="A134" s="43" t="n"/>
      <c r="C134" s="44" t="n"/>
      <c r="D134" s="44" t="n"/>
      <c r="L134" s="45" t="n"/>
      <c r="O134" s="44" t="n"/>
    </row>
    <row r="135">
      <c r="A135" s="43" t="n"/>
      <c r="C135" s="44" t="n"/>
      <c r="D135" s="44" t="n"/>
      <c r="L135" s="45" t="n"/>
      <c r="O135" s="44" t="n"/>
    </row>
    <row r="136">
      <c r="A136" s="43" t="n"/>
      <c r="C136" s="44" t="n"/>
      <c r="D136" s="44" t="n"/>
      <c r="L136" s="45" t="n"/>
      <c r="O136" s="44" t="n"/>
    </row>
    <row r="137">
      <c r="A137" s="43" t="n"/>
      <c r="C137" s="44" t="n"/>
      <c r="D137" s="44" t="n"/>
      <c r="L137" s="45" t="n"/>
      <c r="O137" s="44" t="n"/>
    </row>
    <row r="138">
      <c r="A138" s="43" t="n"/>
      <c r="C138" s="44" t="n"/>
      <c r="D138" s="44" t="n"/>
      <c r="L138" s="45" t="n"/>
      <c r="O138" s="44" t="n"/>
    </row>
    <row r="139">
      <c r="A139" s="43" t="n"/>
      <c r="C139" s="44" t="n"/>
      <c r="D139" s="44" t="n"/>
      <c r="L139" s="45" t="n"/>
      <c r="O139" s="44" t="n"/>
    </row>
    <row r="140">
      <c r="A140" s="43" t="n"/>
      <c r="C140" s="44" t="n"/>
      <c r="D140" s="44" t="n"/>
      <c r="L140" s="45" t="n"/>
      <c r="O140" s="44" t="n"/>
    </row>
    <row r="141">
      <c r="A141" s="43" t="n"/>
      <c r="C141" s="44" t="n"/>
      <c r="D141" s="44" t="n"/>
      <c r="L141" s="45" t="n"/>
      <c r="O141" s="44" t="n"/>
    </row>
    <row r="142">
      <c r="A142" s="43" t="n"/>
      <c r="C142" s="44" t="n"/>
      <c r="D142" s="44" t="n"/>
      <c r="L142" s="45" t="n"/>
      <c r="O142" s="44" t="n"/>
    </row>
    <row r="143">
      <c r="A143" s="43" t="n"/>
      <c r="C143" s="44" t="n"/>
      <c r="D143" s="44" t="n"/>
      <c r="L143" s="45" t="n"/>
      <c r="O143" s="44" t="n"/>
    </row>
    <row r="144">
      <c r="A144" s="43" t="n"/>
      <c r="C144" s="44" t="n"/>
      <c r="D144" s="44" t="n"/>
      <c r="L144" s="45" t="n"/>
      <c r="O144" s="44" t="n"/>
    </row>
    <row r="145">
      <c r="A145" s="43" t="n"/>
      <c r="C145" s="44" t="n"/>
      <c r="D145" s="44" t="n"/>
      <c r="L145" s="45" t="n"/>
      <c r="O145" s="44" t="n"/>
    </row>
    <row r="146">
      <c r="A146" s="43" t="n"/>
      <c r="C146" s="44" t="n"/>
      <c r="D146" s="44" t="n"/>
      <c r="L146" s="45" t="n"/>
      <c r="O146" s="44" t="n"/>
    </row>
    <row r="147">
      <c r="A147" s="43" t="n"/>
      <c r="C147" s="44" t="n"/>
      <c r="D147" s="44" t="n"/>
      <c r="L147" s="45" t="n"/>
      <c r="O147" s="44" t="n"/>
    </row>
    <row r="148">
      <c r="A148" s="43" t="n"/>
      <c r="C148" s="44" t="n"/>
      <c r="D148" s="44" t="n"/>
      <c r="L148" s="45" t="n"/>
      <c r="O148" s="44" t="n"/>
    </row>
    <row r="149">
      <c r="A149" s="43" t="n"/>
      <c r="C149" s="44" t="n"/>
      <c r="D149" s="44" t="n"/>
      <c r="L149" s="45" t="n"/>
      <c r="O149" s="44" t="n"/>
    </row>
    <row r="150">
      <c r="A150" s="43" t="n"/>
      <c r="C150" s="44" t="n"/>
      <c r="D150" s="44" t="n"/>
      <c r="L150" s="45" t="n"/>
      <c r="O150" s="44" t="n"/>
    </row>
    <row r="151">
      <c r="A151" s="43" t="n"/>
      <c r="C151" s="44" t="n"/>
      <c r="D151" s="44" t="n"/>
      <c r="L151" s="45" t="n"/>
      <c r="O151" s="44" t="n"/>
    </row>
    <row r="152">
      <c r="A152" s="43" t="n"/>
      <c r="C152" s="44" t="n"/>
      <c r="D152" s="44" t="n"/>
      <c r="L152" s="45" t="n"/>
      <c r="O152" s="44" t="n"/>
    </row>
    <row r="153">
      <c r="A153" s="43" t="n"/>
      <c r="C153" s="44" t="n"/>
      <c r="D153" s="44" t="n"/>
      <c r="L153" s="45" t="n"/>
      <c r="O153" s="44" t="n"/>
    </row>
    <row r="154">
      <c r="A154" s="43" t="n"/>
      <c r="C154" s="44" t="n"/>
      <c r="D154" s="44" t="n"/>
      <c r="L154" s="45" t="n"/>
      <c r="O154" s="44" t="n"/>
    </row>
    <row r="155">
      <c r="A155" s="43" t="n"/>
      <c r="C155" s="44" t="n"/>
      <c r="D155" s="44" t="n"/>
      <c r="L155" s="45" t="n"/>
      <c r="O155" s="44" t="n"/>
    </row>
    <row r="156">
      <c r="A156" s="43" t="n"/>
      <c r="C156" s="44" t="n"/>
      <c r="D156" s="44" t="n"/>
      <c r="L156" s="45" t="n"/>
      <c r="O156" s="44" t="n"/>
    </row>
    <row r="157">
      <c r="A157" s="43" t="n"/>
      <c r="C157" s="44" t="n"/>
      <c r="D157" s="44" t="n"/>
      <c r="L157" s="45" t="n"/>
      <c r="O157" s="44" t="n"/>
    </row>
    <row r="158">
      <c r="A158" s="43" t="n"/>
      <c r="C158" s="44" t="n"/>
      <c r="D158" s="44" t="n"/>
      <c r="L158" s="45" t="n"/>
      <c r="O158" s="44" t="n"/>
    </row>
    <row r="159">
      <c r="A159" s="43" t="n"/>
      <c r="C159" s="44" t="n"/>
      <c r="D159" s="44" t="n"/>
      <c r="L159" s="45" t="n"/>
      <c r="O159" s="44" t="n"/>
    </row>
    <row r="160">
      <c r="A160" s="43" t="n"/>
      <c r="C160" s="44" t="n"/>
      <c r="D160" s="44" t="n"/>
      <c r="L160" s="45" t="n"/>
      <c r="O160" s="44" t="n"/>
    </row>
    <row r="161">
      <c r="A161" s="43" t="n"/>
      <c r="C161" s="44" t="n"/>
      <c r="D161" s="44" t="n"/>
      <c r="L161" s="45" t="n"/>
      <c r="O161" s="44" t="n"/>
    </row>
    <row r="162">
      <c r="A162" s="43" t="n"/>
      <c r="C162" s="44" t="n"/>
      <c r="D162" s="44" t="n"/>
      <c r="L162" s="45" t="n"/>
      <c r="O162" s="44" t="n"/>
    </row>
    <row r="163">
      <c r="A163" s="43" t="n"/>
      <c r="C163" s="44" t="n"/>
      <c r="D163" s="44" t="n"/>
      <c r="L163" s="45" t="n"/>
      <c r="O163" s="44" t="n"/>
    </row>
    <row r="164">
      <c r="A164" s="43" t="n"/>
      <c r="C164" s="44" t="n"/>
      <c r="D164" s="44" t="n"/>
      <c r="L164" s="45" t="n"/>
      <c r="O164" s="44" t="n"/>
    </row>
    <row r="165">
      <c r="A165" s="43" t="n"/>
      <c r="C165" s="44" t="n"/>
      <c r="D165" s="44" t="n"/>
      <c r="L165" s="45" t="n"/>
      <c r="O165" s="44" t="n"/>
    </row>
    <row r="166">
      <c r="A166" s="43" t="n"/>
      <c r="C166" s="44" t="n"/>
      <c r="D166" s="44" t="n"/>
      <c r="L166" s="45" t="n"/>
      <c r="O166" s="44" t="n"/>
    </row>
    <row r="167">
      <c r="A167" s="43" t="n"/>
      <c r="C167" s="44" t="n"/>
      <c r="D167" s="44" t="n"/>
      <c r="L167" s="45" t="n"/>
      <c r="O167" s="44" t="n"/>
    </row>
    <row r="168">
      <c r="A168" s="43" t="n"/>
      <c r="C168" s="44" t="n"/>
      <c r="D168" s="44" t="n"/>
      <c r="L168" s="45" t="n"/>
      <c r="O168" s="44" t="n"/>
    </row>
    <row r="169">
      <c r="A169" s="43" t="n"/>
      <c r="C169" s="44" t="n"/>
      <c r="D169" s="44" t="n"/>
      <c r="L169" s="45" t="n"/>
      <c r="O169" s="44" t="n"/>
    </row>
    <row r="170">
      <c r="A170" s="43" t="n"/>
      <c r="C170" s="44" t="n"/>
      <c r="D170" s="44" t="n"/>
      <c r="L170" s="45" t="n"/>
      <c r="O170" s="44" t="n"/>
    </row>
    <row r="171">
      <c r="A171" s="43" t="n"/>
      <c r="C171" s="44" t="n"/>
      <c r="D171" s="44" t="n"/>
      <c r="L171" s="45" t="n"/>
      <c r="O171" s="44" t="n"/>
    </row>
    <row r="172">
      <c r="A172" s="43" t="n"/>
      <c r="C172" s="44" t="n"/>
      <c r="D172" s="44" t="n"/>
      <c r="L172" s="45" t="n"/>
      <c r="O172" s="44" t="n"/>
    </row>
    <row r="173">
      <c r="A173" s="43" t="n"/>
      <c r="C173" s="44" t="n"/>
      <c r="D173" s="44" t="n"/>
      <c r="L173" s="45" t="n"/>
      <c r="O173" s="44" t="n"/>
    </row>
    <row r="174">
      <c r="A174" s="43" t="n"/>
      <c r="C174" s="44" t="n"/>
      <c r="D174" s="44" t="n"/>
      <c r="L174" s="45" t="n"/>
      <c r="O174" s="44" t="n"/>
    </row>
    <row r="175">
      <c r="A175" s="43" t="n"/>
      <c r="C175" s="44" t="n"/>
      <c r="D175" s="44" t="n"/>
      <c r="L175" s="45" t="n"/>
      <c r="O175" s="44" t="n"/>
    </row>
    <row r="176">
      <c r="A176" s="43" t="n"/>
      <c r="C176" s="44" t="n"/>
      <c r="D176" s="44" t="n"/>
      <c r="L176" s="45" t="n"/>
      <c r="O176" s="44" t="n"/>
    </row>
    <row r="177">
      <c r="A177" s="43" t="n"/>
      <c r="C177" s="44" t="n"/>
      <c r="D177" s="44" t="n"/>
      <c r="L177" s="45" t="n"/>
      <c r="O177" s="44" t="n"/>
    </row>
    <row r="178">
      <c r="A178" s="43" t="n"/>
      <c r="C178" s="44" t="n"/>
      <c r="D178" s="44" t="n"/>
      <c r="L178" s="45" t="n"/>
      <c r="O178" s="44" t="n"/>
    </row>
    <row r="179">
      <c r="A179" s="43" t="n"/>
      <c r="C179" s="44" t="n"/>
      <c r="D179" s="44" t="n"/>
      <c r="L179" s="45" t="n"/>
      <c r="O179" s="44" t="n"/>
    </row>
    <row r="180">
      <c r="A180" s="43" t="n"/>
      <c r="C180" s="44" t="n"/>
      <c r="D180" s="44" t="n"/>
      <c r="L180" s="45" t="n"/>
      <c r="O180" s="44" t="n"/>
    </row>
    <row r="181">
      <c r="A181" s="43" t="n"/>
      <c r="C181" s="44" t="n"/>
      <c r="D181" s="44" t="n"/>
      <c r="L181" s="45" t="n"/>
      <c r="O181" s="44" t="n"/>
    </row>
    <row r="182">
      <c r="A182" s="43" t="n"/>
      <c r="C182" s="44" t="n"/>
      <c r="D182" s="44" t="n"/>
      <c r="L182" s="45" t="n"/>
      <c r="O182" s="44" t="n"/>
    </row>
    <row r="183">
      <c r="A183" s="43" t="n"/>
      <c r="C183" s="44" t="n"/>
      <c r="D183" s="44" t="n"/>
      <c r="L183" s="45" t="n"/>
      <c r="O183" s="44" t="n"/>
    </row>
    <row r="184">
      <c r="A184" s="43" t="n"/>
      <c r="C184" s="44" t="n"/>
      <c r="D184" s="44" t="n"/>
      <c r="L184" s="45" t="n"/>
      <c r="O184" s="44" t="n"/>
    </row>
    <row r="185">
      <c r="A185" s="43" t="n"/>
      <c r="C185" s="44" t="n"/>
      <c r="D185" s="44" t="n"/>
      <c r="L185" s="45" t="n"/>
      <c r="O185" s="44" t="n"/>
    </row>
    <row r="186">
      <c r="A186" s="43" t="n"/>
      <c r="C186" s="44" t="n"/>
      <c r="D186" s="44" t="n"/>
      <c r="L186" s="45" t="n"/>
      <c r="O186" s="44" t="n"/>
    </row>
    <row r="187">
      <c r="A187" s="43" t="n"/>
      <c r="C187" s="44" t="n"/>
      <c r="D187" s="44" t="n"/>
      <c r="L187" s="45" t="n"/>
      <c r="O187" s="44" t="n"/>
    </row>
    <row r="188">
      <c r="A188" s="43" t="n"/>
      <c r="C188" s="44" t="n"/>
      <c r="D188" s="44" t="n"/>
      <c r="L188" s="45" t="n"/>
      <c r="O188" s="44" t="n"/>
    </row>
    <row r="189">
      <c r="A189" s="43" t="n"/>
      <c r="C189" s="44" t="n"/>
      <c r="D189" s="44" t="n"/>
      <c r="L189" s="45" t="n"/>
      <c r="O189" s="44" t="n"/>
    </row>
    <row r="190">
      <c r="A190" s="43" t="n"/>
      <c r="C190" s="44" t="n"/>
      <c r="D190" s="44" t="n"/>
      <c r="L190" s="45" t="n"/>
      <c r="O190" s="44" t="n"/>
    </row>
    <row r="191">
      <c r="A191" s="43" t="n"/>
      <c r="C191" s="44" t="n"/>
      <c r="D191" s="44" t="n"/>
      <c r="L191" s="45" t="n"/>
      <c r="O191" s="44" t="n"/>
    </row>
    <row r="192">
      <c r="A192" s="43" t="n"/>
      <c r="C192" s="44" t="n"/>
      <c r="D192" s="44" t="n"/>
      <c r="L192" s="45" t="n"/>
      <c r="O192" s="44" t="n"/>
    </row>
    <row r="193">
      <c r="A193" s="43" t="n"/>
      <c r="C193" s="44" t="n"/>
      <c r="D193" s="44" t="n"/>
      <c r="L193" s="45" t="n"/>
      <c r="O193" s="44" t="n"/>
    </row>
    <row r="194">
      <c r="A194" s="43" t="n"/>
      <c r="C194" s="44" t="n"/>
      <c r="D194" s="44" t="n"/>
      <c r="L194" s="45" t="n"/>
      <c r="O194" s="44" t="n"/>
    </row>
    <row r="195">
      <c r="A195" s="43" t="n"/>
      <c r="C195" s="44" t="n"/>
      <c r="D195" s="44" t="n"/>
      <c r="L195" s="45" t="n"/>
      <c r="O195" s="44" t="n"/>
    </row>
    <row r="196">
      <c r="A196" s="43" t="n"/>
      <c r="C196" s="44" t="n"/>
      <c r="D196" s="44" t="n"/>
      <c r="L196" s="45" t="n"/>
      <c r="O196" s="44" t="n"/>
    </row>
    <row r="197">
      <c r="A197" s="43" t="n"/>
      <c r="C197" s="44" t="n"/>
      <c r="D197" s="44" t="n"/>
      <c r="L197" s="45" t="n"/>
      <c r="O197" s="44" t="n"/>
    </row>
    <row r="198">
      <c r="A198" s="43" t="n"/>
      <c r="C198" s="44" t="n"/>
      <c r="D198" s="44" t="n"/>
      <c r="L198" s="45" t="n"/>
      <c r="O198" s="44" t="n"/>
    </row>
    <row r="199">
      <c r="A199" s="43" t="n"/>
      <c r="C199" s="44" t="n"/>
      <c r="D199" s="44" t="n"/>
      <c r="L199" s="45" t="n"/>
      <c r="O199" s="44" t="n"/>
    </row>
    <row r="200">
      <c r="A200" s="43" t="n"/>
      <c r="C200" s="44" t="n"/>
      <c r="D200" s="44" t="n"/>
      <c r="L200" s="45" t="n"/>
      <c r="O200" s="44" t="n"/>
    </row>
    <row r="201">
      <c r="A201" s="43" t="n"/>
      <c r="C201" s="44" t="n"/>
      <c r="D201" s="44" t="n"/>
      <c r="L201" s="45" t="n"/>
      <c r="O201" s="44" t="n"/>
    </row>
    <row r="202">
      <c r="A202" s="43" t="n"/>
      <c r="C202" s="44" t="n"/>
      <c r="D202" s="44" t="n"/>
      <c r="L202" s="45" t="n"/>
      <c r="O202" s="44" t="n"/>
    </row>
    <row r="203">
      <c r="A203" s="43" t="n"/>
      <c r="C203" s="44" t="n"/>
      <c r="D203" s="44" t="n"/>
      <c r="L203" s="45" t="n"/>
      <c r="O203" s="44" t="n"/>
    </row>
    <row r="204">
      <c r="A204" s="43" t="n"/>
      <c r="C204" s="44" t="n"/>
      <c r="D204" s="44" t="n"/>
      <c r="L204" s="45" t="n"/>
      <c r="O204" s="44" t="n"/>
    </row>
    <row r="205">
      <c r="A205" s="43" t="n"/>
      <c r="C205" s="44" t="n"/>
      <c r="D205" s="44" t="n"/>
      <c r="L205" s="45" t="n"/>
      <c r="O205" s="44" t="n"/>
    </row>
    <row r="206">
      <c r="A206" s="43" t="n"/>
      <c r="C206" s="44" t="n"/>
      <c r="D206" s="44" t="n"/>
      <c r="L206" s="45" t="n"/>
      <c r="O206" s="44" t="n"/>
    </row>
    <row r="207">
      <c r="A207" s="43" t="n"/>
      <c r="C207" s="44" t="n"/>
      <c r="D207" s="44" t="n"/>
      <c r="L207" s="45" t="n"/>
      <c r="O207" s="44" t="n"/>
    </row>
    <row r="208">
      <c r="A208" s="43" t="n"/>
      <c r="C208" s="44" t="n"/>
      <c r="D208" s="44" t="n"/>
      <c r="L208" s="45" t="n"/>
      <c r="O208" s="44" t="n"/>
    </row>
    <row r="209">
      <c r="A209" s="43" t="n"/>
      <c r="C209" s="44" t="n"/>
      <c r="D209" s="44" t="n"/>
      <c r="L209" s="45" t="n"/>
      <c r="O209" s="44" t="n"/>
    </row>
    <row r="210">
      <c r="A210" s="43" t="n"/>
      <c r="C210" s="44" t="n"/>
      <c r="D210" s="44" t="n"/>
      <c r="L210" s="45" t="n"/>
      <c r="O210" s="44" t="n"/>
    </row>
    <row r="211">
      <c r="A211" s="43" t="n"/>
      <c r="C211" s="44" t="n"/>
      <c r="D211" s="44" t="n"/>
      <c r="L211" s="45" t="n"/>
      <c r="O211" s="44" t="n"/>
    </row>
    <row r="212">
      <c r="A212" s="43" t="n"/>
      <c r="C212" s="44" t="n"/>
      <c r="D212" s="44" t="n"/>
      <c r="L212" s="45" t="n"/>
      <c r="O212" s="44" t="n"/>
    </row>
    <row r="213">
      <c r="A213" s="43" t="n"/>
      <c r="C213" s="44" t="n"/>
      <c r="D213" s="44" t="n"/>
      <c r="L213" s="45" t="n"/>
      <c r="O213" s="44" t="n"/>
    </row>
    <row r="214">
      <c r="A214" s="43" t="n"/>
      <c r="C214" s="44" t="n"/>
      <c r="D214" s="44" t="n"/>
      <c r="L214" s="45" t="n"/>
      <c r="O214" s="44" t="n"/>
    </row>
    <row r="215">
      <c r="A215" s="43" t="n"/>
      <c r="C215" s="44" t="n"/>
      <c r="D215" s="44" t="n"/>
      <c r="L215" s="45" t="n"/>
      <c r="O215" s="44" t="n"/>
    </row>
    <row r="216">
      <c r="A216" s="43" t="n"/>
      <c r="C216" s="44" t="n"/>
      <c r="D216" s="44" t="n"/>
      <c r="L216" s="45" t="n"/>
      <c r="O216" s="44" t="n"/>
    </row>
    <row r="217">
      <c r="A217" s="43" t="n"/>
      <c r="C217" s="44" t="n"/>
      <c r="D217" s="44" t="n"/>
      <c r="L217" s="45" t="n"/>
      <c r="O217" s="44" t="n"/>
    </row>
    <row r="218">
      <c r="A218" s="43" t="n"/>
      <c r="C218" s="44" t="n"/>
      <c r="D218" s="44" t="n"/>
      <c r="L218" s="45" t="n"/>
      <c r="O218" s="44" t="n"/>
    </row>
    <row r="219">
      <c r="A219" s="43" t="n"/>
      <c r="C219" s="44" t="n"/>
      <c r="D219" s="44" t="n"/>
      <c r="L219" s="45" t="n"/>
      <c r="O219" s="44" t="n"/>
    </row>
    <row r="220">
      <c r="A220" s="43" t="n"/>
      <c r="C220" s="44" t="n"/>
      <c r="D220" s="44" t="n"/>
      <c r="L220" s="45" t="n"/>
      <c r="O220" s="44" t="n"/>
    </row>
    <row r="221">
      <c r="A221" s="43" t="n"/>
      <c r="C221" s="44" t="n"/>
      <c r="D221" s="44" t="n"/>
      <c r="L221" s="45" t="n"/>
      <c r="O221" s="44" t="n"/>
    </row>
    <row r="222">
      <c r="A222" s="43" t="n"/>
      <c r="C222" s="44" t="n"/>
      <c r="D222" s="44" t="n"/>
      <c r="L222" s="45" t="n"/>
      <c r="O222" s="44" t="n"/>
    </row>
    <row r="223">
      <c r="A223" s="43" t="n"/>
      <c r="C223" s="44" t="n"/>
      <c r="D223" s="44" t="n"/>
      <c r="L223" s="45" t="n"/>
      <c r="O223" s="44" t="n"/>
    </row>
    <row r="224">
      <c r="A224" s="43" t="n"/>
      <c r="C224" s="44" t="n"/>
      <c r="D224" s="44" t="n"/>
      <c r="L224" s="45" t="n"/>
      <c r="O224" s="44" t="n"/>
    </row>
    <row r="225">
      <c r="A225" s="43" t="n"/>
      <c r="C225" s="44" t="n"/>
      <c r="D225" s="44" t="n"/>
      <c r="L225" s="45" t="n"/>
      <c r="O225" s="44" t="n"/>
    </row>
    <row r="226">
      <c r="A226" s="43" t="n"/>
      <c r="C226" s="44" t="n"/>
      <c r="D226" s="44" t="n"/>
      <c r="L226" s="45" t="n"/>
      <c r="O226" s="44" t="n"/>
    </row>
    <row r="227">
      <c r="A227" s="43" t="n"/>
      <c r="C227" s="44" t="n"/>
      <c r="D227" s="44" t="n"/>
      <c r="L227" s="45" t="n"/>
      <c r="O227" s="44" t="n"/>
    </row>
    <row r="228">
      <c r="A228" s="43" t="n"/>
      <c r="C228" s="44" t="n"/>
      <c r="D228" s="44" t="n"/>
      <c r="L228" s="45" t="n"/>
      <c r="O228" s="44" t="n"/>
    </row>
    <row r="229">
      <c r="A229" s="43" t="n"/>
      <c r="C229" s="44" t="n"/>
      <c r="D229" s="44" t="n"/>
      <c r="L229" s="45" t="n"/>
      <c r="O229" s="44" t="n"/>
    </row>
    <row r="230">
      <c r="A230" s="43" t="n"/>
      <c r="C230" s="44" t="n"/>
      <c r="D230" s="44" t="n"/>
      <c r="L230" s="45" t="n"/>
      <c r="O230" s="44" t="n"/>
    </row>
    <row r="231">
      <c r="A231" s="43" t="n"/>
      <c r="C231" s="44" t="n"/>
      <c r="D231" s="44" t="n"/>
      <c r="L231" s="45" t="n"/>
      <c r="O231" s="44" t="n"/>
    </row>
    <row r="232">
      <c r="A232" s="43" t="n"/>
      <c r="C232" s="44" t="n"/>
      <c r="D232" s="44" t="n"/>
      <c r="L232" s="45" t="n"/>
      <c r="O232" s="44" t="n"/>
    </row>
    <row r="233">
      <c r="A233" s="43" t="n"/>
      <c r="C233" s="44" t="n"/>
      <c r="D233" s="44" t="n"/>
      <c r="L233" s="45" t="n"/>
      <c r="O233" s="44" t="n"/>
    </row>
    <row r="234">
      <c r="A234" s="43" t="n"/>
      <c r="C234" s="44" t="n"/>
      <c r="D234" s="44" t="n"/>
      <c r="L234" s="45" t="n"/>
      <c r="O234" s="44" t="n"/>
    </row>
    <row r="235">
      <c r="A235" s="43" t="n"/>
      <c r="C235" s="44" t="n"/>
      <c r="D235" s="44" t="n"/>
      <c r="L235" s="45" t="n"/>
      <c r="O235" s="44" t="n"/>
    </row>
    <row r="236">
      <c r="A236" s="43" t="n"/>
      <c r="C236" s="44" t="n"/>
      <c r="D236" s="44" t="n"/>
      <c r="L236" s="45" t="n"/>
      <c r="O236" s="44" t="n"/>
    </row>
    <row r="237">
      <c r="A237" s="43" t="n"/>
      <c r="C237" s="44" t="n"/>
      <c r="D237" s="44" t="n"/>
      <c r="L237" s="45" t="n"/>
      <c r="O237" s="44" t="n"/>
    </row>
    <row r="238">
      <c r="A238" s="43" t="n"/>
      <c r="C238" s="44" t="n"/>
      <c r="D238" s="44" t="n"/>
      <c r="L238" s="45" t="n"/>
      <c r="O238" s="44" t="n"/>
    </row>
    <row r="239">
      <c r="A239" s="43" t="n"/>
      <c r="C239" s="44" t="n"/>
      <c r="D239" s="44" t="n"/>
      <c r="L239" s="45" t="n"/>
      <c r="O239" s="44" t="n"/>
    </row>
    <row r="240">
      <c r="A240" s="43" t="n"/>
      <c r="C240" s="44" t="n"/>
      <c r="D240" s="44" t="n"/>
      <c r="L240" s="45" t="n"/>
      <c r="O240" s="44" t="n"/>
    </row>
    <row r="241">
      <c r="A241" s="43" t="n"/>
      <c r="C241" s="44" t="n"/>
      <c r="D241" s="44" t="n"/>
      <c r="L241" s="45" t="n"/>
      <c r="O241" s="44" t="n"/>
    </row>
    <row r="242">
      <c r="A242" s="43" t="n"/>
      <c r="C242" s="44" t="n"/>
      <c r="D242" s="44" t="n"/>
      <c r="L242" s="45" t="n"/>
      <c r="O242" s="44" t="n"/>
    </row>
    <row r="243">
      <c r="A243" s="43" t="n"/>
      <c r="C243" s="44" t="n"/>
      <c r="D243" s="44" t="n"/>
      <c r="L243" s="45" t="n"/>
      <c r="O243" s="44" t="n"/>
    </row>
    <row r="244">
      <c r="A244" s="43" t="n"/>
      <c r="C244" s="44" t="n"/>
      <c r="D244" s="44" t="n"/>
      <c r="L244" s="45" t="n"/>
      <c r="O244" s="44" t="n"/>
    </row>
    <row r="245">
      <c r="A245" s="43" t="n"/>
      <c r="C245" s="44" t="n"/>
      <c r="D245" s="44" t="n"/>
      <c r="L245" s="45" t="n"/>
      <c r="O245" s="44" t="n"/>
    </row>
    <row r="246">
      <c r="A246" s="43" t="n"/>
      <c r="C246" s="44" t="n"/>
      <c r="D246" s="44" t="n"/>
      <c r="L246" s="45" t="n"/>
      <c r="O246" s="44" t="n"/>
    </row>
    <row r="247">
      <c r="A247" s="43" t="n"/>
      <c r="C247" s="44" t="n"/>
      <c r="D247" s="44" t="n"/>
      <c r="L247" s="45" t="n"/>
      <c r="O247" s="44" t="n"/>
    </row>
    <row r="248">
      <c r="A248" s="43" t="n"/>
      <c r="C248" s="44" t="n"/>
      <c r="D248" s="44" t="n"/>
      <c r="L248" s="45" t="n"/>
      <c r="O248" s="44" t="n"/>
    </row>
    <row r="249">
      <c r="A249" s="43" t="n"/>
      <c r="C249" s="44" t="n"/>
      <c r="D249" s="44" t="n"/>
      <c r="L249" s="45" t="n"/>
      <c r="O249" s="44" t="n"/>
    </row>
    <row r="250">
      <c r="A250" s="43" t="n"/>
      <c r="C250" s="44" t="n"/>
      <c r="D250" s="44" t="n"/>
      <c r="L250" s="45" t="n"/>
      <c r="O250" s="44" t="n"/>
    </row>
    <row r="251">
      <c r="A251" s="43" t="n"/>
      <c r="C251" s="44" t="n"/>
      <c r="D251" s="44" t="n"/>
      <c r="L251" s="45" t="n"/>
      <c r="O251" s="44" t="n"/>
    </row>
    <row r="252">
      <c r="A252" s="43" t="n"/>
      <c r="C252" s="44" t="n"/>
      <c r="D252" s="44" t="n"/>
      <c r="L252" s="45" t="n"/>
      <c r="O252" s="44" t="n"/>
    </row>
    <row r="253">
      <c r="A253" s="43" t="n"/>
      <c r="C253" s="44" t="n"/>
      <c r="D253" s="44" t="n"/>
      <c r="L253" s="45" t="n"/>
      <c r="O253" s="44" t="n"/>
    </row>
    <row r="254">
      <c r="A254" s="43" t="n"/>
      <c r="C254" s="44" t="n"/>
      <c r="D254" s="44" t="n"/>
      <c r="L254" s="45" t="n"/>
      <c r="O254" s="44" t="n"/>
    </row>
    <row r="255">
      <c r="A255" s="43" t="n"/>
      <c r="C255" s="44" t="n"/>
      <c r="D255" s="44" t="n"/>
      <c r="L255" s="45" t="n"/>
      <c r="O255" s="44" t="n"/>
    </row>
    <row r="256">
      <c r="A256" s="43" t="n"/>
      <c r="C256" s="44" t="n"/>
      <c r="D256" s="44" t="n"/>
      <c r="L256" s="45" t="n"/>
      <c r="O256" s="44" t="n"/>
    </row>
    <row r="257">
      <c r="A257" s="43" t="n"/>
      <c r="C257" s="44" t="n"/>
      <c r="D257" s="44" t="n"/>
      <c r="L257" s="45" t="n"/>
      <c r="O257" s="44" t="n"/>
    </row>
    <row r="258">
      <c r="A258" s="43" t="n"/>
      <c r="C258" s="44" t="n"/>
      <c r="D258" s="44" t="n"/>
      <c r="L258" s="45" t="n"/>
      <c r="O258" s="44" t="n"/>
    </row>
    <row r="259">
      <c r="A259" s="43" t="n"/>
      <c r="C259" s="44" t="n"/>
      <c r="D259" s="44" t="n"/>
      <c r="L259" s="45" t="n"/>
      <c r="O259" s="44" t="n"/>
    </row>
    <row r="260">
      <c r="A260" s="43" t="n"/>
      <c r="C260" s="44" t="n"/>
      <c r="D260" s="44" t="n"/>
      <c r="L260" s="45" t="n"/>
      <c r="O260" s="44" t="n"/>
    </row>
    <row r="261">
      <c r="A261" s="43" t="n"/>
      <c r="C261" s="44" t="n"/>
      <c r="D261" s="44" t="n"/>
      <c r="L261" s="45" t="n"/>
      <c r="O261" s="44" t="n"/>
    </row>
    <row r="262">
      <c r="A262" s="43" t="n"/>
      <c r="C262" s="44" t="n"/>
      <c r="D262" s="44" t="n"/>
      <c r="L262" s="45" t="n"/>
      <c r="O262" s="44" t="n"/>
    </row>
    <row r="263">
      <c r="A263" s="43" t="n"/>
      <c r="C263" s="44" t="n"/>
      <c r="D263" s="44" t="n"/>
      <c r="L263" s="45" t="n"/>
      <c r="O263" s="44" t="n"/>
    </row>
    <row r="264">
      <c r="A264" s="43" t="n"/>
      <c r="C264" s="44" t="n"/>
      <c r="D264" s="44" t="n"/>
      <c r="L264" s="45" t="n"/>
      <c r="O264" s="44" t="n"/>
    </row>
    <row r="265">
      <c r="A265" s="43" t="n"/>
      <c r="C265" s="44" t="n"/>
      <c r="D265" s="44" t="n"/>
      <c r="L265" s="45" t="n"/>
      <c r="O265" s="44" t="n"/>
    </row>
    <row r="266">
      <c r="A266" s="43" t="n"/>
      <c r="C266" s="44" t="n"/>
      <c r="D266" s="44" t="n"/>
      <c r="L266" s="45" t="n"/>
      <c r="O266" s="44" t="n"/>
    </row>
    <row r="267">
      <c r="A267" s="43" t="n"/>
      <c r="C267" s="44" t="n"/>
      <c r="D267" s="44" t="n"/>
      <c r="L267" s="45" t="n"/>
      <c r="O267" s="44" t="n"/>
    </row>
    <row r="268">
      <c r="A268" s="43" t="n"/>
      <c r="C268" s="44" t="n"/>
      <c r="D268" s="44" t="n"/>
      <c r="L268" s="45" t="n"/>
      <c r="O268" s="44" t="n"/>
    </row>
    <row r="269">
      <c r="A269" s="43" t="n"/>
      <c r="C269" s="44" t="n"/>
      <c r="D269" s="44" t="n"/>
      <c r="L269" s="45" t="n"/>
      <c r="O269" s="44" t="n"/>
    </row>
    <row r="270">
      <c r="A270" s="43" t="n"/>
      <c r="C270" s="44" t="n"/>
      <c r="D270" s="44" t="n"/>
      <c r="L270" s="45" t="n"/>
      <c r="O270" s="44" t="n"/>
    </row>
    <row r="271">
      <c r="A271" s="43" t="n"/>
      <c r="C271" s="44" t="n"/>
      <c r="D271" s="44" t="n"/>
      <c r="L271" s="45" t="n"/>
      <c r="O271" s="44" t="n"/>
    </row>
    <row r="272">
      <c r="A272" s="43" t="n"/>
      <c r="C272" s="44" t="n"/>
      <c r="D272" s="44" t="n"/>
      <c r="L272" s="45" t="n"/>
      <c r="O272" s="44" t="n"/>
    </row>
    <row r="273">
      <c r="A273" s="43" t="n"/>
      <c r="C273" s="44" t="n"/>
      <c r="D273" s="44" t="n"/>
      <c r="L273" s="45" t="n"/>
      <c r="O273" s="44" t="n"/>
    </row>
    <row r="274">
      <c r="A274" s="43" t="n"/>
      <c r="C274" s="44" t="n"/>
      <c r="D274" s="44" t="n"/>
      <c r="L274" s="45" t="n"/>
      <c r="O274" s="44" t="n"/>
    </row>
    <row r="275">
      <c r="A275" s="43" t="n"/>
      <c r="C275" s="44" t="n"/>
      <c r="D275" s="44" t="n"/>
      <c r="L275" s="45" t="n"/>
      <c r="O275" s="44" t="n"/>
    </row>
    <row r="276">
      <c r="A276" s="43" t="n"/>
      <c r="C276" s="44" t="n"/>
      <c r="D276" s="44" t="n"/>
      <c r="L276" s="45" t="n"/>
      <c r="O276" s="44" t="n"/>
    </row>
    <row r="277">
      <c r="A277" s="43" t="n"/>
      <c r="C277" s="44" t="n"/>
      <c r="D277" s="44" t="n"/>
      <c r="L277" s="45" t="n"/>
      <c r="O277" s="44" t="n"/>
    </row>
    <row r="278">
      <c r="A278" s="43" t="n"/>
      <c r="C278" s="44" t="n"/>
      <c r="D278" s="44" t="n"/>
      <c r="L278" s="45" t="n"/>
      <c r="O278" s="44" t="n"/>
    </row>
    <row r="279">
      <c r="A279" s="43" t="n"/>
      <c r="C279" s="44" t="n"/>
      <c r="D279" s="44" t="n"/>
      <c r="L279" s="45" t="n"/>
      <c r="O279" s="44" t="n"/>
    </row>
    <row r="280">
      <c r="A280" s="43" t="n"/>
      <c r="C280" s="44" t="n"/>
      <c r="D280" s="44" t="n"/>
      <c r="L280" s="45" t="n"/>
      <c r="O280" s="44" t="n"/>
    </row>
    <row r="281">
      <c r="A281" s="43" t="n"/>
      <c r="C281" s="44" t="n"/>
      <c r="D281" s="44" t="n"/>
      <c r="L281" s="45" t="n"/>
      <c r="O281" s="44" t="n"/>
    </row>
    <row r="282">
      <c r="A282" s="43" t="n"/>
      <c r="C282" s="44" t="n"/>
      <c r="D282" s="44" t="n"/>
      <c r="L282" s="45" t="n"/>
      <c r="O282" s="44" t="n"/>
    </row>
    <row r="283">
      <c r="A283" s="43" t="n"/>
      <c r="C283" s="44" t="n"/>
      <c r="D283" s="44" t="n"/>
      <c r="L283" s="45" t="n"/>
      <c r="O283" s="44" t="n"/>
    </row>
    <row r="284">
      <c r="A284" s="43" t="n"/>
      <c r="C284" s="44" t="n"/>
      <c r="D284" s="44" t="n"/>
      <c r="L284" s="45" t="n"/>
      <c r="O284" s="44" t="n"/>
    </row>
    <row r="285">
      <c r="A285" s="43" t="n"/>
      <c r="C285" s="44" t="n"/>
      <c r="D285" s="44" t="n"/>
      <c r="L285" s="45" t="n"/>
      <c r="O285" s="44" t="n"/>
    </row>
    <row r="286">
      <c r="A286" s="43" t="n"/>
      <c r="C286" s="44" t="n"/>
      <c r="D286" s="44" t="n"/>
      <c r="L286" s="45" t="n"/>
      <c r="O286" s="44" t="n"/>
    </row>
    <row r="287">
      <c r="A287" s="43" t="n"/>
      <c r="C287" s="44" t="n"/>
      <c r="D287" s="44" t="n"/>
      <c r="L287" s="45" t="n"/>
      <c r="O287" s="44" t="n"/>
    </row>
    <row r="288">
      <c r="A288" s="43" t="n"/>
      <c r="C288" s="44" t="n"/>
      <c r="D288" s="44" t="n"/>
      <c r="L288" s="45" t="n"/>
      <c r="O288" s="44" t="n"/>
    </row>
    <row r="289">
      <c r="A289" s="43" t="n"/>
      <c r="C289" s="44" t="n"/>
      <c r="D289" s="44" t="n"/>
      <c r="L289" s="45" t="n"/>
      <c r="O289" s="44" t="n"/>
    </row>
    <row r="290">
      <c r="A290" s="43" t="n"/>
      <c r="C290" s="44" t="n"/>
      <c r="D290" s="44" t="n"/>
      <c r="L290" s="45" t="n"/>
      <c r="O290" s="44" t="n"/>
    </row>
    <row r="291">
      <c r="A291" s="43" t="n"/>
      <c r="C291" s="44" t="n"/>
      <c r="D291" s="44" t="n"/>
      <c r="L291" s="45" t="n"/>
      <c r="O291" s="44" t="n"/>
    </row>
    <row r="292">
      <c r="A292" s="43" t="n"/>
      <c r="C292" s="44" t="n"/>
      <c r="D292" s="44" t="n"/>
      <c r="L292" s="45" t="n"/>
      <c r="O292" s="44" t="n"/>
    </row>
    <row r="293">
      <c r="A293" s="43" t="n"/>
      <c r="C293" s="44" t="n"/>
      <c r="D293" s="44" t="n"/>
      <c r="L293" s="45" t="n"/>
      <c r="O293" s="44" t="n"/>
    </row>
    <row r="294">
      <c r="A294" s="43" t="n"/>
      <c r="C294" s="44" t="n"/>
      <c r="D294" s="44" t="n"/>
      <c r="L294" s="45" t="n"/>
      <c r="O294" s="44" t="n"/>
    </row>
    <row r="295">
      <c r="A295" s="43" t="n"/>
      <c r="C295" s="44" t="n"/>
      <c r="D295" s="44" t="n"/>
      <c r="L295" s="45" t="n"/>
      <c r="O295" s="44" t="n"/>
    </row>
    <row r="296">
      <c r="A296" s="43" t="n"/>
      <c r="C296" s="44" t="n"/>
      <c r="D296" s="44" t="n"/>
      <c r="L296" s="45" t="n"/>
      <c r="O296" s="44" t="n"/>
    </row>
    <row r="297">
      <c r="A297" s="43" t="n"/>
      <c r="C297" s="44" t="n"/>
      <c r="D297" s="44" t="n"/>
      <c r="L297" s="45" t="n"/>
      <c r="O297" s="44" t="n"/>
    </row>
    <row r="298">
      <c r="A298" s="43" t="n"/>
      <c r="C298" s="44" t="n"/>
      <c r="D298" s="44" t="n"/>
      <c r="L298" s="45" t="n"/>
      <c r="O298" s="44" t="n"/>
    </row>
    <row r="299">
      <c r="A299" s="43" t="n"/>
      <c r="C299" s="44" t="n"/>
      <c r="D299" s="44" t="n"/>
      <c r="L299" s="45" t="n"/>
      <c r="O299" s="44" t="n"/>
    </row>
    <row r="300">
      <c r="A300" s="43" t="n"/>
      <c r="C300" s="44" t="n"/>
      <c r="D300" s="44" t="n"/>
      <c r="L300" s="45" t="n"/>
      <c r="O300" s="44" t="n"/>
    </row>
    <row r="301">
      <c r="A301" s="43" t="n"/>
      <c r="C301" s="44" t="n"/>
      <c r="D301" s="44" t="n"/>
      <c r="L301" s="45" t="n"/>
      <c r="O301" s="44" t="n"/>
    </row>
    <row r="302">
      <c r="A302" s="43" t="n"/>
      <c r="C302" s="44" t="n"/>
      <c r="D302" s="44" t="n"/>
      <c r="L302" s="45" t="n"/>
      <c r="O302" s="44" t="n"/>
    </row>
    <row r="303">
      <c r="A303" s="43" t="n"/>
      <c r="C303" s="44" t="n"/>
      <c r="D303" s="44" t="n"/>
      <c r="L303" s="45" t="n"/>
      <c r="O303" s="44" t="n"/>
    </row>
    <row r="304">
      <c r="A304" s="43" t="n"/>
      <c r="C304" s="44" t="n"/>
      <c r="D304" s="44" t="n"/>
      <c r="L304" s="45" t="n"/>
      <c r="O304" s="44" t="n"/>
    </row>
    <row r="305">
      <c r="A305" s="43" t="n"/>
      <c r="C305" s="44" t="n"/>
      <c r="D305" s="44" t="n"/>
      <c r="L305" s="45" t="n"/>
      <c r="O305" s="44" t="n"/>
    </row>
    <row r="306">
      <c r="A306" s="43" t="n"/>
      <c r="C306" s="44" t="n"/>
      <c r="D306" s="44" t="n"/>
      <c r="L306" s="45" t="n"/>
      <c r="O306" s="44" t="n"/>
    </row>
    <row r="307">
      <c r="A307" s="43" t="n"/>
      <c r="C307" s="44" t="n"/>
      <c r="D307" s="44" t="n"/>
      <c r="L307" s="45" t="n"/>
      <c r="O307" s="44" t="n"/>
    </row>
    <row r="308">
      <c r="A308" s="43" t="n"/>
      <c r="C308" s="44" t="n"/>
      <c r="D308" s="44" t="n"/>
      <c r="L308" s="45" t="n"/>
      <c r="O308" s="44" t="n"/>
    </row>
    <row r="309">
      <c r="A309" s="43" t="n"/>
      <c r="C309" s="44" t="n"/>
      <c r="D309" s="44" t="n"/>
      <c r="L309" s="45" t="n"/>
      <c r="O309" s="44" t="n"/>
    </row>
    <row r="310">
      <c r="A310" s="43" t="n"/>
      <c r="C310" s="44" t="n"/>
      <c r="D310" s="44" t="n"/>
      <c r="L310" s="45" t="n"/>
      <c r="O310" s="44" t="n"/>
    </row>
    <row r="311">
      <c r="A311" s="43" t="n"/>
      <c r="C311" s="44" t="n"/>
      <c r="D311" s="44" t="n"/>
      <c r="L311" s="45" t="n"/>
      <c r="O311" s="44" t="n"/>
    </row>
    <row r="312">
      <c r="A312" s="43" t="n"/>
      <c r="C312" s="44" t="n"/>
      <c r="D312" s="44" t="n"/>
      <c r="L312" s="45" t="n"/>
      <c r="O312" s="44" t="n"/>
    </row>
    <row r="313">
      <c r="A313" s="43" t="n"/>
      <c r="C313" s="44" t="n"/>
      <c r="D313" s="44" t="n"/>
      <c r="L313" s="45" t="n"/>
      <c r="O313" s="44" t="n"/>
    </row>
    <row r="314">
      <c r="A314" s="43" t="n"/>
      <c r="C314" s="44" t="n"/>
      <c r="D314" s="44" t="n"/>
      <c r="L314" s="45" t="n"/>
      <c r="O314" s="44" t="n"/>
    </row>
    <row r="315">
      <c r="A315" s="43" t="n"/>
      <c r="C315" s="44" t="n"/>
      <c r="D315" s="44" t="n"/>
      <c r="L315" s="45" t="n"/>
      <c r="O315" s="44" t="n"/>
    </row>
    <row r="316">
      <c r="A316" s="43" t="n"/>
      <c r="C316" s="44" t="n"/>
      <c r="D316" s="44" t="n"/>
      <c r="L316" s="45" t="n"/>
      <c r="O316" s="44" t="n"/>
    </row>
    <row r="317">
      <c r="A317" s="43" t="n"/>
      <c r="C317" s="44" t="n"/>
      <c r="D317" s="44" t="n"/>
      <c r="L317" s="45" t="n"/>
      <c r="O317" s="44" t="n"/>
    </row>
    <row r="318">
      <c r="A318" s="43" t="n"/>
      <c r="C318" s="44" t="n"/>
      <c r="D318" s="44" t="n"/>
      <c r="L318" s="45" t="n"/>
      <c r="O318" s="44" t="n"/>
    </row>
    <row r="319">
      <c r="A319" s="43" t="n"/>
      <c r="C319" s="44" t="n"/>
      <c r="D319" s="44" t="n"/>
      <c r="L319" s="45" t="n"/>
      <c r="O319" s="44" t="n"/>
    </row>
    <row r="320">
      <c r="A320" s="43" t="n"/>
      <c r="C320" s="44" t="n"/>
      <c r="D320" s="44" t="n"/>
      <c r="L320" s="45" t="n"/>
      <c r="O320" s="44" t="n"/>
    </row>
    <row r="321">
      <c r="A321" s="43" t="n"/>
      <c r="C321" s="44" t="n"/>
      <c r="D321" s="44" t="n"/>
      <c r="L321" s="45" t="n"/>
      <c r="O321" s="44" t="n"/>
    </row>
    <row r="322">
      <c r="A322" s="43" t="n"/>
      <c r="C322" s="44" t="n"/>
      <c r="D322" s="44" t="n"/>
      <c r="L322" s="45" t="n"/>
      <c r="O322" s="44" t="n"/>
    </row>
    <row r="323">
      <c r="A323" s="43" t="n"/>
      <c r="C323" s="44" t="n"/>
      <c r="D323" s="44" t="n"/>
      <c r="L323" s="45" t="n"/>
      <c r="O323" s="44" t="n"/>
    </row>
    <row r="324">
      <c r="A324" s="43" t="n"/>
      <c r="C324" s="44" t="n"/>
      <c r="D324" s="44" t="n"/>
      <c r="L324" s="45" t="n"/>
      <c r="O324" s="44" t="n"/>
    </row>
    <row r="325">
      <c r="A325" s="43" t="n"/>
      <c r="C325" s="44" t="n"/>
      <c r="D325" s="44" t="n"/>
      <c r="L325" s="45" t="n"/>
      <c r="O325" s="44" t="n"/>
    </row>
    <row r="326">
      <c r="A326" s="43" t="n"/>
      <c r="C326" s="44" t="n"/>
      <c r="D326" s="44" t="n"/>
      <c r="L326" s="45" t="n"/>
      <c r="O326" s="44" t="n"/>
    </row>
    <row r="327">
      <c r="A327" s="43" t="n"/>
      <c r="C327" s="44" t="n"/>
      <c r="D327" s="44" t="n"/>
      <c r="L327" s="45" t="n"/>
      <c r="O327" s="44" t="n"/>
    </row>
    <row r="328">
      <c r="A328" s="43" t="n"/>
      <c r="C328" s="44" t="n"/>
      <c r="D328" s="44" t="n"/>
      <c r="L328" s="45" t="n"/>
      <c r="O328" s="44" t="n"/>
    </row>
    <row r="329">
      <c r="A329" s="43" t="n"/>
      <c r="C329" s="44" t="n"/>
      <c r="D329" s="44" t="n"/>
      <c r="L329" s="45" t="n"/>
      <c r="O329" s="44" t="n"/>
    </row>
    <row r="330">
      <c r="A330" s="43" t="n"/>
      <c r="C330" s="44" t="n"/>
      <c r="D330" s="44" t="n"/>
      <c r="L330" s="45" t="n"/>
      <c r="O330" s="44" t="n"/>
    </row>
    <row r="331">
      <c r="A331" s="43" t="n"/>
      <c r="C331" s="44" t="n"/>
      <c r="D331" s="44" t="n"/>
      <c r="L331" s="45" t="n"/>
      <c r="O331" s="44" t="n"/>
    </row>
    <row r="332">
      <c r="A332" s="43" t="n"/>
      <c r="C332" s="44" t="n"/>
      <c r="D332" s="44" t="n"/>
      <c r="L332" s="45" t="n"/>
      <c r="O332" s="44" t="n"/>
    </row>
    <row r="333">
      <c r="A333" s="43" t="n"/>
      <c r="C333" s="44" t="n"/>
      <c r="D333" s="44" t="n"/>
      <c r="L333" s="45" t="n"/>
      <c r="O333" s="44" t="n"/>
    </row>
    <row r="334">
      <c r="A334" s="43" t="n"/>
      <c r="C334" s="44" t="n"/>
      <c r="D334" s="44" t="n"/>
      <c r="L334" s="45" t="n"/>
      <c r="O334" s="44" t="n"/>
    </row>
    <row r="335">
      <c r="A335" s="43" t="n"/>
      <c r="C335" s="44" t="n"/>
      <c r="D335" s="44" t="n"/>
      <c r="L335" s="45" t="n"/>
      <c r="O335" s="44" t="n"/>
    </row>
    <row r="336">
      <c r="A336" s="43" t="n"/>
      <c r="C336" s="44" t="n"/>
      <c r="D336" s="44" t="n"/>
      <c r="L336" s="45" t="n"/>
      <c r="O336" s="44" t="n"/>
    </row>
    <row r="337">
      <c r="A337" s="43" t="n"/>
      <c r="C337" s="44" t="n"/>
      <c r="D337" s="44" t="n"/>
      <c r="L337" s="45" t="n"/>
      <c r="O337" s="44" t="n"/>
    </row>
    <row r="338">
      <c r="A338" s="43" t="n"/>
      <c r="C338" s="44" t="n"/>
      <c r="D338" s="44" t="n"/>
      <c r="L338" s="45" t="n"/>
      <c r="O338" s="44" t="n"/>
    </row>
    <row r="339">
      <c r="A339" s="43" t="n"/>
      <c r="C339" s="44" t="n"/>
      <c r="D339" s="44" t="n"/>
      <c r="L339" s="45" t="n"/>
      <c r="O339" s="44" t="n"/>
    </row>
    <row r="340">
      <c r="A340" s="43" t="n"/>
      <c r="C340" s="44" t="n"/>
      <c r="D340" s="44" t="n"/>
      <c r="L340" s="45" t="n"/>
      <c r="O340" s="44" t="n"/>
    </row>
    <row r="341">
      <c r="A341" s="43" t="n"/>
      <c r="C341" s="44" t="n"/>
      <c r="D341" s="44" t="n"/>
      <c r="L341" s="45" t="n"/>
      <c r="O341" s="44" t="n"/>
    </row>
    <row r="342">
      <c r="A342" s="43" t="n"/>
      <c r="C342" s="44" t="n"/>
      <c r="D342" s="44" t="n"/>
      <c r="L342" s="45" t="n"/>
      <c r="O342" s="44" t="n"/>
    </row>
    <row r="343">
      <c r="A343" s="43" t="n"/>
      <c r="C343" s="44" t="n"/>
      <c r="D343" s="44" t="n"/>
      <c r="L343" s="45" t="n"/>
      <c r="O343" s="44" t="n"/>
    </row>
    <row r="344">
      <c r="A344" s="43" t="n"/>
      <c r="C344" s="44" t="n"/>
      <c r="D344" s="44" t="n"/>
      <c r="L344" s="45" t="n"/>
      <c r="O344" s="44" t="n"/>
    </row>
    <row r="345">
      <c r="A345" s="43" t="n"/>
      <c r="C345" s="44" t="n"/>
      <c r="D345" s="44" t="n"/>
      <c r="L345" s="45" t="n"/>
      <c r="O345" s="44" t="n"/>
    </row>
    <row r="346">
      <c r="A346" s="43" t="n"/>
      <c r="C346" s="44" t="n"/>
      <c r="D346" s="44" t="n"/>
      <c r="L346" s="45" t="n"/>
      <c r="O346" s="44" t="n"/>
    </row>
    <row r="347">
      <c r="A347" s="43" t="n"/>
      <c r="C347" s="44" t="n"/>
      <c r="D347" s="44" t="n"/>
      <c r="L347" s="45" t="n"/>
      <c r="O347" s="44" t="n"/>
    </row>
    <row r="348">
      <c r="A348" s="43" t="n"/>
      <c r="C348" s="44" t="n"/>
      <c r="D348" s="44" t="n"/>
      <c r="L348" s="45" t="n"/>
      <c r="O348" s="44" t="n"/>
    </row>
    <row r="349">
      <c r="A349" s="43" t="n"/>
      <c r="C349" s="44" t="n"/>
      <c r="D349" s="44" t="n"/>
      <c r="L349" s="45" t="n"/>
      <c r="O349" s="44" t="n"/>
    </row>
    <row r="350">
      <c r="A350" s="43" t="n"/>
      <c r="C350" s="44" t="n"/>
      <c r="D350" s="44" t="n"/>
      <c r="L350" s="45" t="n"/>
      <c r="O350" s="44" t="n"/>
    </row>
    <row r="351">
      <c r="A351" s="43" t="n"/>
      <c r="C351" s="44" t="n"/>
      <c r="D351" s="44" t="n"/>
      <c r="L351" s="45" t="n"/>
      <c r="O351" s="44" t="n"/>
    </row>
    <row r="352">
      <c r="A352" s="43" t="n"/>
      <c r="C352" s="44" t="n"/>
      <c r="D352" s="44" t="n"/>
      <c r="L352" s="45" t="n"/>
      <c r="O352" s="44" t="n"/>
    </row>
    <row r="353">
      <c r="A353" s="43" t="n"/>
      <c r="C353" s="44" t="n"/>
      <c r="D353" s="44" t="n"/>
      <c r="L353" s="45" t="n"/>
      <c r="O353" s="44" t="n"/>
    </row>
    <row r="354">
      <c r="A354" s="43" t="n"/>
      <c r="C354" s="44" t="n"/>
      <c r="D354" s="44" t="n"/>
      <c r="L354" s="45" t="n"/>
      <c r="O354" s="44" t="n"/>
    </row>
    <row r="355">
      <c r="A355" s="43" t="n"/>
      <c r="C355" s="44" t="n"/>
      <c r="D355" s="44" t="n"/>
      <c r="L355" s="45" t="n"/>
      <c r="O355" s="44" t="n"/>
    </row>
    <row r="356">
      <c r="A356" s="43" t="n"/>
      <c r="C356" s="44" t="n"/>
      <c r="D356" s="44" t="n"/>
      <c r="L356" s="45" t="n"/>
      <c r="O356" s="44" t="n"/>
    </row>
    <row r="357">
      <c r="A357" s="43" t="n"/>
      <c r="C357" s="44" t="n"/>
      <c r="D357" s="44" t="n"/>
      <c r="L357" s="45" t="n"/>
      <c r="O357" s="44" t="n"/>
    </row>
    <row r="358">
      <c r="A358" s="43" t="n"/>
      <c r="C358" s="44" t="n"/>
      <c r="D358" s="44" t="n"/>
      <c r="L358" s="45" t="n"/>
      <c r="O358" s="44" t="n"/>
    </row>
    <row r="359">
      <c r="A359" s="43" t="n"/>
      <c r="C359" s="44" t="n"/>
      <c r="D359" s="44" t="n"/>
      <c r="L359" s="45" t="n"/>
      <c r="O359" s="44" t="n"/>
    </row>
    <row r="360">
      <c r="A360" s="43" t="n"/>
      <c r="C360" s="44" t="n"/>
      <c r="D360" s="44" t="n"/>
      <c r="L360" s="45" t="n"/>
      <c r="O360" s="44" t="n"/>
    </row>
    <row r="361">
      <c r="A361" s="43" t="n"/>
      <c r="C361" s="44" t="n"/>
      <c r="D361" s="44" t="n"/>
      <c r="L361" s="45" t="n"/>
      <c r="O361" s="44" t="n"/>
    </row>
    <row r="362">
      <c r="A362" s="43" t="n"/>
      <c r="C362" s="44" t="n"/>
      <c r="D362" s="44" t="n"/>
      <c r="L362" s="45" t="n"/>
      <c r="O362" s="44" t="n"/>
    </row>
    <row r="363">
      <c r="A363" s="43" t="n"/>
      <c r="C363" s="44" t="n"/>
      <c r="D363" s="44" t="n"/>
      <c r="L363" s="45" t="n"/>
      <c r="O363" s="44" t="n"/>
    </row>
    <row r="364">
      <c r="A364" s="43" t="n"/>
      <c r="C364" s="44" t="n"/>
      <c r="D364" s="44" t="n"/>
      <c r="L364" s="45" t="n"/>
      <c r="O364" s="44" t="n"/>
    </row>
    <row r="365">
      <c r="A365" s="43" t="n"/>
      <c r="C365" s="44" t="n"/>
      <c r="D365" s="44" t="n"/>
      <c r="L365" s="45" t="n"/>
      <c r="O365" s="44" t="n"/>
    </row>
    <row r="366">
      <c r="A366" s="43" t="n"/>
      <c r="C366" s="44" t="n"/>
      <c r="D366" s="44" t="n"/>
      <c r="L366" s="45" t="n"/>
      <c r="O366" s="44" t="n"/>
    </row>
    <row r="367">
      <c r="A367" s="43" t="n"/>
      <c r="C367" s="44" t="n"/>
      <c r="D367" s="44" t="n"/>
      <c r="L367" s="45" t="n"/>
      <c r="O367" s="44" t="n"/>
    </row>
    <row r="368">
      <c r="A368" s="43" t="n"/>
      <c r="C368" s="44" t="n"/>
      <c r="D368" s="44" t="n"/>
      <c r="L368" s="45" t="n"/>
      <c r="O368" s="44" t="n"/>
    </row>
    <row r="369">
      <c r="A369" s="43" t="n"/>
      <c r="C369" s="44" t="n"/>
      <c r="D369" s="44" t="n"/>
      <c r="L369" s="45" t="n"/>
      <c r="O369" s="44" t="n"/>
    </row>
    <row r="370">
      <c r="A370" s="43" t="n"/>
      <c r="C370" s="44" t="n"/>
      <c r="D370" s="44" t="n"/>
      <c r="L370" s="45" t="n"/>
      <c r="O370" s="44" t="n"/>
    </row>
    <row r="371">
      <c r="A371" s="43" t="n"/>
      <c r="C371" s="44" t="n"/>
      <c r="D371" s="44" t="n"/>
      <c r="L371" s="45" t="n"/>
      <c r="O371" s="44" t="n"/>
    </row>
    <row r="372">
      <c r="A372" s="43" t="n"/>
      <c r="C372" s="44" t="n"/>
      <c r="D372" s="44" t="n"/>
      <c r="L372" s="45" t="n"/>
      <c r="O372" s="44" t="n"/>
    </row>
    <row r="373">
      <c r="A373" s="43" t="n"/>
      <c r="C373" s="44" t="n"/>
      <c r="D373" s="44" t="n"/>
      <c r="L373" s="45" t="n"/>
      <c r="O373" s="44" t="n"/>
    </row>
    <row r="374">
      <c r="A374" s="43" t="n"/>
      <c r="C374" s="44" t="n"/>
      <c r="D374" s="44" t="n"/>
      <c r="L374" s="45" t="n"/>
      <c r="O374" s="44" t="n"/>
    </row>
    <row r="375">
      <c r="A375" s="43" t="n"/>
      <c r="C375" s="44" t="n"/>
      <c r="D375" s="44" t="n"/>
      <c r="L375" s="45" t="n"/>
      <c r="O375" s="44" t="n"/>
    </row>
    <row r="376">
      <c r="A376" s="43" t="n"/>
      <c r="C376" s="44" t="n"/>
      <c r="D376" s="44" t="n"/>
      <c r="L376" s="45" t="n"/>
      <c r="O376" s="44" t="n"/>
    </row>
    <row r="377">
      <c r="A377" s="43" t="n"/>
      <c r="C377" s="44" t="n"/>
      <c r="D377" s="44" t="n"/>
      <c r="L377" s="45" t="n"/>
      <c r="O377" s="44" t="n"/>
    </row>
    <row r="378">
      <c r="A378" s="43" t="n"/>
      <c r="C378" s="44" t="n"/>
      <c r="D378" s="44" t="n"/>
      <c r="L378" s="45" t="n"/>
      <c r="O378" s="44" t="n"/>
    </row>
    <row r="379">
      <c r="A379" s="43" t="n"/>
      <c r="C379" s="44" t="n"/>
      <c r="D379" s="44" t="n"/>
      <c r="L379" s="45" t="n"/>
      <c r="O379" s="44" t="n"/>
    </row>
    <row r="380">
      <c r="A380" s="43" t="n"/>
      <c r="C380" s="44" t="n"/>
      <c r="D380" s="44" t="n"/>
      <c r="L380" s="45" t="n"/>
      <c r="O380" s="44" t="n"/>
    </row>
    <row r="381">
      <c r="A381" s="43" t="n"/>
      <c r="C381" s="44" t="n"/>
      <c r="D381" s="44" t="n"/>
      <c r="L381" s="45" t="n"/>
      <c r="O381" s="44" t="n"/>
    </row>
    <row r="382">
      <c r="A382" s="43" t="n"/>
      <c r="C382" s="44" t="n"/>
      <c r="D382" s="44" t="n"/>
      <c r="L382" s="45" t="n"/>
      <c r="O382" s="44" t="n"/>
    </row>
    <row r="383">
      <c r="A383" s="43" t="n"/>
      <c r="C383" s="44" t="n"/>
      <c r="D383" s="44" t="n"/>
      <c r="L383" s="45" t="n"/>
      <c r="O383" s="44" t="n"/>
    </row>
    <row r="384">
      <c r="A384" s="43" t="n"/>
      <c r="C384" s="44" t="n"/>
      <c r="D384" s="44" t="n"/>
      <c r="L384" s="45" t="n"/>
      <c r="O384" s="44" t="n"/>
    </row>
    <row r="385">
      <c r="A385" s="43" t="n"/>
      <c r="C385" s="44" t="n"/>
      <c r="D385" s="44" t="n"/>
      <c r="L385" s="45" t="n"/>
      <c r="O385" s="44" t="n"/>
    </row>
    <row r="386">
      <c r="A386" s="43" t="n"/>
      <c r="C386" s="44" t="n"/>
      <c r="D386" s="44" t="n"/>
      <c r="L386" s="45" t="n"/>
      <c r="O386" s="44" t="n"/>
    </row>
    <row r="387">
      <c r="A387" s="43" t="n"/>
      <c r="C387" s="44" t="n"/>
      <c r="D387" s="44" t="n"/>
      <c r="L387" s="45" t="n"/>
      <c r="O387" s="44" t="n"/>
    </row>
    <row r="388">
      <c r="A388" s="43" t="n"/>
      <c r="C388" s="44" t="n"/>
      <c r="D388" s="44" t="n"/>
      <c r="L388" s="45" t="n"/>
      <c r="O388" s="44" t="n"/>
    </row>
    <row r="389">
      <c r="A389" s="43" t="n"/>
      <c r="C389" s="44" t="n"/>
      <c r="D389" s="44" t="n"/>
      <c r="L389" s="45" t="n"/>
      <c r="O389" s="44" t="n"/>
    </row>
    <row r="390">
      <c r="A390" s="43" t="n"/>
      <c r="C390" s="44" t="n"/>
      <c r="D390" s="44" t="n"/>
      <c r="L390" s="45" t="n"/>
      <c r="O390" s="44" t="n"/>
    </row>
    <row r="391">
      <c r="A391" s="43" t="n"/>
      <c r="C391" s="44" t="n"/>
      <c r="D391" s="44" t="n"/>
      <c r="L391" s="45" t="n"/>
      <c r="O391" s="44" t="n"/>
    </row>
    <row r="392">
      <c r="A392" s="43" t="n"/>
      <c r="C392" s="44" t="n"/>
      <c r="D392" s="44" t="n"/>
      <c r="L392" s="45" t="n"/>
      <c r="O392" s="44" t="n"/>
    </row>
    <row r="393">
      <c r="A393" s="43" t="n"/>
      <c r="C393" s="44" t="n"/>
      <c r="D393" s="44" t="n"/>
      <c r="L393" s="45" t="n"/>
      <c r="O393" s="44" t="n"/>
    </row>
    <row r="394">
      <c r="A394" s="43" t="n"/>
      <c r="C394" s="44" t="n"/>
      <c r="D394" s="44" t="n"/>
      <c r="L394" s="45" t="n"/>
      <c r="O394" s="44" t="n"/>
    </row>
    <row r="395">
      <c r="A395" s="43" t="n"/>
      <c r="C395" s="44" t="n"/>
      <c r="D395" s="44" t="n"/>
      <c r="L395" s="45" t="n"/>
      <c r="O395" s="44" t="n"/>
    </row>
    <row r="396">
      <c r="A396" s="43" t="n"/>
      <c r="C396" s="44" t="n"/>
      <c r="D396" s="44" t="n"/>
      <c r="L396" s="45" t="n"/>
      <c r="O396" s="44" t="n"/>
    </row>
    <row r="397">
      <c r="A397" s="43" t="n"/>
      <c r="C397" s="44" t="n"/>
      <c r="D397" s="44" t="n"/>
      <c r="L397" s="45" t="n"/>
      <c r="O397" s="44" t="n"/>
    </row>
    <row r="398">
      <c r="A398" s="43" t="n"/>
      <c r="C398" s="44" t="n"/>
      <c r="D398" s="44" t="n"/>
      <c r="L398" s="45" t="n"/>
      <c r="O398" s="44" t="n"/>
    </row>
    <row r="399">
      <c r="A399" s="43" t="n"/>
      <c r="C399" s="44" t="n"/>
      <c r="D399" s="44" t="n"/>
      <c r="L399" s="45" t="n"/>
      <c r="O399" s="44" t="n"/>
    </row>
    <row r="400">
      <c r="A400" s="43" t="n"/>
      <c r="C400" s="44" t="n"/>
      <c r="D400" s="44" t="n"/>
      <c r="L400" s="45" t="n"/>
      <c r="O400" s="44" t="n"/>
    </row>
    <row r="401">
      <c r="A401" s="43" t="n"/>
      <c r="C401" s="44" t="n"/>
      <c r="D401" s="44" t="n"/>
      <c r="L401" s="45" t="n"/>
      <c r="O401" s="44" t="n"/>
    </row>
    <row r="402">
      <c r="A402" s="43" t="n"/>
      <c r="C402" s="44" t="n"/>
      <c r="D402" s="44" t="n"/>
      <c r="L402" s="45" t="n"/>
      <c r="O402" s="44" t="n"/>
    </row>
    <row r="403">
      <c r="A403" s="43" t="n"/>
      <c r="C403" s="44" t="n"/>
      <c r="D403" s="44" t="n"/>
      <c r="L403" s="45" t="n"/>
      <c r="O403" s="44" t="n"/>
    </row>
    <row r="404">
      <c r="A404" s="43" t="n"/>
      <c r="C404" s="44" t="n"/>
      <c r="D404" s="44" t="n"/>
      <c r="L404" s="45" t="n"/>
      <c r="O404" s="44" t="n"/>
    </row>
    <row r="405">
      <c r="A405" s="43" t="n"/>
      <c r="C405" s="44" t="n"/>
      <c r="D405" s="44" t="n"/>
      <c r="L405" s="45" t="n"/>
      <c r="O405" s="44" t="n"/>
    </row>
    <row r="406">
      <c r="A406" s="43" t="n"/>
      <c r="C406" s="44" t="n"/>
      <c r="D406" s="44" t="n"/>
      <c r="L406" s="45" t="n"/>
      <c r="O406" s="44" t="n"/>
    </row>
    <row r="407">
      <c r="A407" s="43" t="n"/>
      <c r="C407" s="44" t="n"/>
      <c r="D407" s="44" t="n"/>
      <c r="L407" s="45" t="n"/>
      <c r="O407" s="44" t="n"/>
    </row>
    <row r="408">
      <c r="A408" s="43" t="n"/>
      <c r="C408" s="44" t="n"/>
      <c r="D408" s="44" t="n"/>
      <c r="L408" s="45" t="n"/>
      <c r="O408" s="44" t="n"/>
    </row>
    <row r="409">
      <c r="A409" s="43" t="n"/>
      <c r="C409" s="44" t="n"/>
      <c r="D409" s="44" t="n"/>
      <c r="L409" s="45" t="n"/>
      <c r="O409" s="44" t="n"/>
    </row>
    <row r="410">
      <c r="A410" s="43" t="n"/>
      <c r="C410" s="44" t="n"/>
      <c r="D410" s="44" t="n"/>
      <c r="L410" s="45" t="n"/>
      <c r="O410" s="44" t="n"/>
    </row>
    <row r="411">
      <c r="A411" s="43" t="n"/>
      <c r="C411" s="44" t="n"/>
      <c r="D411" s="44" t="n"/>
      <c r="L411" s="45" t="n"/>
      <c r="O411" s="44" t="n"/>
    </row>
    <row r="412">
      <c r="A412" s="43" t="n"/>
      <c r="C412" s="44" t="n"/>
      <c r="D412" s="44" t="n"/>
      <c r="L412" s="45" t="n"/>
      <c r="O412" s="44" t="n"/>
    </row>
    <row r="413">
      <c r="A413" s="43" t="n"/>
      <c r="C413" s="44" t="n"/>
      <c r="D413" s="44" t="n"/>
      <c r="L413" s="45" t="n"/>
      <c r="O413" s="44" t="n"/>
    </row>
    <row r="414">
      <c r="A414" s="43" t="n"/>
      <c r="C414" s="44" t="n"/>
      <c r="D414" s="44" t="n"/>
      <c r="L414" s="45" t="n"/>
      <c r="O414" s="44" t="n"/>
    </row>
    <row r="415">
      <c r="A415" s="43" t="n"/>
      <c r="C415" s="44" t="n"/>
      <c r="D415" s="44" t="n"/>
      <c r="L415" s="45" t="n"/>
      <c r="O415" s="44" t="n"/>
    </row>
    <row r="416">
      <c r="A416" s="43" t="n"/>
      <c r="C416" s="44" t="n"/>
      <c r="D416" s="44" t="n"/>
      <c r="L416" s="45" t="n"/>
      <c r="O416" s="44" t="n"/>
    </row>
    <row r="417">
      <c r="A417" s="43" t="n"/>
      <c r="C417" s="44" t="n"/>
      <c r="D417" s="44" t="n"/>
      <c r="L417" s="45" t="n"/>
      <c r="O417" s="44" t="n"/>
    </row>
    <row r="418">
      <c r="A418" s="43" t="n"/>
      <c r="C418" s="44" t="n"/>
      <c r="D418" s="44" t="n"/>
      <c r="L418" s="45" t="n"/>
      <c r="O418" s="44" t="n"/>
    </row>
    <row r="419">
      <c r="A419" s="43" t="n"/>
      <c r="C419" s="44" t="n"/>
      <c r="D419" s="44" t="n"/>
      <c r="L419" s="45" t="n"/>
      <c r="O419" s="44" t="n"/>
    </row>
    <row r="420">
      <c r="A420" s="43" t="n"/>
      <c r="C420" s="44" t="n"/>
      <c r="D420" s="44" t="n"/>
      <c r="L420" s="45" t="n"/>
      <c r="O420" s="44" t="n"/>
    </row>
    <row r="421">
      <c r="A421" s="43" t="n"/>
      <c r="C421" s="44" t="n"/>
      <c r="D421" s="44" t="n"/>
      <c r="L421" s="45" t="n"/>
      <c r="O421" s="44" t="n"/>
    </row>
    <row r="422">
      <c r="A422" s="43" t="n"/>
      <c r="C422" s="44" t="n"/>
      <c r="D422" s="44" t="n"/>
      <c r="L422" s="45" t="n"/>
      <c r="O422" s="44" t="n"/>
    </row>
    <row r="423">
      <c r="A423" s="43" t="n"/>
      <c r="C423" s="44" t="n"/>
      <c r="D423" s="44" t="n"/>
      <c r="L423" s="45" t="n"/>
      <c r="O423" s="44" t="n"/>
    </row>
    <row r="424">
      <c r="A424" s="43" t="n"/>
      <c r="C424" s="44" t="n"/>
      <c r="D424" s="44" t="n"/>
      <c r="L424" s="45" t="n"/>
      <c r="O424" s="44" t="n"/>
    </row>
    <row r="425">
      <c r="A425" s="43" t="n"/>
      <c r="C425" s="44" t="n"/>
      <c r="D425" s="44" t="n"/>
      <c r="L425" s="45" t="n"/>
      <c r="O425" s="44" t="n"/>
    </row>
    <row r="426">
      <c r="A426" s="43" t="n"/>
      <c r="C426" s="44" t="n"/>
      <c r="D426" s="44" t="n"/>
      <c r="L426" s="45" t="n"/>
      <c r="O426" s="44" t="n"/>
    </row>
    <row r="427">
      <c r="A427" s="43" t="n"/>
      <c r="C427" s="44" t="n"/>
      <c r="D427" s="44" t="n"/>
      <c r="L427" s="45" t="n"/>
      <c r="O427" s="44" t="n"/>
    </row>
    <row r="428">
      <c r="A428" s="43" t="n"/>
      <c r="C428" s="44" t="n"/>
      <c r="D428" s="44" t="n"/>
      <c r="L428" s="45" t="n"/>
      <c r="O428" s="44" t="n"/>
    </row>
    <row r="429">
      <c r="A429" s="43" t="n"/>
      <c r="C429" s="44" t="n"/>
      <c r="D429" s="44" t="n"/>
      <c r="L429" s="45" t="n"/>
      <c r="O429" s="44" t="n"/>
    </row>
    <row r="430">
      <c r="A430" s="43" t="n"/>
      <c r="C430" s="44" t="n"/>
      <c r="D430" s="44" t="n"/>
      <c r="L430" s="45" t="n"/>
      <c r="O430" s="44" t="n"/>
    </row>
    <row r="431">
      <c r="A431" s="43" t="n"/>
      <c r="C431" s="44" t="n"/>
      <c r="D431" s="44" t="n"/>
      <c r="L431" s="45" t="n"/>
      <c r="O431" s="44" t="n"/>
    </row>
    <row r="432">
      <c r="A432" s="43" t="n"/>
      <c r="C432" s="44" t="n"/>
      <c r="D432" s="44" t="n"/>
      <c r="L432" s="45" t="n"/>
      <c r="O432" s="44" t="n"/>
    </row>
    <row r="433">
      <c r="A433" s="43" t="n"/>
      <c r="C433" s="44" t="n"/>
      <c r="D433" s="44" t="n"/>
      <c r="L433" s="45" t="n"/>
      <c r="O433" s="44" t="n"/>
    </row>
    <row r="434">
      <c r="A434" s="43" t="n"/>
      <c r="C434" s="44" t="n"/>
      <c r="D434" s="44" t="n"/>
      <c r="L434" s="45" t="n"/>
      <c r="O434" s="44" t="n"/>
    </row>
    <row r="435">
      <c r="A435" s="43" t="n"/>
      <c r="C435" s="44" t="n"/>
      <c r="D435" s="44" t="n"/>
      <c r="L435" s="45" t="n"/>
      <c r="O435" s="44" t="n"/>
    </row>
    <row r="436">
      <c r="A436" s="43" t="n"/>
      <c r="C436" s="44" t="n"/>
      <c r="D436" s="44" t="n"/>
      <c r="L436" s="45" t="n"/>
      <c r="O436" s="44" t="n"/>
    </row>
    <row r="437">
      <c r="A437" s="43" t="n"/>
      <c r="C437" s="44" t="n"/>
      <c r="D437" s="44" t="n"/>
      <c r="L437" s="45" t="n"/>
      <c r="O437" s="44" t="n"/>
    </row>
    <row r="438">
      <c r="A438" s="43" t="n"/>
      <c r="C438" s="44" t="n"/>
      <c r="D438" s="44" t="n"/>
      <c r="L438" s="45" t="n"/>
      <c r="O438" s="44" t="n"/>
    </row>
    <row r="439">
      <c r="A439" s="43" t="n"/>
      <c r="C439" s="44" t="n"/>
      <c r="D439" s="44" t="n"/>
      <c r="L439" s="45" t="n"/>
      <c r="O439" s="44" t="n"/>
    </row>
    <row r="440">
      <c r="A440" s="43" t="n"/>
      <c r="C440" s="44" t="n"/>
      <c r="D440" s="44" t="n"/>
      <c r="L440" s="45" t="n"/>
      <c r="O440" s="44" t="n"/>
    </row>
    <row r="441">
      <c r="A441" s="43" t="n"/>
      <c r="C441" s="44" t="n"/>
      <c r="D441" s="44" t="n"/>
      <c r="L441" s="45" t="n"/>
      <c r="O441" s="44" t="n"/>
    </row>
    <row r="442">
      <c r="A442" s="43" t="n"/>
      <c r="C442" s="44" t="n"/>
      <c r="D442" s="44" t="n"/>
      <c r="L442" s="45" t="n"/>
      <c r="O442" s="44" t="n"/>
    </row>
    <row r="443">
      <c r="A443" s="43" t="n"/>
      <c r="C443" s="44" t="n"/>
      <c r="D443" s="44" t="n"/>
      <c r="L443" s="45" t="n"/>
      <c r="O443" s="44" t="n"/>
    </row>
    <row r="444">
      <c r="A444" s="43" t="n"/>
      <c r="C444" s="44" t="n"/>
      <c r="D444" s="44" t="n"/>
      <c r="L444" s="45" t="n"/>
      <c r="O444" s="44" t="n"/>
    </row>
    <row r="445">
      <c r="A445" s="43" t="n"/>
      <c r="C445" s="44" t="n"/>
      <c r="D445" s="44" t="n"/>
      <c r="L445" s="45" t="n"/>
      <c r="O445" s="44" t="n"/>
    </row>
    <row r="446">
      <c r="A446" s="43" t="n"/>
      <c r="C446" s="44" t="n"/>
      <c r="D446" s="44" t="n"/>
      <c r="L446" s="45" t="n"/>
      <c r="O446" s="44" t="n"/>
    </row>
    <row r="447">
      <c r="A447" s="43" t="n"/>
      <c r="C447" s="44" t="n"/>
      <c r="D447" s="44" t="n"/>
      <c r="L447" s="45" t="n"/>
      <c r="O447" s="44" t="n"/>
    </row>
    <row r="448">
      <c r="A448" s="43" t="n"/>
      <c r="C448" s="44" t="n"/>
      <c r="D448" s="44" t="n"/>
      <c r="L448" s="45" t="n"/>
      <c r="O448" s="44" t="n"/>
    </row>
    <row r="449">
      <c r="A449" s="43" t="n"/>
      <c r="C449" s="44" t="n"/>
      <c r="D449" s="44" t="n"/>
      <c r="L449" s="45" t="n"/>
      <c r="O449" s="44" t="n"/>
    </row>
    <row r="450">
      <c r="A450" s="43" t="n"/>
      <c r="C450" s="44" t="n"/>
      <c r="D450" s="44" t="n"/>
      <c r="L450" s="45" t="n"/>
      <c r="O450" s="44" t="n"/>
    </row>
    <row r="451">
      <c r="A451" s="43" t="n"/>
      <c r="C451" s="44" t="n"/>
      <c r="D451" s="44" t="n"/>
      <c r="L451" s="45" t="n"/>
      <c r="O451" s="44" t="n"/>
    </row>
    <row r="452">
      <c r="A452" s="43" t="n"/>
      <c r="C452" s="44" t="n"/>
      <c r="D452" s="44" t="n"/>
      <c r="L452" s="45" t="n"/>
      <c r="O452" s="44" t="n"/>
    </row>
    <row r="453">
      <c r="A453" s="43" t="n"/>
      <c r="C453" s="44" t="n"/>
      <c r="D453" s="44" t="n"/>
      <c r="L453" s="45" t="n"/>
      <c r="O453" s="44" t="n"/>
    </row>
    <row r="454">
      <c r="A454" s="43" t="n"/>
      <c r="C454" s="44" t="n"/>
      <c r="D454" s="44" t="n"/>
      <c r="L454" s="45" t="n"/>
      <c r="O454" s="44" t="n"/>
    </row>
    <row r="455">
      <c r="A455" s="43" t="n"/>
      <c r="C455" s="44" t="n"/>
      <c r="D455" s="44" t="n"/>
      <c r="L455" s="45" t="n"/>
      <c r="O455" s="44" t="n"/>
    </row>
    <row r="456">
      <c r="A456" s="43" t="n"/>
      <c r="C456" s="44" t="n"/>
      <c r="D456" s="44" t="n"/>
      <c r="L456" s="45" t="n"/>
      <c r="O456" s="44" t="n"/>
    </row>
    <row r="457">
      <c r="A457" s="43" t="n"/>
      <c r="C457" s="44" t="n"/>
      <c r="D457" s="44" t="n"/>
      <c r="L457" s="45" t="n"/>
      <c r="O457" s="44" t="n"/>
    </row>
    <row r="458">
      <c r="A458" s="43" t="n"/>
      <c r="C458" s="44" t="n"/>
      <c r="D458" s="44" t="n"/>
      <c r="L458" s="45" t="n"/>
      <c r="O458" s="44" t="n"/>
    </row>
    <row r="459">
      <c r="A459" s="43" t="n"/>
      <c r="C459" s="44" t="n"/>
      <c r="D459" s="44" t="n"/>
      <c r="L459" s="45" t="n"/>
      <c r="O459" s="44" t="n"/>
    </row>
    <row r="460">
      <c r="A460" s="43" t="n"/>
      <c r="C460" s="44" t="n"/>
      <c r="D460" s="44" t="n"/>
      <c r="L460" s="45" t="n"/>
      <c r="O460" s="44" t="n"/>
    </row>
    <row r="461">
      <c r="A461" s="43" t="n"/>
      <c r="C461" s="44" t="n"/>
      <c r="D461" s="44" t="n"/>
      <c r="L461" s="45" t="n"/>
      <c r="O461" s="44" t="n"/>
    </row>
    <row r="462">
      <c r="A462" s="43" t="n"/>
      <c r="C462" s="44" t="n"/>
      <c r="D462" s="44" t="n"/>
      <c r="L462" s="45" t="n"/>
      <c r="O462" s="44" t="n"/>
    </row>
    <row r="463">
      <c r="A463" s="43" t="n"/>
      <c r="C463" s="44" t="n"/>
      <c r="D463" s="44" t="n"/>
      <c r="L463" s="45" t="n"/>
      <c r="O463" s="44" t="n"/>
    </row>
    <row r="464">
      <c r="A464" s="43" t="n"/>
      <c r="C464" s="44" t="n"/>
      <c r="D464" s="44" t="n"/>
      <c r="L464" s="45" t="n"/>
      <c r="O464" s="44" t="n"/>
    </row>
    <row r="465">
      <c r="A465" s="43" t="n"/>
      <c r="C465" s="44" t="n"/>
      <c r="D465" s="44" t="n"/>
      <c r="L465" s="45" t="n"/>
      <c r="O465" s="44" t="n"/>
    </row>
    <row r="466">
      <c r="A466" s="43" t="n"/>
      <c r="C466" s="44" t="n"/>
      <c r="D466" s="44" t="n"/>
      <c r="L466" s="45" t="n"/>
      <c r="O466" s="44" t="n"/>
    </row>
    <row r="467">
      <c r="A467" s="43" t="n"/>
      <c r="C467" s="44" t="n"/>
      <c r="D467" s="44" t="n"/>
      <c r="L467" s="45" t="n"/>
      <c r="O467" s="44" t="n"/>
    </row>
    <row r="468">
      <c r="A468" s="43" t="n"/>
      <c r="C468" s="44" t="n"/>
      <c r="D468" s="44" t="n"/>
      <c r="L468" s="45" t="n"/>
      <c r="O468" s="44" t="n"/>
    </row>
    <row r="469">
      <c r="A469" s="43" t="n"/>
      <c r="C469" s="44" t="n"/>
      <c r="D469" s="44" t="n"/>
      <c r="L469" s="45" t="n"/>
      <c r="O469" s="44" t="n"/>
    </row>
    <row r="470">
      <c r="A470" s="43" t="n"/>
      <c r="C470" s="44" t="n"/>
      <c r="D470" s="44" t="n"/>
      <c r="L470" s="45" t="n"/>
      <c r="O470" s="44" t="n"/>
    </row>
    <row r="471">
      <c r="A471" s="43" t="n"/>
      <c r="C471" s="44" t="n"/>
      <c r="D471" s="44" t="n"/>
      <c r="L471" s="45" t="n"/>
      <c r="O471" s="44" t="n"/>
    </row>
    <row r="472">
      <c r="A472" s="43" t="n"/>
      <c r="C472" s="44" t="n"/>
      <c r="D472" s="44" t="n"/>
      <c r="L472" s="45" t="n"/>
      <c r="O472" s="44" t="n"/>
    </row>
    <row r="473">
      <c r="A473" s="43" t="n"/>
      <c r="C473" s="44" t="n"/>
      <c r="D473" s="44" t="n"/>
      <c r="L473" s="45" t="n"/>
      <c r="O473" s="44" t="n"/>
    </row>
    <row r="474">
      <c r="A474" s="43" t="n"/>
      <c r="C474" s="44" t="n"/>
      <c r="D474" s="44" t="n"/>
      <c r="L474" s="45" t="n"/>
      <c r="O474" s="44" t="n"/>
    </row>
    <row r="475">
      <c r="A475" s="43" t="n"/>
      <c r="C475" s="44" t="n"/>
      <c r="D475" s="44" t="n"/>
      <c r="L475" s="45" t="n"/>
      <c r="O475" s="44" t="n"/>
    </row>
    <row r="476">
      <c r="A476" s="43" t="n"/>
      <c r="C476" s="44" t="n"/>
      <c r="D476" s="44" t="n"/>
      <c r="L476" s="45" t="n"/>
      <c r="O476" s="44" t="n"/>
    </row>
    <row r="477">
      <c r="A477" s="43" t="n"/>
      <c r="C477" s="44" t="n"/>
      <c r="D477" s="44" t="n"/>
      <c r="L477" s="45" t="n"/>
      <c r="O477" s="44" t="n"/>
    </row>
    <row r="478">
      <c r="A478" s="43" t="n"/>
      <c r="C478" s="44" t="n"/>
      <c r="D478" s="44" t="n"/>
      <c r="L478" s="45" t="n"/>
      <c r="O478" s="44" t="n"/>
    </row>
    <row r="479">
      <c r="A479" s="43" t="n"/>
      <c r="C479" s="44" t="n"/>
      <c r="D479" s="44" t="n"/>
      <c r="L479" s="45" t="n"/>
      <c r="O479" s="44" t="n"/>
    </row>
    <row r="480">
      <c r="A480" s="43" t="n"/>
      <c r="C480" s="44" t="n"/>
      <c r="D480" s="44" t="n"/>
      <c r="L480" s="45" t="n"/>
      <c r="O480" s="44" t="n"/>
    </row>
    <row r="481">
      <c r="A481" s="43" t="n"/>
      <c r="C481" s="44" t="n"/>
      <c r="D481" s="44" t="n"/>
      <c r="L481" s="45" t="n"/>
      <c r="O481" s="44" t="n"/>
    </row>
    <row r="482">
      <c r="A482" s="43" t="n"/>
      <c r="C482" s="44" t="n"/>
      <c r="D482" s="44" t="n"/>
      <c r="L482" s="45" t="n"/>
      <c r="O482" s="44" t="n"/>
    </row>
    <row r="483">
      <c r="A483" s="43" t="n"/>
      <c r="C483" s="44" t="n"/>
      <c r="D483" s="44" t="n"/>
      <c r="L483" s="45" t="n"/>
      <c r="O483" s="44" t="n"/>
    </row>
    <row r="484">
      <c r="A484" s="43" t="n"/>
      <c r="C484" s="44" t="n"/>
      <c r="D484" s="44" t="n"/>
      <c r="L484" s="45" t="n"/>
      <c r="O484" s="44" t="n"/>
    </row>
    <row r="485">
      <c r="A485" s="43" t="n"/>
      <c r="C485" s="44" t="n"/>
      <c r="D485" s="44" t="n"/>
      <c r="L485" s="45" t="n"/>
      <c r="O485" s="44" t="n"/>
    </row>
    <row r="486">
      <c r="A486" s="43" t="n"/>
      <c r="C486" s="44" t="n"/>
      <c r="D486" s="44" t="n"/>
      <c r="L486" s="45" t="n"/>
      <c r="O486" s="44" t="n"/>
    </row>
    <row r="487">
      <c r="A487" s="43" t="n"/>
      <c r="C487" s="44" t="n"/>
      <c r="D487" s="44" t="n"/>
      <c r="L487" s="45" t="n"/>
      <c r="O487" s="44" t="n"/>
    </row>
    <row r="488">
      <c r="A488" s="43" t="n"/>
      <c r="C488" s="44" t="n"/>
      <c r="D488" s="44" t="n"/>
      <c r="L488" s="45" t="n"/>
      <c r="O488" s="44" t="n"/>
    </row>
    <row r="489">
      <c r="A489" s="43" t="n"/>
      <c r="C489" s="44" t="n"/>
      <c r="D489" s="44" t="n"/>
      <c r="L489" s="45" t="n"/>
      <c r="O489" s="44" t="n"/>
    </row>
    <row r="490">
      <c r="A490" s="43" t="n"/>
      <c r="C490" s="44" t="n"/>
      <c r="D490" s="44" t="n"/>
      <c r="L490" s="45" t="n"/>
      <c r="O490" s="44" t="n"/>
    </row>
    <row r="491">
      <c r="A491" s="43" t="n"/>
      <c r="C491" s="44" t="n"/>
      <c r="D491" s="44" t="n"/>
      <c r="L491" s="45" t="n"/>
      <c r="O491" s="44" t="n"/>
    </row>
    <row r="492">
      <c r="A492" s="43" t="n"/>
      <c r="C492" s="44" t="n"/>
      <c r="D492" s="44" t="n"/>
      <c r="L492" s="45" t="n"/>
      <c r="O492" s="44" t="n"/>
    </row>
    <row r="493">
      <c r="A493" s="43" t="n"/>
      <c r="C493" s="44" t="n"/>
      <c r="D493" s="44" t="n"/>
      <c r="L493" s="45" t="n"/>
      <c r="O493" s="44" t="n"/>
    </row>
    <row r="494">
      <c r="A494" s="43" t="n"/>
      <c r="C494" s="44" t="n"/>
      <c r="D494" s="44" t="n"/>
      <c r="L494" s="45" t="n"/>
      <c r="O494" s="44" t="n"/>
    </row>
    <row r="495">
      <c r="A495" s="43" t="n"/>
      <c r="C495" s="44" t="n"/>
      <c r="D495" s="44" t="n"/>
      <c r="L495" s="45" t="n"/>
      <c r="O495" s="44" t="n"/>
    </row>
    <row r="496">
      <c r="A496" s="43" t="n"/>
      <c r="C496" s="44" t="n"/>
      <c r="D496" s="44" t="n"/>
      <c r="L496" s="45" t="n"/>
      <c r="O496" s="44" t="n"/>
    </row>
    <row r="497">
      <c r="A497" s="43" t="n"/>
      <c r="C497" s="44" t="n"/>
      <c r="D497" s="44" t="n"/>
      <c r="L497" s="45" t="n"/>
      <c r="O497" s="44" t="n"/>
    </row>
    <row r="498">
      <c r="A498" s="43" t="n"/>
      <c r="C498" s="44" t="n"/>
      <c r="D498" s="44" t="n"/>
      <c r="L498" s="45" t="n"/>
      <c r="O498" s="44" t="n"/>
    </row>
    <row r="499">
      <c r="A499" s="43" t="n"/>
      <c r="C499" s="44" t="n"/>
      <c r="D499" s="44" t="n"/>
      <c r="L499" s="45" t="n"/>
      <c r="O499" s="44" t="n"/>
    </row>
    <row r="500">
      <c r="A500" s="43" t="n"/>
      <c r="C500" s="44" t="n"/>
      <c r="D500" s="44" t="n"/>
      <c r="L500" s="45" t="n"/>
      <c r="O500" s="44" t="n"/>
    </row>
    <row r="501">
      <c r="A501" s="43" t="n"/>
      <c r="C501" s="44" t="n"/>
      <c r="D501" s="44" t="n"/>
      <c r="L501" s="45" t="n"/>
      <c r="O501" s="44" t="n"/>
    </row>
    <row r="502">
      <c r="A502" s="43" t="n"/>
      <c r="C502" s="44" t="n"/>
      <c r="D502" s="44" t="n"/>
      <c r="L502" s="45" t="n"/>
      <c r="O502" s="44" t="n"/>
    </row>
    <row r="503">
      <c r="A503" s="43" t="n"/>
      <c r="C503" s="44" t="n"/>
      <c r="D503" s="44" t="n"/>
      <c r="L503" s="45" t="n"/>
      <c r="O503" s="44" t="n"/>
    </row>
    <row r="504">
      <c r="A504" s="43" t="n"/>
      <c r="C504" s="44" t="n"/>
      <c r="D504" s="44" t="n"/>
      <c r="L504" s="45" t="n"/>
      <c r="O504" s="44" t="n"/>
    </row>
  </sheetData>
  <autoFilter ref="A3:X504"/>
  <conditionalFormatting sqref="F2">
    <cfRule type="cellIs" priority="1" operator="lessThan" dxfId="0">
      <formula>0</formula>
    </cfRule>
    <cfRule type="cellIs" priority="2" operator="greaterThanOrEqual" dxfId="1">
      <formula>0</formula>
    </cfRule>
  </conditionalFormatting>
  <conditionalFormatting sqref="H2">
    <cfRule type="cellIs" priority="3" operator="lessThan" dxfId="0">
      <formula>0.9</formula>
    </cfRule>
    <cfRule type="cellIs" priority="4" operator="greaterThanOrEqual" dxfId="1">
      <formula>1</formula>
    </cfRule>
  </conditionalFormatting>
  <conditionalFormatting sqref="R2">
    <cfRule type="cellIs" priority="5" operator="lessThan" dxfId="0">
      <formula>P2</formula>
    </cfRule>
  </conditionalFormatting>
  <dataValidations count="10">
    <dataValidation sqref="B5:B504" showDropDown="0" showInputMessage="0" showErrorMessage="0" allowBlank="1" type="list">
      <formula1>'選択肢マスター'!$A$2:$A$3</formula1>
    </dataValidation>
    <dataValidation sqref="E5:E504" showDropDown="0" showInputMessage="0" showErrorMessage="0" allowBlank="1" type="list">
      <formula1>'選択肢マスター'!$B$2:$B$23</formula1>
    </dataValidation>
    <dataValidation sqref="M5:M504" showDropDown="0" showInputMessage="0" showErrorMessage="0" allowBlank="1" type="list">
      <formula1>'選択肢マスター'!$C$2:$C$16</formula1>
    </dataValidation>
    <dataValidation sqref="N5:N504" showDropDown="0" showInputMessage="0" showErrorMessage="0" allowBlank="1" type="list">
      <formula1>'選択肢マスター'!$D$2:$D$7</formula1>
    </dataValidation>
    <dataValidation sqref="P5:P504" showDropDown="0" showInputMessage="0" showErrorMessage="0" allowBlank="1" type="list">
      <formula1>'選択肢マスター'!$E$2:$E$5</formula1>
    </dataValidation>
    <dataValidation sqref="Q5:Q504" showDropDown="0" showInputMessage="0" showErrorMessage="0" allowBlank="1" type="list">
      <formula1>'選択肢マスター'!$F$2:$F$5</formula1>
    </dataValidation>
    <dataValidation sqref="S5:S504" showDropDown="0" showInputMessage="0" showErrorMessage="0" allowBlank="1" type="list">
      <formula1>'選択肢マスター'!$G$2:$G$8</formula1>
    </dataValidation>
    <dataValidation sqref="T5:T504" showDropDown="0" showInputMessage="0" showErrorMessage="0" allowBlank="1" type="list">
      <formula1>'選択肢マスター'!$J$2:$J$3</formula1>
    </dataValidation>
    <dataValidation sqref="U5:U504" showDropDown="0" showInputMessage="0" showErrorMessage="0" allowBlank="1" type="list">
      <formula1>'選択肢マスター'!$H$2:$H$5</formula1>
    </dataValidation>
    <dataValidation sqref="V5:V504" showDropDown="0" showInputMessage="0" showErrorMessage="0" allowBlank="1" type="list">
      <formula1>'選択肢マスター'!$I$2:$I$5</formula1>
    </dataValidation>
  </dataValidations>
  <pageMargins left="0.75" right="0.75" top="1" bottom="1" header="0.5" footer="0.5"/>
</worksheet>
</file>

<file path=xl/worksheets/sheet9.xml><?xml version="1.0" encoding="utf-8"?>
<worksheet xmlns="http://schemas.openxmlformats.org/spreadsheetml/2006/main">
  <sheetPr>
    <tabColor rgb="002E75B6"/>
    <outlinePr summaryBelow="1" summaryRight="1"/>
    <pageSetUpPr/>
  </sheetPr>
  <dimension ref="A1:X504"/>
  <sheetViews>
    <sheetView workbookViewId="0">
      <pane ySplit="4" topLeftCell="A5" activePane="bottomLeft" state="frozen"/>
      <selection pane="bottomLeft" activeCell="A1" sqref="A1"/>
    </sheetView>
  </sheetViews>
  <sheetFormatPr baseColWidth="8" defaultRowHeight="15"/>
  <cols>
    <col width="9" customWidth="1" min="1" max="1"/>
    <col width="11" customWidth="1" min="2" max="2"/>
    <col width="12" customWidth="1" min="3" max="3"/>
    <col width="12" customWidth="1" min="4" max="4"/>
    <col width="17" customWidth="1" min="5" max="5"/>
    <col width="20" customWidth="1" min="6" max="6"/>
    <col width="14" customWidth="1" min="7" max="7"/>
    <col width="16" customWidth="1" min="8" max="8"/>
    <col width="14" customWidth="1" min="9" max="9"/>
    <col width="11" customWidth="1" min="10" max="10"/>
    <col width="30" customWidth="1" min="11" max="11"/>
    <col width="12" customWidth="1" min="12" max="12"/>
    <col width="20" customWidth="1" min="13" max="13"/>
    <col width="12" customWidth="1" min="14" max="14"/>
    <col width="14" customWidth="1" min="15" max="15"/>
    <col width="12" customWidth="1" min="16" max="16"/>
    <col width="12" customWidth="1" min="17" max="17"/>
    <col width="34" customWidth="1" min="18" max="18"/>
    <col width="14" customWidth="1" min="19" max="19"/>
    <col width="11" customWidth="1" min="20" max="20"/>
    <col width="11" customWidth="1" min="21" max="21"/>
    <col width="12" customWidth="1" min="22" max="22"/>
    <col width="24" customWidth="1" min="23" max="23"/>
    <col width="10" customWidth="1" min="24" max="24"/>
  </cols>
  <sheetData>
    <row r="1" ht="18" customHeight="1">
      <c r="A1" s="8" t="inlineStr">
        <is>
          <t>◆ 7月の売上・顧客。入力は 5 行目から。2行目＝今月の目標、4行目＝自動集計（数式・触らない）</t>
        </is>
      </c>
    </row>
    <row r="2" ht="20" customHeight="1">
      <c r="A2" s="24" t="inlineStr">
        <is>
          <t>今月目標(売上)</t>
        </is>
      </c>
      <c r="B2" s="25" t="n">
        <v>2740000</v>
      </c>
      <c r="C2" s="24" t="inlineStr">
        <is>
          <t>売上 現在</t>
        </is>
      </c>
      <c r="D2" s="25">
        <f>$L$4</f>
        <v/>
      </c>
      <c r="E2" s="24" t="inlineStr">
        <is>
          <t>過不足</t>
        </is>
      </c>
      <c r="F2" s="25">
        <f>D2-B2</f>
        <v/>
      </c>
      <c r="G2" s="24" t="inlineStr">
        <is>
          <t>達成率</t>
        </is>
      </c>
      <c r="H2" s="26">
        <f>IFERROR(D2/B2,0)</f>
        <v/>
      </c>
      <c r="I2" s="24" t="inlineStr">
        <is>
          <t>必要件数</t>
        </is>
      </c>
      <c r="J2" s="27" t="n">
        <v>68</v>
      </c>
      <c r="K2" s="24" t="inlineStr">
        <is>
          <t>件数 現在</t>
        </is>
      </c>
      <c r="L2" s="27">
        <f>$E$4</f>
        <v/>
      </c>
      <c r="M2" s="24" t="inlineStr">
        <is>
          <t>残り件数</t>
        </is>
      </c>
      <c r="N2" s="27">
        <f>J2-L2</f>
        <v/>
      </c>
      <c r="O2" s="24" t="inlineStr">
        <is>
          <t>④ネット新規 目標</t>
        </is>
      </c>
      <c r="P2" s="27" t="n">
        <v>15</v>
      </c>
      <c r="Q2" s="24" t="inlineStr">
        <is>
          <t>④ 現在</t>
        </is>
      </c>
      <c r="R2" s="27">
        <f>$R$4</f>
        <v/>
      </c>
    </row>
    <row r="3" ht="30" customHeight="1">
      <c r="A3" s="3" t="inlineStr">
        <is>
          <t>通し番号</t>
        </is>
      </c>
      <c r="B3" s="3" t="inlineStr">
        <is>
          <t>売上種類</t>
        </is>
      </c>
      <c r="C3" s="3" t="inlineStr">
        <is>
          <t>受注日</t>
        </is>
      </c>
      <c r="D3" s="3" t="inlineStr">
        <is>
          <t>施工日付</t>
        </is>
      </c>
      <c r="E3" s="3" t="inlineStr">
        <is>
          <t>流入経路</t>
        </is>
      </c>
      <c r="F3" s="3" t="inlineStr">
        <is>
          <t>流入元の識別子(?src=)</t>
        </is>
      </c>
      <c r="G3" s="3" t="inlineStr">
        <is>
          <t>紹介者（顧客ID）</t>
        </is>
      </c>
      <c r="H3" s="3" t="inlineStr">
        <is>
          <t>氏名</t>
        </is>
      </c>
      <c r="I3" s="3" t="inlineStr">
        <is>
          <t>TEL(-無し)</t>
        </is>
      </c>
      <c r="J3" s="3" t="inlineStr">
        <is>
          <t>郵便番号(-無し)</t>
        </is>
      </c>
      <c r="K3" s="3" t="inlineStr">
        <is>
          <t>住所</t>
        </is>
      </c>
      <c r="L3" s="3" t="inlineStr">
        <is>
          <t>売上（税込）</t>
        </is>
      </c>
      <c r="M3" s="3" t="inlineStr">
        <is>
          <t>実施メニュー</t>
        </is>
      </c>
      <c r="N3" s="3" t="inlineStr">
        <is>
          <t>施工担当</t>
        </is>
      </c>
      <c r="O3" s="3" t="inlineStr">
        <is>
          <t>フォローコール日</t>
        </is>
      </c>
      <c r="P3" s="3" t="inlineStr">
        <is>
          <t>早期予約提案</t>
        </is>
      </c>
      <c r="Q3" s="3" t="inlineStr">
        <is>
          <t>フォローコール</t>
        </is>
      </c>
      <c r="R3" s="3" t="inlineStr">
        <is>
          <t>備考(お客様の声)</t>
        </is>
      </c>
      <c r="S3" s="3" t="inlineStr">
        <is>
          <t>入金経路</t>
        </is>
      </c>
      <c r="T3" s="3" t="inlineStr">
        <is>
          <t>入金額照合</t>
        </is>
      </c>
      <c r="U3" s="3" t="inlineStr">
        <is>
          <t>ＯＨ打診</t>
        </is>
      </c>
      <c r="V3" s="3" t="inlineStr">
        <is>
          <t>本舗ロイ区分</t>
        </is>
      </c>
      <c r="W3" s="3" t="inlineStr">
        <is>
          <t>お客様周辺/環境情報</t>
        </is>
      </c>
      <c r="X3" s="3" t="inlineStr">
        <is>
          <t>カウント用</t>
        </is>
      </c>
    </row>
    <row r="4" ht="20" customHeight="1">
      <c r="A4" s="28">
        <f>"▼自動集計"</f>
        <v/>
      </c>
      <c r="B4" s="29">
        <f>COUNTIFS($B$5:$B$504,"One Hitter")</f>
        <v/>
      </c>
      <c r="C4" s="30">
        <f>IFERROR(SUMPRODUCT(($C$5:$C$504&lt;&gt;"")*($D$5:$D$504&lt;&gt;"")*($D$5:$D$504-$C$5:$C$504))/SUMPRODUCT(($C$5:$C$504&lt;&gt;"")*($D$5:$D$504&lt;&gt;"")),0)</f>
        <v/>
      </c>
      <c r="D4" s="31">
        <f>COUNTIFS($B$5:$B$504,"本舗")</f>
        <v/>
      </c>
      <c r="E4" s="32">
        <f>COUNTA($D$5:$D$504)</f>
        <v/>
      </c>
      <c r="F4" s="33">
        <f>IFERROR(SUM($L$5:$L$504)/COUNTA($D$5:$D$504),0)</f>
        <v/>
      </c>
      <c r="G4" s="34">
        <f>COUNTA($G$5:$G$504)</f>
        <v/>
      </c>
      <c r="H4" s="35">
        <f>IFERROR(SUMIFS($L$5:$L$504,$B$5:$B$504,"One Hitter")/COUNTIFS($B$5:$B$504,"One Hitter"),0)</f>
        <v/>
      </c>
      <c r="I4" s="36">
        <f>IFERROR(SUMIFS($L$5:$L$504,$B$5:$B$504,"本舗")/COUNTIFS($B$5:$B$504,"本舗"),0)</f>
        <v/>
      </c>
      <c r="J4" s="37">
        <f>SUMIFS($L$5:$L$504,$B$5:$B$504,"One Hitter")</f>
        <v/>
      </c>
      <c r="K4" s="38">
        <f>SUMIFS($L$5:$L$504,$B$5:$B$504,"本舗")</f>
        <v/>
      </c>
      <c r="L4" s="39">
        <f>SUM($L$5:$L$504)</f>
        <v/>
      </c>
      <c r="M4" s="40" t="n"/>
      <c r="N4" s="40" t="n"/>
      <c r="O4" s="40" t="n"/>
      <c r="P4" s="40" t="n"/>
      <c r="Q4" s="40" t="n"/>
      <c r="R4" s="41">
        <f>COUNTIFS($E$5:$E$504,"HP")+COUNTIFS($E$5:$E$504,"LP")+COUNTIFS($E$5:$E$504,"SNS")+COUNTIFS($E$5:$E$504,"GBP(地図検索)")+COUNTIFS($E$5:$E$504,"公式LINE")+COUNTIFS($E$5:$E$504,"アフィリエイト")+COUNTIFS($E$5:$E$504,"LINE/SMS再販")+COUNTIFS($E$5:$E$504,"SMS")+COUNTIFS($E$5:$E$504,"広告")</f>
        <v/>
      </c>
      <c r="S4" s="42">
        <f>SUMIFS($L$5:$L$504,$E$5:$E$504,"HP")+SUMIFS($L$5:$L$504,$E$5:$E$504,"LP")+SUMIFS($L$5:$L$504,$E$5:$E$504,"SNS")+SUMIFS($L$5:$L$504,$E$5:$E$504,"GBP(地図検索)")+SUMIFS($L$5:$L$504,$E$5:$E$504,"公式LINE")+SUMIFS($L$5:$L$504,$E$5:$E$504,"アフィリエイト")+SUMIFS($L$5:$L$504,$E$5:$E$504,"LINE/SMS再販")+SUMIFS($L$5:$L$504,$E$5:$E$504,"SMS")+SUMIFS($L$5:$L$504,$E$5:$E$504,"広告")</f>
        <v/>
      </c>
      <c r="T4" s="40" t="n"/>
      <c r="U4" s="40" t="n"/>
      <c r="V4" s="40" t="n"/>
      <c r="W4" s="40" t="n"/>
      <c r="X4" s="40" t="n"/>
    </row>
    <row r="5">
      <c r="A5" s="43" t="n"/>
      <c r="C5" s="44" t="n"/>
      <c r="D5" s="44" t="n"/>
      <c r="L5" s="45" t="n"/>
      <c r="O5" s="44" t="n"/>
    </row>
    <row r="6">
      <c r="A6" s="43" t="n"/>
      <c r="C6" s="44" t="n"/>
      <c r="D6" s="44" t="n"/>
      <c r="L6" s="45" t="n"/>
      <c r="O6" s="44" t="n"/>
    </row>
    <row r="7">
      <c r="A7" s="43" t="n"/>
      <c r="C7" s="44" t="n"/>
      <c r="D7" s="44" t="n"/>
      <c r="L7" s="45" t="n"/>
      <c r="O7" s="44" t="n"/>
    </row>
    <row r="8">
      <c r="A8" s="43" t="n"/>
      <c r="C8" s="44" t="n"/>
      <c r="D8" s="44" t="n"/>
      <c r="L8" s="45" t="n"/>
      <c r="O8" s="44" t="n"/>
    </row>
    <row r="9">
      <c r="A9" s="43" t="n"/>
      <c r="C9" s="44" t="n"/>
      <c r="D9" s="44" t="n"/>
      <c r="L9" s="45" t="n"/>
      <c r="O9" s="44" t="n"/>
    </row>
    <row r="10">
      <c r="A10" s="43" t="n"/>
      <c r="C10" s="44" t="n"/>
      <c r="D10" s="44" t="n"/>
      <c r="L10" s="45" t="n"/>
      <c r="O10" s="44" t="n"/>
    </row>
    <row r="11">
      <c r="A11" s="43" t="n"/>
      <c r="C11" s="44" t="n"/>
      <c r="D11" s="44" t="n"/>
      <c r="L11" s="45" t="n"/>
      <c r="O11" s="44" t="n"/>
    </row>
    <row r="12">
      <c r="A12" s="43" t="n"/>
      <c r="C12" s="44" t="n"/>
      <c r="D12" s="44" t="n"/>
      <c r="L12" s="45" t="n"/>
      <c r="O12" s="44" t="n"/>
    </row>
    <row r="13">
      <c r="A13" s="43" t="n"/>
      <c r="C13" s="44" t="n"/>
      <c r="D13" s="44" t="n"/>
      <c r="L13" s="45" t="n"/>
      <c r="O13" s="44" t="n"/>
    </row>
    <row r="14">
      <c r="A14" s="43" t="n"/>
      <c r="C14" s="44" t="n"/>
      <c r="D14" s="44" t="n"/>
      <c r="L14" s="45" t="n"/>
      <c r="O14" s="44" t="n"/>
    </row>
    <row r="15">
      <c r="A15" s="43" t="n"/>
      <c r="C15" s="44" t="n"/>
      <c r="D15" s="44" t="n"/>
      <c r="L15" s="45" t="n"/>
      <c r="O15" s="44" t="n"/>
    </row>
    <row r="16">
      <c r="A16" s="43" t="n"/>
      <c r="C16" s="44" t="n"/>
      <c r="D16" s="44" t="n"/>
      <c r="L16" s="45" t="n"/>
      <c r="O16" s="44" t="n"/>
    </row>
    <row r="17">
      <c r="A17" s="43" t="n"/>
      <c r="C17" s="44" t="n"/>
      <c r="D17" s="44" t="n"/>
      <c r="L17" s="45" t="n"/>
      <c r="O17" s="44" t="n"/>
    </row>
    <row r="18">
      <c r="A18" s="43" t="n"/>
      <c r="C18" s="44" t="n"/>
      <c r="D18" s="44" t="n"/>
      <c r="L18" s="45" t="n"/>
      <c r="O18" s="44" t="n"/>
    </row>
    <row r="19">
      <c r="A19" s="43" t="n"/>
      <c r="C19" s="44" t="n"/>
      <c r="D19" s="44" t="n"/>
      <c r="L19" s="45" t="n"/>
      <c r="O19" s="44" t="n"/>
    </row>
    <row r="20">
      <c r="A20" s="43" t="n"/>
      <c r="C20" s="44" t="n"/>
      <c r="D20" s="44" t="n"/>
      <c r="L20" s="45" t="n"/>
      <c r="O20" s="44" t="n"/>
    </row>
    <row r="21">
      <c r="A21" s="43" t="n"/>
      <c r="C21" s="44" t="n"/>
      <c r="D21" s="44" t="n"/>
      <c r="L21" s="45" t="n"/>
      <c r="O21" s="44" t="n"/>
    </row>
    <row r="22">
      <c r="A22" s="43" t="n"/>
      <c r="C22" s="44" t="n"/>
      <c r="D22" s="44" t="n"/>
      <c r="L22" s="45" t="n"/>
      <c r="O22" s="44" t="n"/>
    </row>
    <row r="23">
      <c r="A23" s="43" t="n"/>
      <c r="C23" s="44" t="n"/>
      <c r="D23" s="44" t="n"/>
      <c r="L23" s="45" t="n"/>
      <c r="O23" s="44" t="n"/>
    </row>
    <row r="24">
      <c r="A24" s="43" t="n"/>
      <c r="C24" s="44" t="n"/>
      <c r="D24" s="44" t="n"/>
      <c r="L24" s="45" t="n"/>
      <c r="O24" s="44" t="n"/>
    </row>
    <row r="25">
      <c r="A25" s="43" t="n"/>
      <c r="C25" s="44" t="n"/>
      <c r="D25" s="44" t="n"/>
      <c r="L25" s="45" t="n"/>
      <c r="O25" s="44" t="n"/>
    </row>
    <row r="26">
      <c r="A26" s="43" t="n"/>
      <c r="C26" s="44" t="n"/>
      <c r="D26" s="44" t="n"/>
      <c r="L26" s="45" t="n"/>
      <c r="O26" s="44" t="n"/>
    </row>
    <row r="27">
      <c r="A27" s="43" t="n"/>
      <c r="C27" s="44" t="n"/>
      <c r="D27" s="44" t="n"/>
      <c r="L27" s="45" t="n"/>
      <c r="O27" s="44" t="n"/>
    </row>
    <row r="28">
      <c r="A28" s="43" t="n"/>
      <c r="C28" s="44" t="n"/>
      <c r="D28" s="44" t="n"/>
      <c r="L28" s="45" t="n"/>
      <c r="O28" s="44" t="n"/>
    </row>
    <row r="29">
      <c r="A29" s="43" t="n"/>
      <c r="C29" s="44" t="n"/>
      <c r="D29" s="44" t="n"/>
      <c r="L29" s="45" t="n"/>
      <c r="O29" s="44" t="n"/>
    </row>
    <row r="30">
      <c r="A30" s="43" t="n"/>
      <c r="C30" s="44" t="n"/>
      <c r="D30" s="44" t="n"/>
      <c r="L30" s="45" t="n"/>
      <c r="O30" s="44" t="n"/>
    </row>
    <row r="31">
      <c r="A31" s="43" t="n"/>
      <c r="C31" s="44" t="n"/>
      <c r="D31" s="44" t="n"/>
      <c r="L31" s="45" t="n"/>
      <c r="O31" s="44" t="n"/>
    </row>
    <row r="32">
      <c r="A32" s="43" t="n"/>
      <c r="C32" s="44" t="n"/>
      <c r="D32" s="44" t="n"/>
      <c r="L32" s="45" t="n"/>
      <c r="O32" s="44" t="n"/>
    </row>
    <row r="33">
      <c r="A33" s="43" t="n"/>
      <c r="C33" s="44" t="n"/>
      <c r="D33" s="44" t="n"/>
      <c r="L33" s="45" t="n"/>
      <c r="O33" s="44" t="n"/>
    </row>
    <row r="34">
      <c r="A34" s="43" t="n"/>
      <c r="C34" s="44" t="n"/>
      <c r="D34" s="44" t="n"/>
      <c r="L34" s="45" t="n"/>
      <c r="O34" s="44" t="n"/>
    </row>
    <row r="35">
      <c r="A35" s="43" t="n"/>
      <c r="C35" s="44" t="n"/>
      <c r="D35" s="44" t="n"/>
      <c r="L35" s="45" t="n"/>
      <c r="O35" s="44" t="n"/>
    </row>
    <row r="36">
      <c r="A36" s="43" t="n"/>
      <c r="C36" s="44" t="n"/>
      <c r="D36" s="44" t="n"/>
      <c r="L36" s="45" t="n"/>
      <c r="O36" s="44" t="n"/>
    </row>
    <row r="37">
      <c r="A37" s="43" t="n"/>
      <c r="C37" s="44" t="n"/>
      <c r="D37" s="44" t="n"/>
      <c r="L37" s="45" t="n"/>
      <c r="O37" s="44" t="n"/>
    </row>
    <row r="38">
      <c r="A38" s="43" t="n"/>
      <c r="C38" s="44" t="n"/>
      <c r="D38" s="44" t="n"/>
      <c r="L38" s="45" t="n"/>
      <c r="O38" s="44" t="n"/>
    </row>
    <row r="39">
      <c r="A39" s="43" t="n"/>
      <c r="C39" s="44" t="n"/>
      <c r="D39" s="44" t="n"/>
      <c r="L39" s="45" t="n"/>
      <c r="O39" s="44" t="n"/>
    </row>
    <row r="40">
      <c r="A40" s="43" t="n"/>
      <c r="C40" s="44" t="n"/>
      <c r="D40" s="44" t="n"/>
      <c r="L40" s="45" t="n"/>
      <c r="O40" s="44" t="n"/>
    </row>
    <row r="41">
      <c r="A41" s="43" t="n"/>
      <c r="C41" s="44" t="n"/>
      <c r="D41" s="44" t="n"/>
      <c r="L41" s="45" t="n"/>
      <c r="O41" s="44" t="n"/>
    </row>
    <row r="42">
      <c r="A42" s="43" t="n"/>
      <c r="C42" s="44" t="n"/>
      <c r="D42" s="44" t="n"/>
      <c r="L42" s="45" t="n"/>
      <c r="O42" s="44" t="n"/>
    </row>
    <row r="43">
      <c r="A43" s="43" t="n"/>
      <c r="C43" s="44" t="n"/>
      <c r="D43" s="44" t="n"/>
      <c r="L43" s="45" t="n"/>
      <c r="O43" s="44" t="n"/>
    </row>
    <row r="44">
      <c r="A44" s="43" t="n"/>
      <c r="C44" s="44" t="n"/>
      <c r="D44" s="44" t="n"/>
      <c r="L44" s="45" t="n"/>
      <c r="O44" s="44" t="n"/>
    </row>
    <row r="45">
      <c r="A45" s="43" t="n"/>
      <c r="C45" s="44" t="n"/>
      <c r="D45" s="44" t="n"/>
      <c r="L45" s="45" t="n"/>
      <c r="O45" s="44" t="n"/>
    </row>
    <row r="46">
      <c r="A46" s="43" t="n"/>
      <c r="C46" s="44" t="n"/>
      <c r="D46" s="44" t="n"/>
      <c r="L46" s="45" t="n"/>
      <c r="O46" s="44" t="n"/>
    </row>
    <row r="47">
      <c r="A47" s="43" t="n"/>
      <c r="C47" s="44" t="n"/>
      <c r="D47" s="44" t="n"/>
      <c r="L47" s="45" t="n"/>
      <c r="O47" s="44" t="n"/>
    </row>
    <row r="48">
      <c r="A48" s="43" t="n"/>
      <c r="C48" s="44" t="n"/>
      <c r="D48" s="44" t="n"/>
      <c r="L48" s="45" t="n"/>
      <c r="O48" s="44" t="n"/>
    </row>
    <row r="49">
      <c r="A49" s="43" t="n"/>
      <c r="C49" s="44" t="n"/>
      <c r="D49" s="44" t="n"/>
      <c r="L49" s="45" t="n"/>
      <c r="O49" s="44" t="n"/>
    </row>
    <row r="50">
      <c r="A50" s="43" t="n"/>
      <c r="C50" s="44" t="n"/>
      <c r="D50" s="44" t="n"/>
      <c r="L50" s="45" t="n"/>
      <c r="O50" s="44" t="n"/>
    </row>
    <row r="51">
      <c r="A51" s="43" t="n"/>
      <c r="C51" s="44" t="n"/>
      <c r="D51" s="44" t="n"/>
      <c r="L51" s="45" t="n"/>
      <c r="O51" s="44" t="n"/>
    </row>
    <row r="52">
      <c r="A52" s="43" t="n"/>
      <c r="C52" s="44" t="n"/>
      <c r="D52" s="44" t="n"/>
      <c r="L52" s="45" t="n"/>
      <c r="O52" s="44" t="n"/>
    </row>
    <row r="53">
      <c r="A53" s="43" t="n"/>
      <c r="C53" s="44" t="n"/>
      <c r="D53" s="44" t="n"/>
      <c r="L53" s="45" t="n"/>
      <c r="O53" s="44" t="n"/>
    </row>
    <row r="54">
      <c r="A54" s="43" t="n"/>
      <c r="C54" s="44" t="n"/>
      <c r="D54" s="44" t="n"/>
      <c r="L54" s="45" t="n"/>
      <c r="O54" s="44" t="n"/>
    </row>
    <row r="55">
      <c r="A55" s="43" t="n"/>
      <c r="C55" s="44" t="n"/>
      <c r="D55" s="44" t="n"/>
      <c r="L55" s="45" t="n"/>
      <c r="O55" s="44" t="n"/>
    </row>
    <row r="56">
      <c r="A56" s="43" t="n"/>
      <c r="C56" s="44" t="n"/>
      <c r="D56" s="44" t="n"/>
      <c r="L56" s="45" t="n"/>
      <c r="O56" s="44" t="n"/>
    </row>
    <row r="57">
      <c r="A57" s="43" t="n"/>
      <c r="C57" s="44" t="n"/>
      <c r="D57" s="44" t="n"/>
      <c r="L57" s="45" t="n"/>
      <c r="O57" s="44" t="n"/>
    </row>
    <row r="58">
      <c r="A58" s="43" t="n"/>
      <c r="C58" s="44" t="n"/>
      <c r="D58" s="44" t="n"/>
      <c r="L58" s="45" t="n"/>
      <c r="O58" s="44" t="n"/>
    </row>
    <row r="59">
      <c r="A59" s="43" t="n"/>
      <c r="C59" s="44" t="n"/>
      <c r="D59" s="44" t="n"/>
      <c r="L59" s="45" t="n"/>
      <c r="O59" s="44" t="n"/>
    </row>
    <row r="60">
      <c r="A60" s="43" t="n"/>
      <c r="C60" s="44" t="n"/>
      <c r="D60" s="44" t="n"/>
      <c r="L60" s="45" t="n"/>
      <c r="O60" s="44" t="n"/>
    </row>
    <row r="61">
      <c r="A61" s="43" t="n"/>
      <c r="C61" s="44" t="n"/>
      <c r="D61" s="44" t="n"/>
      <c r="L61" s="45" t="n"/>
      <c r="O61" s="44" t="n"/>
    </row>
    <row r="62">
      <c r="A62" s="43" t="n"/>
      <c r="C62" s="44" t="n"/>
      <c r="D62" s="44" t="n"/>
      <c r="L62" s="45" t="n"/>
      <c r="O62" s="44" t="n"/>
    </row>
    <row r="63">
      <c r="A63" s="43" t="n"/>
      <c r="C63" s="44" t="n"/>
      <c r="D63" s="44" t="n"/>
      <c r="L63" s="45" t="n"/>
      <c r="O63" s="44" t="n"/>
    </row>
    <row r="64">
      <c r="A64" s="43" t="n"/>
      <c r="C64" s="44" t="n"/>
      <c r="D64" s="44" t="n"/>
      <c r="L64" s="45" t="n"/>
      <c r="O64" s="44" t="n"/>
    </row>
    <row r="65">
      <c r="A65" s="43" t="n"/>
      <c r="C65" s="44" t="n"/>
      <c r="D65" s="44" t="n"/>
      <c r="L65" s="45" t="n"/>
      <c r="O65" s="44" t="n"/>
    </row>
    <row r="66">
      <c r="A66" s="43" t="n"/>
      <c r="C66" s="44" t="n"/>
      <c r="D66" s="44" t="n"/>
      <c r="L66" s="45" t="n"/>
      <c r="O66" s="44" t="n"/>
    </row>
    <row r="67">
      <c r="A67" s="43" t="n"/>
      <c r="C67" s="44" t="n"/>
      <c r="D67" s="44" t="n"/>
      <c r="L67" s="45" t="n"/>
      <c r="O67" s="44" t="n"/>
    </row>
    <row r="68">
      <c r="A68" s="43" t="n"/>
      <c r="C68" s="44" t="n"/>
      <c r="D68" s="44" t="n"/>
      <c r="L68" s="45" t="n"/>
      <c r="O68" s="44" t="n"/>
    </row>
    <row r="69">
      <c r="A69" s="43" t="n"/>
      <c r="C69" s="44" t="n"/>
      <c r="D69" s="44" t="n"/>
      <c r="L69" s="45" t="n"/>
      <c r="O69" s="44" t="n"/>
    </row>
    <row r="70">
      <c r="A70" s="43" t="n"/>
      <c r="C70" s="44" t="n"/>
      <c r="D70" s="44" t="n"/>
      <c r="L70" s="45" t="n"/>
      <c r="O70" s="44" t="n"/>
    </row>
    <row r="71">
      <c r="A71" s="43" t="n"/>
      <c r="C71" s="44" t="n"/>
      <c r="D71" s="44" t="n"/>
      <c r="L71" s="45" t="n"/>
      <c r="O71" s="44" t="n"/>
    </row>
    <row r="72">
      <c r="A72" s="43" t="n"/>
      <c r="C72" s="44" t="n"/>
      <c r="D72" s="44" t="n"/>
      <c r="L72" s="45" t="n"/>
      <c r="O72" s="44" t="n"/>
    </row>
    <row r="73">
      <c r="A73" s="43" t="n"/>
      <c r="C73" s="44" t="n"/>
      <c r="D73" s="44" t="n"/>
      <c r="L73" s="45" t="n"/>
      <c r="O73" s="44" t="n"/>
    </row>
    <row r="74">
      <c r="A74" s="43" t="n"/>
      <c r="C74" s="44" t="n"/>
      <c r="D74" s="44" t="n"/>
      <c r="L74" s="45" t="n"/>
      <c r="O74" s="44" t="n"/>
    </row>
    <row r="75">
      <c r="A75" s="43" t="n"/>
      <c r="C75" s="44" t="n"/>
      <c r="D75" s="44" t="n"/>
      <c r="L75" s="45" t="n"/>
      <c r="O75" s="44" t="n"/>
    </row>
    <row r="76">
      <c r="A76" s="43" t="n"/>
      <c r="C76" s="44" t="n"/>
      <c r="D76" s="44" t="n"/>
      <c r="L76" s="45" t="n"/>
      <c r="O76" s="44" t="n"/>
    </row>
    <row r="77">
      <c r="A77" s="43" t="n"/>
      <c r="C77" s="44" t="n"/>
      <c r="D77" s="44" t="n"/>
      <c r="L77" s="45" t="n"/>
      <c r="O77" s="44" t="n"/>
    </row>
    <row r="78">
      <c r="A78" s="43" t="n"/>
      <c r="C78" s="44" t="n"/>
      <c r="D78" s="44" t="n"/>
      <c r="L78" s="45" t="n"/>
      <c r="O78" s="44" t="n"/>
    </row>
    <row r="79">
      <c r="A79" s="43" t="n"/>
      <c r="C79" s="44" t="n"/>
      <c r="D79" s="44" t="n"/>
      <c r="L79" s="45" t="n"/>
      <c r="O79" s="44" t="n"/>
    </row>
    <row r="80">
      <c r="A80" s="43" t="n"/>
      <c r="C80" s="44" t="n"/>
      <c r="D80" s="44" t="n"/>
      <c r="L80" s="45" t="n"/>
      <c r="O80" s="44" t="n"/>
    </row>
    <row r="81">
      <c r="A81" s="43" t="n"/>
      <c r="C81" s="44" t="n"/>
      <c r="D81" s="44" t="n"/>
      <c r="L81" s="45" t="n"/>
      <c r="O81" s="44" t="n"/>
    </row>
    <row r="82">
      <c r="A82" s="43" t="n"/>
      <c r="C82" s="44" t="n"/>
      <c r="D82" s="44" t="n"/>
      <c r="L82" s="45" t="n"/>
      <c r="O82" s="44" t="n"/>
    </row>
    <row r="83">
      <c r="A83" s="43" t="n"/>
      <c r="C83" s="44" t="n"/>
      <c r="D83" s="44" t="n"/>
      <c r="L83" s="45" t="n"/>
      <c r="O83" s="44" t="n"/>
    </row>
    <row r="84">
      <c r="A84" s="43" t="n"/>
      <c r="C84" s="44" t="n"/>
      <c r="D84" s="44" t="n"/>
      <c r="L84" s="45" t="n"/>
      <c r="O84" s="44" t="n"/>
    </row>
    <row r="85">
      <c r="A85" s="43" t="n"/>
      <c r="C85" s="44" t="n"/>
      <c r="D85" s="44" t="n"/>
      <c r="L85" s="45" t="n"/>
      <c r="O85" s="44" t="n"/>
    </row>
    <row r="86">
      <c r="A86" s="43" t="n"/>
      <c r="C86" s="44" t="n"/>
      <c r="D86" s="44" t="n"/>
      <c r="L86" s="45" t="n"/>
      <c r="O86" s="44" t="n"/>
    </row>
    <row r="87">
      <c r="A87" s="43" t="n"/>
      <c r="C87" s="44" t="n"/>
      <c r="D87" s="44" t="n"/>
      <c r="L87" s="45" t="n"/>
      <c r="O87" s="44" t="n"/>
    </row>
    <row r="88">
      <c r="A88" s="43" t="n"/>
      <c r="C88" s="44" t="n"/>
      <c r="D88" s="44" t="n"/>
      <c r="L88" s="45" t="n"/>
      <c r="O88" s="44" t="n"/>
    </row>
    <row r="89">
      <c r="A89" s="43" t="n"/>
      <c r="C89" s="44" t="n"/>
      <c r="D89" s="44" t="n"/>
      <c r="L89" s="45" t="n"/>
      <c r="O89" s="44" t="n"/>
    </row>
    <row r="90">
      <c r="A90" s="43" t="n"/>
      <c r="C90" s="44" t="n"/>
      <c r="D90" s="44" t="n"/>
      <c r="L90" s="45" t="n"/>
      <c r="O90" s="44" t="n"/>
    </row>
    <row r="91">
      <c r="A91" s="43" t="n"/>
      <c r="C91" s="44" t="n"/>
      <c r="D91" s="44" t="n"/>
      <c r="L91" s="45" t="n"/>
      <c r="O91" s="44" t="n"/>
    </row>
    <row r="92">
      <c r="A92" s="43" t="n"/>
      <c r="C92" s="44" t="n"/>
      <c r="D92" s="44" t="n"/>
      <c r="L92" s="45" t="n"/>
      <c r="O92" s="44" t="n"/>
    </row>
    <row r="93">
      <c r="A93" s="43" t="n"/>
      <c r="C93" s="44" t="n"/>
      <c r="D93" s="44" t="n"/>
      <c r="L93" s="45" t="n"/>
      <c r="O93" s="44" t="n"/>
    </row>
    <row r="94">
      <c r="A94" s="43" t="n"/>
      <c r="C94" s="44" t="n"/>
      <c r="D94" s="44" t="n"/>
      <c r="L94" s="45" t="n"/>
      <c r="O94" s="44" t="n"/>
    </row>
    <row r="95">
      <c r="A95" s="43" t="n"/>
      <c r="C95" s="44" t="n"/>
      <c r="D95" s="44" t="n"/>
      <c r="L95" s="45" t="n"/>
      <c r="O95" s="44" t="n"/>
    </row>
    <row r="96">
      <c r="A96" s="43" t="n"/>
      <c r="C96" s="44" t="n"/>
      <c r="D96" s="44" t="n"/>
      <c r="L96" s="45" t="n"/>
      <c r="O96" s="44" t="n"/>
    </row>
    <row r="97">
      <c r="A97" s="43" t="n"/>
      <c r="C97" s="44" t="n"/>
      <c r="D97" s="44" t="n"/>
      <c r="L97" s="45" t="n"/>
      <c r="O97" s="44" t="n"/>
    </row>
    <row r="98">
      <c r="A98" s="43" t="n"/>
      <c r="C98" s="44" t="n"/>
      <c r="D98" s="44" t="n"/>
      <c r="L98" s="45" t="n"/>
      <c r="O98" s="44" t="n"/>
    </row>
    <row r="99">
      <c r="A99" s="43" t="n"/>
      <c r="C99" s="44" t="n"/>
      <c r="D99" s="44" t="n"/>
      <c r="L99" s="45" t="n"/>
      <c r="O99" s="44" t="n"/>
    </row>
    <row r="100">
      <c r="A100" s="43" t="n"/>
      <c r="C100" s="44" t="n"/>
      <c r="D100" s="44" t="n"/>
      <c r="L100" s="45" t="n"/>
      <c r="O100" s="44" t="n"/>
    </row>
    <row r="101">
      <c r="A101" s="43" t="n"/>
      <c r="C101" s="44" t="n"/>
      <c r="D101" s="44" t="n"/>
      <c r="L101" s="45" t="n"/>
      <c r="O101" s="44" t="n"/>
    </row>
    <row r="102">
      <c r="A102" s="43" t="n"/>
      <c r="C102" s="44" t="n"/>
      <c r="D102" s="44" t="n"/>
      <c r="L102" s="45" t="n"/>
      <c r="O102" s="44" t="n"/>
    </row>
    <row r="103">
      <c r="A103" s="43" t="n"/>
      <c r="C103" s="44" t="n"/>
      <c r="D103" s="44" t="n"/>
      <c r="L103" s="45" t="n"/>
      <c r="O103" s="44" t="n"/>
    </row>
    <row r="104">
      <c r="A104" s="43" t="n"/>
      <c r="C104" s="44" t="n"/>
      <c r="D104" s="44" t="n"/>
      <c r="L104" s="45" t="n"/>
      <c r="O104" s="44" t="n"/>
    </row>
    <row r="105">
      <c r="A105" s="43" t="n"/>
      <c r="C105" s="44" t="n"/>
      <c r="D105" s="44" t="n"/>
      <c r="L105" s="45" t="n"/>
      <c r="O105" s="44" t="n"/>
    </row>
    <row r="106">
      <c r="A106" s="43" t="n"/>
      <c r="C106" s="44" t="n"/>
      <c r="D106" s="44" t="n"/>
      <c r="L106" s="45" t="n"/>
      <c r="O106" s="44" t="n"/>
    </row>
    <row r="107">
      <c r="A107" s="43" t="n"/>
      <c r="C107" s="44" t="n"/>
      <c r="D107" s="44" t="n"/>
      <c r="L107" s="45" t="n"/>
      <c r="O107" s="44" t="n"/>
    </row>
    <row r="108">
      <c r="A108" s="43" t="n"/>
      <c r="C108" s="44" t="n"/>
      <c r="D108" s="44" t="n"/>
      <c r="L108" s="45" t="n"/>
      <c r="O108" s="44" t="n"/>
    </row>
    <row r="109">
      <c r="A109" s="43" t="n"/>
      <c r="C109" s="44" t="n"/>
      <c r="D109" s="44" t="n"/>
      <c r="L109" s="45" t="n"/>
      <c r="O109" s="44" t="n"/>
    </row>
    <row r="110">
      <c r="A110" s="43" t="n"/>
      <c r="C110" s="44" t="n"/>
      <c r="D110" s="44" t="n"/>
      <c r="L110" s="45" t="n"/>
      <c r="O110" s="44" t="n"/>
    </row>
    <row r="111">
      <c r="A111" s="43" t="n"/>
      <c r="C111" s="44" t="n"/>
      <c r="D111" s="44" t="n"/>
      <c r="L111" s="45" t="n"/>
      <c r="O111" s="44" t="n"/>
    </row>
    <row r="112">
      <c r="A112" s="43" t="n"/>
      <c r="C112" s="44" t="n"/>
      <c r="D112" s="44" t="n"/>
      <c r="L112" s="45" t="n"/>
      <c r="O112" s="44" t="n"/>
    </row>
    <row r="113">
      <c r="A113" s="43" t="n"/>
      <c r="C113" s="44" t="n"/>
      <c r="D113" s="44" t="n"/>
      <c r="L113" s="45" t="n"/>
      <c r="O113" s="44" t="n"/>
    </row>
    <row r="114">
      <c r="A114" s="43" t="n"/>
      <c r="C114" s="44" t="n"/>
      <c r="D114" s="44" t="n"/>
      <c r="L114" s="45" t="n"/>
      <c r="O114" s="44" t="n"/>
    </row>
    <row r="115">
      <c r="A115" s="43" t="n"/>
      <c r="C115" s="44" t="n"/>
      <c r="D115" s="44" t="n"/>
      <c r="L115" s="45" t="n"/>
      <c r="O115" s="44" t="n"/>
    </row>
    <row r="116">
      <c r="A116" s="43" t="n"/>
      <c r="C116" s="44" t="n"/>
      <c r="D116" s="44" t="n"/>
      <c r="L116" s="45" t="n"/>
      <c r="O116" s="44" t="n"/>
    </row>
    <row r="117">
      <c r="A117" s="43" t="n"/>
      <c r="C117" s="44" t="n"/>
      <c r="D117" s="44" t="n"/>
      <c r="L117" s="45" t="n"/>
      <c r="O117" s="44" t="n"/>
    </row>
    <row r="118">
      <c r="A118" s="43" t="n"/>
      <c r="C118" s="44" t="n"/>
      <c r="D118" s="44" t="n"/>
      <c r="L118" s="45" t="n"/>
      <c r="O118" s="44" t="n"/>
    </row>
    <row r="119">
      <c r="A119" s="43" t="n"/>
      <c r="C119" s="44" t="n"/>
      <c r="D119" s="44" t="n"/>
      <c r="L119" s="45" t="n"/>
      <c r="O119" s="44" t="n"/>
    </row>
    <row r="120">
      <c r="A120" s="43" t="n"/>
      <c r="C120" s="44" t="n"/>
      <c r="D120" s="44" t="n"/>
      <c r="L120" s="45" t="n"/>
      <c r="O120" s="44" t="n"/>
    </row>
    <row r="121">
      <c r="A121" s="43" t="n"/>
      <c r="C121" s="44" t="n"/>
      <c r="D121" s="44" t="n"/>
      <c r="L121" s="45" t="n"/>
      <c r="O121" s="44" t="n"/>
    </row>
    <row r="122">
      <c r="A122" s="43" t="n"/>
      <c r="C122" s="44" t="n"/>
      <c r="D122" s="44" t="n"/>
      <c r="L122" s="45" t="n"/>
      <c r="O122" s="44" t="n"/>
    </row>
    <row r="123">
      <c r="A123" s="43" t="n"/>
      <c r="C123" s="44" t="n"/>
      <c r="D123" s="44" t="n"/>
      <c r="L123" s="45" t="n"/>
      <c r="O123" s="44" t="n"/>
    </row>
    <row r="124">
      <c r="A124" s="43" t="n"/>
      <c r="C124" s="44" t="n"/>
      <c r="D124" s="44" t="n"/>
      <c r="L124" s="45" t="n"/>
      <c r="O124" s="44" t="n"/>
    </row>
    <row r="125">
      <c r="A125" s="43" t="n"/>
      <c r="C125" s="44" t="n"/>
      <c r="D125" s="44" t="n"/>
      <c r="L125" s="45" t="n"/>
      <c r="O125" s="44" t="n"/>
    </row>
    <row r="126">
      <c r="A126" s="43" t="n"/>
      <c r="C126" s="44" t="n"/>
      <c r="D126" s="44" t="n"/>
      <c r="L126" s="45" t="n"/>
      <c r="O126" s="44" t="n"/>
    </row>
    <row r="127">
      <c r="A127" s="43" t="n"/>
      <c r="C127" s="44" t="n"/>
      <c r="D127" s="44" t="n"/>
      <c r="L127" s="45" t="n"/>
      <c r="O127" s="44" t="n"/>
    </row>
    <row r="128">
      <c r="A128" s="43" t="n"/>
      <c r="C128" s="44" t="n"/>
      <c r="D128" s="44" t="n"/>
      <c r="L128" s="45" t="n"/>
      <c r="O128" s="44" t="n"/>
    </row>
    <row r="129">
      <c r="A129" s="43" t="n"/>
      <c r="C129" s="44" t="n"/>
      <c r="D129" s="44" t="n"/>
      <c r="L129" s="45" t="n"/>
      <c r="O129" s="44" t="n"/>
    </row>
    <row r="130">
      <c r="A130" s="43" t="n"/>
      <c r="C130" s="44" t="n"/>
      <c r="D130" s="44" t="n"/>
      <c r="L130" s="45" t="n"/>
      <c r="O130" s="44" t="n"/>
    </row>
    <row r="131">
      <c r="A131" s="43" t="n"/>
      <c r="C131" s="44" t="n"/>
      <c r="D131" s="44" t="n"/>
      <c r="L131" s="45" t="n"/>
      <c r="O131" s="44" t="n"/>
    </row>
    <row r="132">
      <c r="A132" s="43" t="n"/>
      <c r="C132" s="44" t="n"/>
      <c r="D132" s="44" t="n"/>
      <c r="L132" s="45" t="n"/>
      <c r="O132" s="44" t="n"/>
    </row>
    <row r="133">
      <c r="A133" s="43" t="n"/>
      <c r="C133" s="44" t="n"/>
      <c r="D133" s="44" t="n"/>
      <c r="L133" s="45" t="n"/>
      <c r="O133" s="44" t="n"/>
    </row>
    <row r="134">
      <c r="A134" s="43" t="n"/>
      <c r="C134" s="44" t="n"/>
      <c r="D134" s="44" t="n"/>
      <c r="L134" s="45" t="n"/>
      <c r="O134" s="44" t="n"/>
    </row>
    <row r="135">
      <c r="A135" s="43" t="n"/>
      <c r="C135" s="44" t="n"/>
      <c r="D135" s="44" t="n"/>
      <c r="L135" s="45" t="n"/>
      <c r="O135" s="44" t="n"/>
    </row>
    <row r="136">
      <c r="A136" s="43" t="n"/>
      <c r="C136" s="44" t="n"/>
      <c r="D136" s="44" t="n"/>
      <c r="L136" s="45" t="n"/>
      <c r="O136" s="44" t="n"/>
    </row>
    <row r="137">
      <c r="A137" s="43" t="n"/>
      <c r="C137" s="44" t="n"/>
      <c r="D137" s="44" t="n"/>
      <c r="L137" s="45" t="n"/>
      <c r="O137" s="44" t="n"/>
    </row>
    <row r="138">
      <c r="A138" s="43" t="n"/>
      <c r="C138" s="44" t="n"/>
      <c r="D138" s="44" t="n"/>
      <c r="L138" s="45" t="n"/>
      <c r="O138" s="44" t="n"/>
    </row>
    <row r="139">
      <c r="A139" s="43" t="n"/>
      <c r="C139" s="44" t="n"/>
      <c r="D139" s="44" t="n"/>
      <c r="L139" s="45" t="n"/>
      <c r="O139" s="44" t="n"/>
    </row>
    <row r="140">
      <c r="A140" s="43" t="n"/>
      <c r="C140" s="44" t="n"/>
      <c r="D140" s="44" t="n"/>
      <c r="L140" s="45" t="n"/>
      <c r="O140" s="44" t="n"/>
    </row>
    <row r="141">
      <c r="A141" s="43" t="n"/>
      <c r="C141" s="44" t="n"/>
      <c r="D141" s="44" t="n"/>
      <c r="L141" s="45" t="n"/>
      <c r="O141" s="44" t="n"/>
    </row>
    <row r="142">
      <c r="A142" s="43" t="n"/>
      <c r="C142" s="44" t="n"/>
      <c r="D142" s="44" t="n"/>
      <c r="L142" s="45" t="n"/>
      <c r="O142" s="44" t="n"/>
    </row>
    <row r="143">
      <c r="A143" s="43" t="n"/>
      <c r="C143" s="44" t="n"/>
      <c r="D143" s="44" t="n"/>
      <c r="L143" s="45" t="n"/>
      <c r="O143" s="44" t="n"/>
    </row>
    <row r="144">
      <c r="A144" s="43" t="n"/>
      <c r="C144" s="44" t="n"/>
      <c r="D144" s="44" t="n"/>
      <c r="L144" s="45" t="n"/>
      <c r="O144" s="44" t="n"/>
    </row>
    <row r="145">
      <c r="A145" s="43" t="n"/>
      <c r="C145" s="44" t="n"/>
      <c r="D145" s="44" t="n"/>
      <c r="L145" s="45" t="n"/>
      <c r="O145" s="44" t="n"/>
    </row>
    <row r="146">
      <c r="A146" s="43" t="n"/>
      <c r="C146" s="44" t="n"/>
      <c r="D146" s="44" t="n"/>
      <c r="L146" s="45" t="n"/>
      <c r="O146" s="44" t="n"/>
    </row>
    <row r="147">
      <c r="A147" s="43" t="n"/>
      <c r="C147" s="44" t="n"/>
      <c r="D147" s="44" t="n"/>
      <c r="L147" s="45" t="n"/>
      <c r="O147" s="44" t="n"/>
    </row>
    <row r="148">
      <c r="A148" s="43" t="n"/>
      <c r="C148" s="44" t="n"/>
      <c r="D148" s="44" t="n"/>
      <c r="L148" s="45" t="n"/>
      <c r="O148" s="44" t="n"/>
    </row>
    <row r="149">
      <c r="A149" s="43" t="n"/>
      <c r="C149" s="44" t="n"/>
      <c r="D149" s="44" t="n"/>
      <c r="L149" s="45" t="n"/>
      <c r="O149" s="44" t="n"/>
    </row>
    <row r="150">
      <c r="A150" s="43" t="n"/>
      <c r="C150" s="44" t="n"/>
      <c r="D150" s="44" t="n"/>
      <c r="L150" s="45" t="n"/>
      <c r="O150" s="44" t="n"/>
    </row>
    <row r="151">
      <c r="A151" s="43" t="n"/>
      <c r="C151" s="44" t="n"/>
      <c r="D151" s="44" t="n"/>
      <c r="L151" s="45" t="n"/>
      <c r="O151" s="44" t="n"/>
    </row>
    <row r="152">
      <c r="A152" s="43" t="n"/>
      <c r="C152" s="44" t="n"/>
      <c r="D152" s="44" t="n"/>
      <c r="L152" s="45" t="n"/>
      <c r="O152" s="44" t="n"/>
    </row>
    <row r="153">
      <c r="A153" s="43" t="n"/>
      <c r="C153" s="44" t="n"/>
      <c r="D153" s="44" t="n"/>
      <c r="L153" s="45" t="n"/>
      <c r="O153" s="44" t="n"/>
    </row>
    <row r="154">
      <c r="A154" s="43" t="n"/>
      <c r="C154" s="44" t="n"/>
      <c r="D154" s="44" t="n"/>
      <c r="L154" s="45" t="n"/>
      <c r="O154" s="44" t="n"/>
    </row>
    <row r="155">
      <c r="A155" s="43" t="n"/>
      <c r="C155" s="44" t="n"/>
      <c r="D155" s="44" t="n"/>
      <c r="L155" s="45" t="n"/>
      <c r="O155" s="44" t="n"/>
    </row>
    <row r="156">
      <c r="A156" s="43" t="n"/>
      <c r="C156" s="44" t="n"/>
      <c r="D156" s="44" t="n"/>
      <c r="L156" s="45" t="n"/>
      <c r="O156" s="44" t="n"/>
    </row>
    <row r="157">
      <c r="A157" s="43" t="n"/>
      <c r="C157" s="44" t="n"/>
      <c r="D157" s="44" t="n"/>
      <c r="L157" s="45" t="n"/>
      <c r="O157" s="44" t="n"/>
    </row>
    <row r="158">
      <c r="A158" s="43" t="n"/>
      <c r="C158" s="44" t="n"/>
      <c r="D158" s="44" t="n"/>
      <c r="L158" s="45" t="n"/>
      <c r="O158" s="44" t="n"/>
    </row>
    <row r="159">
      <c r="A159" s="43" t="n"/>
      <c r="C159" s="44" t="n"/>
      <c r="D159" s="44" t="n"/>
      <c r="L159" s="45" t="n"/>
      <c r="O159" s="44" t="n"/>
    </row>
    <row r="160">
      <c r="A160" s="43" t="n"/>
      <c r="C160" s="44" t="n"/>
      <c r="D160" s="44" t="n"/>
      <c r="L160" s="45" t="n"/>
      <c r="O160" s="44" t="n"/>
    </row>
    <row r="161">
      <c r="A161" s="43" t="n"/>
      <c r="C161" s="44" t="n"/>
      <c r="D161" s="44" t="n"/>
      <c r="L161" s="45" t="n"/>
      <c r="O161" s="44" t="n"/>
    </row>
    <row r="162">
      <c r="A162" s="43" t="n"/>
      <c r="C162" s="44" t="n"/>
      <c r="D162" s="44" t="n"/>
      <c r="L162" s="45" t="n"/>
      <c r="O162" s="44" t="n"/>
    </row>
    <row r="163">
      <c r="A163" s="43" t="n"/>
      <c r="C163" s="44" t="n"/>
      <c r="D163" s="44" t="n"/>
      <c r="L163" s="45" t="n"/>
      <c r="O163" s="44" t="n"/>
    </row>
    <row r="164">
      <c r="A164" s="43" t="n"/>
      <c r="C164" s="44" t="n"/>
      <c r="D164" s="44" t="n"/>
      <c r="L164" s="45" t="n"/>
      <c r="O164" s="44" t="n"/>
    </row>
    <row r="165">
      <c r="A165" s="43" t="n"/>
      <c r="C165" s="44" t="n"/>
      <c r="D165" s="44" t="n"/>
      <c r="L165" s="45" t="n"/>
      <c r="O165" s="44" t="n"/>
    </row>
    <row r="166">
      <c r="A166" s="43" t="n"/>
      <c r="C166" s="44" t="n"/>
      <c r="D166" s="44" t="n"/>
      <c r="L166" s="45" t="n"/>
      <c r="O166" s="44" t="n"/>
    </row>
    <row r="167">
      <c r="A167" s="43" t="n"/>
      <c r="C167" s="44" t="n"/>
      <c r="D167" s="44" t="n"/>
      <c r="L167" s="45" t="n"/>
      <c r="O167" s="44" t="n"/>
    </row>
    <row r="168">
      <c r="A168" s="43" t="n"/>
      <c r="C168" s="44" t="n"/>
      <c r="D168" s="44" t="n"/>
      <c r="L168" s="45" t="n"/>
      <c r="O168" s="44" t="n"/>
    </row>
    <row r="169">
      <c r="A169" s="43" t="n"/>
      <c r="C169" s="44" t="n"/>
      <c r="D169" s="44" t="n"/>
      <c r="L169" s="45" t="n"/>
      <c r="O169" s="44" t="n"/>
    </row>
    <row r="170">
      <c r="A170" s="43" t="n"/>
      <c r="C170" s="44" t="n"/>
      <c r="D170" s="44" t="n"/>
      <c r="L170" s="45" t="n"/>
      <c r="O170" s="44" t="n"/>
    </row>
    <row r="171">
      <c r="A171" s="43" t="n"/>
      <c r="C171" s="44" t="n"/>
      <c r="D171" s="44" t="n"/>
      <c r="L171" s="45" t="n"/>
      <c r="O171" s="44" t="n"/>
    </row>
    <row r="172">
      <c r="A172" s="43" t="n"/>
      <c r="C172" s="44" t="n"/>
      <c r="D172" s="44" t="n"/>
      <c r="L172" s="45" t="n"/>
      <c r="O172" s="44" t="n"/>
    </row>
    <row r="173">
      <c r="A173" s="43" t="n"/>
      <c r="C173" s="44" t="n"/>
      <c r="D173" s="44" t="n"/>
      <c r="L173" s="45" t="n"/>
      <c r="O173" s="44" t="n"/>
    </row>
    <row r="174">
      <c r="A174" s="43" t="n"/>
      <c r="C174" s="44" t="n"/>
      <c r="D174" s="44" t="n"/>
      <c r="L174" s="45" t="n"/>
      <c r="O174" s="44" t="n"/>
    </row>
    <row r="175">
      <c r="A175" s="43" t="n"/>
      <c r="C175" s="44" t="n"/>
      <c r="D175" s="44" t="n"/>
      <c r="L175" s="45" t="n"/>
      <c r="O175" s="44" t="n"/>
    </row>
    <row r="176">
      <c r="A176" s="43" t="n"/>
      <c r="C176" s="44" t="n"/>
      <c r="D176" s="44" t="n"/>
      <c r="L176" s="45" t="n"/>
      <c r="O176" s="44" t="n"/>
    </row>
    <row r="177">
      <c r="A177" s="43" t="n"/>
      <c r="C177" s="44" t="n"/>
      <c r="D177" s="44" t="n"/>
      <c r="L177" s="45" t="n"/>
      <c r="O177" s="44" t="n"/>
    </row>
    <row r="178">
      <c r="A178" s="43" t="n"/>
      <c r="C178" s="44" t="n"/>
      <c r="D178" s="44" t="n"/>
      <c r="L178" s="45" t="n"/>
      <c r="O178" s="44" t="n"/>
    </row>
    <row r="179">
      <c r="A179" s="43" t="n"/>
      <c r="C179" s="44" t="n"/>
      <c r="D179" s="44" t="n"/>
      <c r="L179" s="45" t="n"/>
      <c r="O179" s="44" t="n"/>
    </row>
    <row r="180">
      <c r="A180" s="43" t="n"/>
      <c r="C180" s="44" t="n"/>
      <c r="D180" s="44" t="n"/>
      <c r="L180" s="45" t="n"/>
      <c r="O180" s="44" t="n"/>
    </row>
    <row r="181">
      <c r="A181" s="43" t="n"/>
      <c r="C181" s="44" t="n"/>
      <c r="D181" s="44" t="n"/>
      <c r="L181" s="45" t="n"/>
      <c r="O181" s="44" t="n"/>
    </row>
    <row r="182">
      <c r="A182" s="43" t="n"/>
      <c r="C182" s="44" t="n"/>
      <c r="D182" s="44" t="n"/>
      <c r="L182" s="45" t="n"/>
      <c r="O182" s="44" t="n"/>
    </row>
    <row r="183">
      <c r="A183" s="43" t="n"/>
      <c r="C183" s="44" t="n"/>
      <c r="D183" s="44" t="n"/>
      <c r="L183" s="45" t="n"/>
      <c r="O183" s="44" t="n"/>
    </row>
    <row r="184">
      <c r="A184" s="43" t="n"/>
      <c r="C184" s="44" t="n"/>
      <c r="D184" s="44" t="n"/>
      <c r="L184" s="45" t="n"/>
      <c r="O184" s="44" t="n"/>
    </row>
    <row r="185">
      <c r="A185" s="43" t="n"/>
      <c r="C185" s="44" t="n"/>
      <c r="D185" s="44" t="n"/>
      <c r="L185" s="45" t="n"/>
      <c r="O185" s="44" t="n"/>
    </row>
    <row r="186">
      <c r="A186" s="43" t="n"/>
      <c r="C186" s="44" t="n"/>
      <c r="D186" s="44" t="n"/>
      <c r="L186" s="45" t="n"/>
      <c r="O186" s="44" t="n"/>
    </row>
    <row r="187">
      <c r="A187" s="43" t="n"/>
      <c r="C187" s="44" t="n"/>
      <c r="D187" s="44" t="n"/>
      <c r="L187" s="45" t="n"/>
      <c r="O187" s="44" t="n"/>
    </row>
    <row r="188">
      <c r="A188" s="43" t="n"/>
      <c r="C188" s="44" t="n"/>
      <c r="D188" s="44" t="n"/>
      <c r="L188" s="45" t="n"/>
      <c r="O188" s="44" t="n"/>
    </row>
    <row r="189">
      <c r="A189" s="43" t="n"/>
      <c r="C189" s="44" t="n"/>
      <c r="D189" s="44" t="n"/>
      <c r="L189" s="45" t="n"/>
      <c r="O189" s="44" t="n"/>
    </row>
    <row r="190">
      <c r="A190" s="43" t="n"/>
      <c r="C190" s="44" t="n"/>
      <c r="D190" s="44" t="n"/>
      <c r="L190" s="45" t="n"/>
      <c r="O190" s="44" t="n"/>
    </row>
    <row r="191">
      <c r="A191" s="43" t="n"/>
      <c r="C191" s="44" t="n"/>
      <c r="D191" s="44" t="n"/>
      <c r="L191" s="45" t="n"/>
      <c r="O191" s="44" t="n"/>
    </row>
    <row r="192">
      <c r="A192" s="43" t="n"/>
      <c r="C192" s="44" t="n"/>
      <c r="D192" s="44" t="n"/>
      <c r="L192" s="45" t="n"/>
      <c r="O192" s="44" t="n"/>
    </row>
    <row r="193">
      <c r="A193" s="43" t="n"/>
      <c r="C193" s="44" t="n"/>
      <c r="D193" s="44" t="n"/>
      <c r="L193" s="45" t="n"/>
      <c r="O193" s="44" t="n"/>
    </row>
    <row r="194">
      <c r="A194" s="43" t="n"/>
      <c r="C194" s="44" t="n"/>
      <c r="D194" s="44" t="n"/>
      <c r="L194" s="45" t="n"/>
      <c r="O194" s="44" t="n"/>
    </row>
    <row r="195">
      <c r="A195" s="43" t="n"/>
      <c r="C195" s="44" t="n"/>
      <c r="D195" s="44" t="n"/>
      <c r="L195" s="45" t="n"/>
      <c r="O195" s="44" t="n"/>
    </row>
    <row r="196">
      <c r="A196" s="43" t="n"/>
      <c r="C196" s="44" t="n"/>
      <c r="D196" s="44" t="n"/>
      <c r="L196" s="45" t="n"/>
      <c r="O196" s="44" t="n"/>
    </row>
    <row r="197">
      <c r="A197" s="43" t="n"/>
      <c r="C197" s="44" t="n"/>
      <c r="D197" s="44" t="n"/>
      <c r="L197" s="45" t="n"/>
      <c r="O197" s="44" t="n"/>
    </row>
    <row r="198">
      <c r="A198" s="43" t="n"/>
      <c r="C198" s="44" t="n"/>
      <c r="D198" s="44" t="n"/>
      <c r="L198" s="45" t="n"/>
      <c r="O198" s="44" t="n"/>
    </row>
    <row r="199">
      <c r="A199" s="43" t="n"/>
      <c r="C199" s="44" t="n"/>
      <c r="D199" s="44" t="n"/>
      <c r="L199" s="45" t="n"/>
      <c r="O199" s="44" t="n"/>
    </row>
    <row r="200">
      <c r="A200" s="43" t="n"/>
      <c r="C200" s="44" t="n"/>
      <c r="D200" s="44" t="n"/>
      <c r="L200" s="45" t="n"/>
      <c r="O200" s="44" t="n"/>
    </row>
    <row r="201">
      <c r="A201" s="43" t="n"/>
      <c r="C201" s="44" t="n"/>
      <c r="D201" s="44" t="n"/>
      <c r="L201" s="45" t="n"/>
      <c r="O201" s="44" t="n"/>
    </row>
    <row r="202">
      <c r="A202" s="43" t="n"/>
      <c r="C202" s="44" t="n"/>
      <c r="D202" s="44" t="n"/>
      <c r="L202" s="45" t="n"/>
      <c r="O202" s="44" t="n"/>
    </row>
    <row r="203">
      <c r="A203" s="43" t="n"/>
      <c r="C203" s="44" t="n"/>
      <c r="D203" s="44" t="n"/>
      <c r="L203" s="45" t="n"/>
      <c r="O203" s="44" t="n"/>
    </row>
    <row r="204">
      <c r="A204" s="43" t="n"/>
      <c r="C204" s="44" t="n"/>
      <c r="D204" s="44" t="n"/>
      <c r="L204" s="45" t="n"/>
      <c r="O204" s="44" t="n"/>
    </row>
    <row r="205">
      <c r="A205" s="43" t="n"/>
      <c r="C205" s="44" t="n"/>
      <c r="D205" s="44" t="n"/>
      <c r="L205" s="45" t="n"/>
      <c r="O205" s="44" t="n"/>
    </row>
    <row r="206">
      <c r="A206" s="43" t="n"/>
      <c r="C206" s="44" t="n"/>
      <c r="D206" s="44" t="n"/>
      <c r="L206" s="45" t="n"/>
      <c r="O206" s="44" t="n"/>
    </row>
    <row r="207">
      <c r="A207" s="43" t="n"/>
      <c r="C207" s="44" t="n"/>
      <c r="D207" s="44" t="n"/>
      <c r="L207" s="45" t="n"/>
      <c r="O207" s="44" t="n"/>
    </row>
    <row r="208">
      <c r="A208" s="43" t="n"/>
      <c r="C208" s="44" t="n"/>
      <c r="D208" s="44" t="n"/>
      <c r="L208" s="45" t="n"/>
      <c r="O208" s="44" t="n"/>
    </row>
    <row r="209">
      <c r="A209" s="43" t="n"/>
      <c r="C209" s="44" t="n"/>
      <c r="D209" s="44" t="n"/>
      <c r="L209" s="45" t="n"/>
      <c r="O209" s="44" t="n"/>
    </row>
    <row r="210">
      <c r="A210" s="43" t="n"/>
      <c r="C210" s="44" t="n"/>
      <c r="D210" s="44" t="n"/>
      <c r="L210" s="45" t="n"/>
      <c r="O210" s="44" t="n"/>
    </row>
    <row r="211">
      <c r="A211" s="43" t="n"/>
      <c r="C211" s="44" t="n"/>
      <c r="D211" s="44" t="n"/>
      <c r="L211" s="45" t="n"/>
      <c r="O211" s="44" t="n"/>
    </row>
    <row r="212">
      <c r="A212" s="43" t="n"/>
      <c r="C212" s="44" t="n"/>
      <c r="D212" s="44" t="n"/>
      <c r="L212" s="45" t="n"/>
      <c r="O212" s="44" t="n"/>
    </row>
    <row r="213">
      <c r="A213" s="43" t="n"/>
      <c r="C213" s="44" t="n"/>
      <c r="D213" s="44" t="n"/>
      <c r="L213" s="45" t="n"/>
      <c r="O213" s="44" t="n"/>
    </row>
    <row r="214">
      <c r="A214" s="43" t="n"/>
      <c r="C214" s="44" t="n"/>
      <c r="D214" s="44" t="n"/>
      <c r="L214" s="45" t="n"/>
      <c r="O214" s="44" t="n"/>
    </row>
    <row r="215">
      <c r="A215" s="43" t="n"/>
      <c r="C215" s="44" t="n"/>
      <c r="D215" s="44" t="n"/>
      <c r="L215" s="45" t="n"/>
      <c r="O215" s="44" t="n"/>
    </row>
    <row r="216">
      <c r="A216" s="43" t="n"/>
      <c r="C216" s="44" t="n"/>
      <c r="D216" s="44" t="n"/>
      <c r="L216" s="45" t="n"/>
      <c r="O216" s="44" t="n"/>
    </row>
    <row r="217">
      <c r="A217" s="43" t="n"/>
      <c r="C217" s="44" t="n"/>
      <c r="D217" s="44" t="n"/>
      <c r="L217" s="45" t="n"/>
      <c r="O217" s="44" t="n"/>
    </row>
    <row r="218">
      <c r="A218" s="43" t="n"/>
      <c r="C218" s="44" t="n"/>
      <c r="D218" s="44" t="n"/>
      <c r="L218" s="45" t="n"/>
      <c r="O218" s="44" t="n"/>
    </row>
    <row r="219">
      <c r="A219" s="43" t="n"/>
      <c r="C219" s="44" t="n"/>
      <c r="D219" s="44" t="n"/>
      <c r="L219" s="45" t="n"/>
      <c r="O219" s="44" t="n"/>
    </row>
    <row r="220">
      <c r="A220" s="43" t="n"/>
      <c r="C220" s="44" t="n"/>
      <c r="D220" s="44" t="n"/>
      <c r="L220" s="45" t="n"/>
      <c r="O220" s="44" t="n"/>
    </row>
    <row r="221">
      <c r="A221" s="43" t="n"/>
      <c r="C221" s="44" t="n"/>
      <c r="D221" s="44" t="n"/>
      <c r="L221" s="45" t="n"/>
      <c r="O221" s="44" t="n"/>
    </row>
    <row r="222">
      <c r="A222" s="43" t="n"/>
      <c r="C222" s="44" t="n"/>
      <c r="D222" s="44" t="n"/>
      <c r="L222" s="45" t="n"/>
      <c r="O222" s="44" t="n"/>
    </row>
    <row r="223">
      <c r="A223" s="43" t="n"/>
      <c r="C223" s="44" t="n"/>
      <c r="D223" s="44" t="n"/>
      <c r="L223" s="45" t="n"/>
      <c r="O223" s="44" t="n"/>
    </row>
    <row r="224">
      <c r="A224" s="43" t="n"/>
      <c r="C224" s="44" t="n"/>
      <c r="D224" s="44" t="n"/>
      <c r="L224" s="45" t="n"/>
      <c r="O224" s="44" t="n"/>
    </row>
    <row r="225">
      <c r="A225" s="43" t="n"/>
      <c r="C225" s="44" t="n"/>
      <c r="D225" s="44" t="n"/>
      <c r="L225" s="45" t="n"/>
      <c r="O225" s="44" t="n"/>
    </row>
    <row r="226">
      <c r="A226" s="43" t="n"/>
      <c r="C226" s="44" t="n"/>
      <c r="D226" s="44" t="n"/>
      <c r="L226" s="45" t="n"/>
      <c r="O226" s="44" t="n"/>
    </row>
    <row r="227">
      <c r="A227" s="43" t="n"/>
      <c r="C227" s="44" t="n"/>
      <c r="D227" s="44" t="n"/>
      <c r="L227" s="45" t="n"/>
      <c r="O227" s="44" t="n"/>
    </row>
    <row r="228">
      <c r="A228" s="43" t="n"/>
      <c r="C228" s="44" t="n"/>
      <c r="D228" s="44" t="n"/>
      <c r="L228" s="45" t="n"/>
      <c r="O228" s="44" t="n"/>
    </row>
    <row r="229">
      <c r="A229" s="43" t="n"/>
      <c r="C229" s="44" t="n"/>
      <c r="D229" s="44" t="n"/>
      <c r="L229" s="45" t="n"/>
      <c r="O229" s="44" t="n"/>
    </row>
    <row r="230">
      <c r="A230" s="43" t="n"/>
      <c r="C230" s="44" t="n"/>
      <c r="D230" s="44" t="n"/>
      <c r="L230" s="45" t="n"/>
      <c r="O230" s="44" t="n"/>
    </row>
    <row r="231">
      <c r="A231" s="43" t="n"/>
      <c r="C231" s="44" t="n"/>
      <c r="D231" s="44" t="n"/>
      <c r="L231" s="45" t="n"/>
      <c r="O231" s="44" t="n"/>
    </row>
    <row r="232">
      <c r="A232" s="43" t="n"/>
      <c r="C232" s="44" t="n"/>
      <c r="D232" s="44" t="n"/>
      <c r="L232" s="45" t="n"/>
      <c r="O232" s="44" t="n"/>
    </row>
    <row r="233">
      <c r="A233" s="43" t="n"/>
      <c r="C233" s="44" t="n"/>
      <c r="D233" s="44" t="n"/>
      <c r="L233" s="45" t="n"/>
      <c r="O233" s="44" t="n"/>
    </row>
    <row r="234">
      <c r="A234" s="43" t="n"/>
      <c r="C234" s="44" t="n"/>
      <c r="D234" s="44" t="n"/>
      <c r="L234" s="45" t="n"/>
      <c r="O234" s="44" t="n"/>
    </row>
    <row r="235">
      <c r="A235" s="43" t="n"/>
      <c r="C235" s="44" t="n"/>
      <c r="D235" s="44" t="n"/>
      <c r="L235" s="45" t="n"/>
      <c r="O235" s="44" t="n"/>
    </row>
    <row r="236">
      <c r="A236" s="43" t="n"/>
      <c r="C236" s="44" t="n"/>
      <c r="D236" s="44" t="n"/>
      <c r="L236" s="45" t="n"/>
      <c r="O236" s="44" t="n"/>
    </row>
    <row r="237">
      <c r="A237" s="43" t="n"/>
      <c r="C237" s="44" t="n"/>
      <c r="D237" s="44" t="n"/>
      <c r="L237" s="45" t="n"/>
      <c r="O237" s="44" t="n"/>
    </row>
    <row r="238">
      <c r="A238" s="43" t="n"/>
      <c r="C238" s="44" t="n"/>
      <c r="D238" s="44" t="n"/>
      <c r="L238" s="45" t="n"/>
      <c r="O238" s="44" t="n"/>
    </row>
    <row r="239">
      <c r="A239" s="43" t="n"/>
      <c r="C239" s="44" t="n"/>
      <c r="D239" s="44" t="n"/>
      <c r="L239" s="45" t="n"/>
      <c r="O239" s="44" t="n"/>
    </row>
    <row r="240">
      <c r="A240" s="43" t="n"/>
      <c r="C240" s="44" t="n"/>
      <c r="D240" s="44" t="n"/>
      <c r="L240" s="45" t="n"/>
      <c r="O240" s="44" t="n"/>
    </row>
    <row r="241">
      <c r="A241" s="43" t="n"/>
      <c r="C241" s="44" t="n"/>
      <c r="D241" s="44" t="n"/>
      <c r="L241" s="45" t="n"/>
      <c r="O241" s="44" t="n"/>
    </row>
    <row r="242">
      <c r="A242" s="43" t="n"/>
      <c r="C242" s="44" t="n"/>
      <c r="D242" s="44" t="n"/>
      <c r="L242" s="45" t="n"/>
      <c r="O242" s="44" t="n"/>
    </row>
    <row r="243">
      <c r="A243" s="43" t="n"/>
      <c r="C243" s="44" t="n"/>
      <c r="D243" s="44" t="n"/>
      <c r="L243" s="45" t="n"/>
      <c r="O243" s="44" t="n"/>
    </row>
    <row r="244">
      <c r="A244" s="43" t="n"/>
      <c r="C244" s="44" t="n"/>
      <c r="D244" s="44" t="n"/>
      <c r="L244" s="45" t="n"/>
      <c r="O244" s="44" t="n"/>
    </row>
    <row r="245">
      <c r="A245" s="43" t="n"/>
      <c r="C245" s="44" t="n"/>
      <c r="D245" s="44" t="n"/>
      <c r="L245" s="45" t="n"/>
      <c r="O245" s="44" t="n"/>
    </row>
    <row r="246">
      <c r="A246" s="43" t="n"/>
      <c r="C246" s="44" t="n"/>
      <c r="D246" s="44" t="n"/>
      <c r="L246" s="45" t="n"/>
      <c r="O246" s="44" t="n"/>
    </row>
    <row r="247">
      <c r="A247" s="43" t="n"/>
      <c r="C247" s="44" t="n"/>
      <c r="D247" s="44" t="n"/>
      <c r="L247" s="45" t="n"/>
      <c r="O247" s="44" t="n"/>
    </row>
    <row r="248">
      <c r="A248" s="43" t="n"/>
      <c r="C248" s="44" t="n"/>
      <c r="D248" s="44" t="n"/>
      <c r="L248" s="45" t="n"/>
      <c r="O248" s="44" t="n"/>
    </row>
    <row r="249">
      <c r="A249" s="43" t="n"/>
      <c r="C249" s="44" t="n"/>
      <c r="D249" s="44" t="n"/>
      <c r="L249" s="45" t="n"/>
      <c r="O249" s="44" t="n"/>
    </row>
    <row r="250">
      <c r="A250" s="43" t="n"/>
      <c r="C250" s="44" t="n"/>
      <c r="D250" s="44" t="n"/>
      <c r="L250" s="45" t="n"/>
      <c r="O250" s="44" t="n"/>
    </row>
    <row r="251">
      <c r="A251" s="43" t="n"/>
      <c r="C251" s="44" t="n"/>
      <c r="D251" s="44" t="n"/>
      <c r="L251" s="45" t="n"/>
      <c r="O251" s="44" t="n"/>
    </row>
    <row r="252">
      <c r="A252" s="43" t="n"/>
      <c r="C252" s="44" t="n"/>
      <c r="D252" s="44" t="n"/>
      <c r="L252" s="45" t="n"/>
      <c r="O252" s="44" t="n"/>
    </row>
    <row r="253">
      <c r="A253" s="43" t="n"/>
      <c r="C253" s="44" t="n"/>
      <c r="D253" s="44" t="n"/>
      <c r="L253" s="45" t="n"/>
      <c r="O253" s="44" t="n"/>
    </row>
    <row r="254">
      <c r="A254" s="43" t="n"/>
      <c r="C254" s="44" t="n"/>
      <c r="D254" s="44" t="n"/>
      <c r="L254" s="45" t="n"/>
      <c r="O254" s="44" t="n"/>
    </row>
    <row r="255">
      <c r="A255" s="43" t="n"/>
      <c r="C255" s="44" t="n"/>
      <c r="D255" s="44" t="n"/>
      <c r="L255" s="45" t="n"/>
      <c r="O255" s="44" t="n"/>
    </row>
    <row r="256">
      <c r="A256" s="43" t="n"/>
      <c r="C256" s="44" t="n"/>
      <c r="D256" s="44" t="n"/>
      <c r="L256" s="45" t="n"/>
      <c r="O256" s="44" t="n"/>
    </row>
    <row r="257">
      <c r="A257" s="43" t="n"/>
      <c r="C257" s="44" t="n"/>
      <c r="D257" s="44" t="n"/>
      <c r="L257" s="45" t="n"/>
      <c r="O257" s="44" t="n"/>
    </row>
    <row r="258">
      <c r="A258" s="43" t="n"/>
      <c r="C258" s="44" t="n"/>
      <c r="D258" s="44" t="n"/>
      <c r="L258" s="45" t="n"/>
      <c r="O258" s="44" t="n"/>
    </row>
    <row r="259">
      <c r="A259" s="43" t="n"/>
      <c r="C259" s="44" t="n"/>
      <c r="D259" s="44" t="n"/>
      <c r="L259" s="45" t="n"/>
      <c r="O259" s="44" t="n"/>
    </row>
    <row r="260">
      <c r="A260" s="43" t="n"/>
      <c r="C260" s="44" t="n"/>
      <c r="D260" s="44" t="n"/>
      <c r="L260" s="45" t="n"/>
      <c r="O260" s="44" t="n"/>
    </row>
    <row r="261">
      <c r="A261" s="43" t="n"/>
      <c r="C261" s="44" t="n"/>
      <c r="D261" s="44" t="n"/>
      <c r="L261" s="45" t="n"/>
      <c r="O261" s="44" t="n"/>
    </row>
    <row r="262">
      <c r="A262" s="43" t="n"/>
      <c r="C262" s="44" t="n"/>
      <c r="D262" s="44" t="n"/>
      <c r="L262" s="45" t="n"/>
      <c r="O262" s="44" t="n"/>
    </row>
    <row r="263">
      <c r="A263" s="43" t="n"/>
      <c r="C263" s="44" t="n"/>
      <c r="D263" s="44" t="n"/>
      <c r="L263" s="45" t="n"/>
      <c r="O263" s="44" t="n"/>
    </row>
    <row r="264">
      <c r="A264" s="43" t="n"/>
      <c r="C264" s="44" t="n"/>
      <c r="D264" s="44" t="n"/>
      <c r="L264" s="45" t="n"/>
      <c r="O264" s="44" t="n"/>
    </row>
    <row r="265">
      <c r="A265" s="43" t="n"/>
      <c r="C265" s="44" t="n"/>
      <c r="D265" s="44" t="n"/>
      <c r="L265" s="45" t="n"/>
      <c r="O265" s="44" t="n"/>
    </row>
    <row r="266">
      <c r="A266" s="43" t="n"/>
      <c r="C266" s="44" t="n"/>
      <c r="D266" s="44" t="n"/>
      <c r="L266" s="45" t="n"/>
      <c r="O266" s="44" t="n"/>
    </row>
    <row r="267">
      <c r="A267" s="43" t="n"/>
      <c r="C267" s="44" t="n"/>
      <c r="D267" s="44" t="n"/>
      <c r="L267" s="45" t="n"/>
      <c r="O267" s="44" t="n"/>
    </row>
    <row r="268">
      <c r="A268" s="43" t="n"/>
      <c r="C268" s="44" t="n"/>
      <c r="D268" s="44" t="n"/>
      <c r="L268" s="45" t="n"/>
      <c r="O268" s="44" t="n"/>
    </row>
    <row r="269">
      <c r="A269" s="43" t="n"/>
      <c r="C269" s="44" t="n"/>
      <c r="D269" s="44" t="n"/>
      <c r="L269" s="45" t="n"/>
      <c r="O269" s="44" t="n"/>
    </row>
    <row r="270">
      <c r="A270" s="43" t="n"/>
      <c r="C270" s="44" t="n"/>
      <c r="D270" s="44" t="n"/>
      <c r="L270" s="45" t="n"/>
      <c r="O270" s="44" t="n"/>
    </row>
    <row r="271">
      <c r="A271" s="43" t="n"/>
      <c r="C271" s="44" t="n"/>
      <c r="D271" s="44" t="n"/>
      <c r="L271" s="45" t="n"/>
      <c r="O271" s="44" t="n"/>
    </row>
    <row r="272">
      <c r="A272" s="43" t="n"/>
      <c r="C272" s="44" t="n"/>
      <c r="D272" s="44" t="n"/>
      <c r="L272" s="45" t="n"/>
      <c r="O272" s="44" t="n"/>
    </row>
    <row r="273">
      <c r="A273" s="43" t="n"/>
      <c r="C273" s="44" t="n"/>
      <c r="D273" s="44" t="n"/>
      <c r="L273" s="45" t="n"/>
      <c r="O273" s="44" t="n"/>
    </row>
    <row r="274">
      <c r="A274" s="43" t="n"/>
      <c r="C274" s="44" t="n"/>
      <c r="D274" s="44" t="n"/>
      <c r="L274" s="45" t="n"/>
      <c r="O274" s="44" t="n"/>
    </row>
    <row r="275">
      <c r="A275" s="43" t="n"/>
      <c r="C275" s="44" t="n"/>
      <c r="D275" s="44" t="n"/>
      <c r="L275" s="45" t="n"/>
      <c r="O275" s="44" t="n"/>
    </row>
    <row r="276">
      <c r="A276" s="43" t="n"/>
      <c r="C276" s="44" t="n"/>
      <c r="D276" s="44" t="n"/>
      <c r="L276" s="45" t="n"/>
      <c r="O276" s="44" t="n"/>
    </row>
    <row r="277">
      <c r="A277" s="43" t="n"/>
      <c r="C277" s="44" t="n"/>
      <c r="D277" s="44" t="n"/>
      <c r="L277" s="45" t="n"/>
      <c r="O277" s="44" t="n"/>
    </row>
    <row r="278">
      <c r="A278" s="43" t="n"/>
      <c r="C278" s="44" t="n"/>
      <c r="D278" s="44" t="n"/>
      <c r="L278" s="45" t="n"/>
      <c r="O278" s="44" t="n"/>
    </row>
    <row r="279">
      <c r="A279" s="43" t="n"/>
      <c r="C279" s="44" t="n"/>
      <c r="D279" s="44" t="n"/>
      <c r="L279" s="45" t="n"/>
      <c r="O279" s="44" t="n"/>
    </row>
    <row r="280">
      <c r="A280" s="43" t="n"/>
      <c r="C280" s="44" t="n"/>
      <c r="D280" s="44" t="n"/>
      <c r="L280" s="45" t="n"/>
      <c r="O280" s="44" t="n"/>
    </row>
    <row r="281">
      <c r="A281" s="43" t="n"/>
      <c r="C281" s="44" t="n"/>
      <c r="D281" s="44" t="n"/>
      <c r="L281" s="45" t="n"/>
      <c r="O281" s="44" t="n"/>
    </row>
    <row r="282">
      <c r="A282" s="43" t="n"/>
      <c r="C282" s="44" t="n"/>
      <c r="D282" s="44" t="n"/>
      <c r="L282" s="45" t="n"/>
      <c r="O282" s="44" t="n"/>
    </row>
    <row r="283">
      <c r="A283" s="43" t="n"/>
      <c r="C283" s="44" t="n"/>
      <c r="D283" s="44" t="n"/>
      <c r="L283" s="45" t="n"/>
      <c r="O283" s="44" t="n"/>
    </row>
    <row r="284">
      <c r="A284" s="43" t="n"/>
      <c r="C284" s="44" t="n"/>
      <c r="D284" s="44" t="n"/>
      <c r="L284" s="45" t="n"/>
      <c r="O284" s="44" t="n"/>
    </row>
    <row r="285">
      <c r="A285" s="43" t="n"/>
      <c r="C285" s="44" t="n"/>
      <c r="D285" s="44" t="n"/>
      <c r="L285" s="45" t="n"/>
      <c r="O285" s="44" t="n"/>
    </row>
    <row r="286">
      <c r="A286" s="43" t="n"/>
      <c r="C286" s="44" t="n"/>
      <c r="D286" s="44" t="n"/>
      <c r="L286" s="45" t="n"/>
      <c r="O286" s="44" t="n"/>
    </row>
    <row r="287">
      <c r="A287" s="43" t="n"/>
      <c r="C287" s="44" t="n"/>
      <c r="D287" s="44" t="n"/>
      <c r="L287" s="45" t="n"/>
      <c r="O287" s="44" t="n"/>
    </row>
    <row r="288">
      <c r="A288" s="43" t="n"/>
      <c r="C288" s="44" t="n"/>
      <c r="D288" s="44" t="n"/>
      <c r="L288" s="45" t="n"/>
      <c r="O288" s="44" t="n"/>
    </row>
    <row r="289">
      <c r="A289" s="43" t="n"/>
      <c r="C289" s="44" t="n"/>
      <c r="D289" s="44" t="n"/>
      <c r="L289" s="45" t="n"/>
      <c r="O289" s="44" t="n"/>
    </row>
    <row r="290">
      <c r="A290" s="43" t="n"/>
      <c r="C290" s="44" t="n"/>
      <c r="D290" s="44" t="n"/>
      <c r="L290" s="45" t="n"/>
      <c r="O290" s="44" t="n"/>
    </row>
    <row r="291">
      <c r="A291" s="43" t="n"/>
      <c r="C291" s="44" t="n"/>
      <c r="D291" s="44" t="n"/>
      <c r="L291" s="45" t="n"/>
      <c r="O291" s="44" t="n"/>
    </row>
    <row r="292">
      <c r="A292" s="43" t="n"/>
      <c r="C292" s="44" t="n"/>
      <c r="D292" s="44" t="n"/>
      <c r="L292" s="45" t="n"/>
      <c r="O292" s="44" t="n"/>
    </row>
    <row r="293">
      <c r="A293" s="43" t="n"/>
      <c r="C293" s="44" t="n"/>
      <c r="D293" s="44" t="n"/>
      <c r="L293" s="45" t="n"/>
      <c r="O293" s="44" t="n"/>
    </row>
    <row r="294">
      <c r="A294" s="43" t="n"/>
      <c r="C294" s="44" t="n"/>
      <c r="D294" s="44" t="n"/>
      <c r="L294" s="45" t="n"/>
      <c r="O294" s="44" t="n"/>
    </row>
    <row r="295">
      <c r="A295" s="43" t="n"/>
      <c r="C295" s="44" t="n"/>
      <c r="D295" s="44" t="n"/>
      <c r="L295" s="45" t="n"/>
      <c r="O295" s="44" t="n"/>
    </row>
    <row r="296">
      <c r="A296" s="43" t="n"/>
      <c r="C296" s="44" t="n"/>
      <c r="D296" s="44" t="n"/>
      <c r="L296" s="45" t="n"/>
      <c r="O296" s="44" t="n"/>
    </row>
    <row r="297">
      <c r="A297" s="43" t="n"/>
      <c r="C297" s="44" t="n"/>
      <c r="D297" s="44" t="n"/>
      <c r="L297" s="45" t="n"/>
      <c r="O297" s="44" t="n"/>
    </row>
    <row r="298">
      <c r="A298" s="43" t="n"/>
      <c r="C298" s="44" t="n"/>
      <c r="D298" s="44" t="n"/>
      <c r="L298" s="45" t="n"/>
      <c r="O298" s="44" t="n"/>
    </row>
    <row r="299">
      <c r="A299" s="43" t="n"/>
      <c r="C299" s="44" t="n"/>
      <c r="D299" s="44" t="n"/>
      <c r="L299" s="45" t="n"/>
      <c r="O299" s="44" t="n"/>
    </row>
    <row r="300">
      <c r="A300" s="43" t="n"/>
      <c r="C300" s="44" t="n"/>
      <c r="D300" s="44" t="n"/>
      <c r="L300" s="45" t="n"/>
      <c r="O300" s="44" t="n"/>
    </row>
    <row r="301">
      <c r="A301" s="43" t="n"/>
      <c r="C301" s="44" t="n"/>
      <c r="D301" s="44" t="n"/>
      <c r="L301" s="45" t="n"/>
      <c r="O301" s="44" t="n"/>
    </row>
    <row r="302">
      <c r="A302" s="43" t="n"/>
      <c r="C302" s="44" t="n"/>
      <c r="D302" s="44" t="n"/>
      <c r="L302" s="45" t="n"/>
      <c r="O302" s="44" t="n"/>
    </row>
    <row r="303">
      <c r="A303" s="43" t="n"/>
      <c r="C303" s="44" t="n"/>
      <c r="D303" s="44" t="n"/>
      <c r="L303" s="45" t="n"/>
      <c r="O303" s="44" t="n"/>
    </row>
    <row r="304">
      <c r="A304" s="43" t="n"/>
      <c r="C304" s="44" t="n"/>
      <c r="D304" s="44" t="n"/>
      <c r="L304" s="45" t="n"/>
      <c r="O304" s="44" t="n"/>
    </row>
    <row r="305">
      <c r="A305" s="43" t="n"/>
      <c r="C305" s="44" t="n"/>
      <c r="D305" s="44" t="n"/>
      <c r="L305" s="45" t="n"/>
      <c r="O305" s="44" t="n"/>
    </row>
    <row r="306">
      <c r="A306" s="43" t="n"/>
      <c r="C306" s="44" t="n"/>
      <c r="D306" s="44" t="n"/>
      <c r="L306" s="45" t="n"/>
      <c r="O306" s="44" t="n"/>
    </row>
    <row r="307">
      <c r="A307" s="43" t="n"/>
      <c r="C307" s="44" t="n"/>
      <c r="D307" s="44" t="n"/>
      <c r="L307" s="45" t="n"/>
      <c r="O307" s="44" t="n"/>
    </row>
    <row r="308">
      <c r="A308" s="43" t="n"/>
      <c r="C308" s="44" t="n"/>
      <c r="D308" s="44" t="n"/>
      <c r="L308" s="45" t="n"/>
      <c r="O308" s="44" t="n"/>
    </row>
    <row r="309">
      <c r="A309" s="43" t="n"/>
      <c r="C309" s="44" t="n"/>
      <c r="D309" s="44" t="n"/>
      <c r="L309" s="45" t="n"/>
      <c r="O309" s="44" t="n"/>
    </row>
    <row r="310">
      <c r="A310" s="43" t="n"/>
      <c r="C310" s="44" t="n"/>
      <c r="D310" s="44" t="n"/>
      <c r="L310" s="45" t="n"/>
      <c r="O310" s="44" t="n"/>
    </row>
    <row r="311">
      <c r="A311" s="43" t="n"/>
      <c r="C311" s="44" t="n"/>
      <c r="D311" s="44" t="n"/>
      <c r="L311" s="45" t="n"/>
      <c r="O311" s="44" t="n"/>
    </row>
    <row r="312">
      <c r="A312" s="43" t="n"/>
      <c r="C312" s="44" t="n"/>
      <c r="D312" s="44" t="n"/>
      <c r="L312" s="45" t="n"/>
      <c r="O312" s="44" t="n"/>
    </row>
    <row r="313">
      <c r="A313" s="43" t="n"/>
      <c r="C313" s="44" t="n"/>
      <c r="D313" s="44" t="n"/>
      <c r="L313" s="45" t="n"/>
      <c r="O313" s="44" t="n"/>
    </row>
    <row r="314">
      <c r="A314" s="43" t="n"/>
      <c r="C314" s="44" t="n"/>
      <c r="D314" s="44" t="n"/>
      <c r="L314" s="45" t="n"/>
      <c r="O314" s="44" t="n"/>
    </row>
    <row r="315">
      <c r="A315" s="43" t="n"/>
      <c r="C315" s="44" t="n"/>
      <c r="D315" s="44" t="n"/>
      <c r="L315" s="45" t="n"/>
      <c r="O315" s="44" t="n"/>
    </row>
    <row r="316">
      <c r="A316" s="43" t="n"/>
      <c r="C316" s="44" t="n"/>
      <c r="D316" s="44" t="n"/>
      <c r="L316" s="45" t="n"/>
      <c r="O316" s="44" t="n"/>
    </row>
    <row r="317">
      <c r="A317" s="43" t="n"/>
      <c r="C317" s="44" t="n"/>
      <c r="D317" s="44" t="n"/>
      <c r="L317" s="45" t="n"/>
      <c r="O317" s="44" t="n"/>
    </row>
    <row r="318">
      <c r="A318" s="43" t="n"/>
      <c r="C318" s="44" t="n"/>
      <c r="D318" s="44" t="n"/>
      <c r="L318" s="45" t="n"/>
      <c r="O318" s="44" t="n"/>
    </row>
    <row r="319">
      <c r="A319" s="43" t="n"/>
      <c r="C319" s="44" t="n"/>
      <c r="D319" s="44" t="n"/>
      <c r="L319" s="45" t="n"/>
      <c r="O319" s="44" t="n"/>
    </row>
    <row r="320">
      <c r="A320" s="43" t="n"/>
      <c r="C320" s="44" t="n"/>
      <c r="D320" s="44" t="n"/>
      <c r="L320" s="45" t="n"/>
      <c r="O320" s="44" t="n"/>
    </row>
    <row r="321">
      <c r="A321" s="43" t="n"/>
      <c r="C321" s="44" t="n"/>
      <c r="D321" s="44" t="n"/>
      <c r="L321" s="45" t="n"/>
      <c r="O321" s="44" t="n"/>
    </row>
    <row r="322">
      <c r="A322" s="43" t="n"/>
      <c r="C322" s="44" t="n"/>
      <c r="D322" s="44" t="n"/>
      <c r="L322" s="45" t="n"/>
      <c r="O322" s="44" t="n"/>
    </row>
    <row r="323">
      <c r="A323" s="43" t="n"/>
      <c r="C323" s="44" t="n"/>
      <c r="D323" s="44" t="n"/>
      <c r="L323" s="45" t="n"/>
      <c r="O323" s="44" t="n"/>
    </row>
    <row r="324">
      <c r="A324" s="43" t="n"/>
      <c r="C324" s="44" t="n"/>
      <c r="D324" s="44" t="n"/>
      <c r="L324" s="45" t="n"/>
      <c r="O324" s="44" t="n"/>
    </row>
    <row r="325">
      <c r="A325" s="43" t="n"/>
      <c r="C325" s="44" t="n"/>
      <c r="D325" s="44" t="n"/>
      <c r="L325" s="45" t="n"/>
      <c r="O325" s="44" t="n"/>
    </row>
    <row r="326">
      <c r="A326" s="43" t="n"/>
      <c r="C326" s="44" t="n"/>
      <c r="D326" s="44" t="n"/>
      <c r="L326" s="45" t="n"/>
      <c r="O326" s="44" t="n"/>
    </row>
    <row r="327">
      <c r="A327" s="43" t="n"/>
      <c r="C327" s="44" t="n"/>
      <c r="D327" s="44" t="n"/>
      <c r="L327" s="45" t="n"/>
      <c r="O327" s="44" t="n"/>
    </row>
    <row r="328">
      <c r="A328" s="43" t="n"/>
      <c r="C328" s="44" t="n"/>
      <c r="D328" s="44" t="n"/>
      <c r="L328" s="45" t="n"/>
      <c r="O328" s="44" t="n"/>
    </row>
    <row r="329">
      <c r="A329" s="43" t="n"/>
      <c r="C329" s="44" t="n"/>
      <c r="D329" s="44" t="n"/>
      <c r="L329" s="45" t="n"/>
      <c r="O329" s="44" t="n"/>
    </row>
    <row r="330">
      <c r="A330" s="43" t="n"/>
      <c r="C330" s="44" t="n"/>
      <c r="D330" s="44" t="n"/>
      <c r="L330" s="45" t="n"/>
      <c r="O330" s="44" t="n"/>
    </row>
    <row r="331">
      <c r="A331" s="43" t="n"/>
      <c r="C331" s="44" t="n"/>
      <c r="D331" s="44" t="n"/>
      <c r="L331" s="45" t="n"/>
      <c r="O331" s="44" t="n"/>
    </row>
    <row r="332">
      <c r="A332" s="43" t="n"/>
      <c r="C332" s="44" t="n"/>
      <c r="D332" s="44" t="n"/>
      <c r="L332" s="45" t="n"/>
      <c r="O332" s="44" t="n"/>
    </row>
    <row r="333">
      <c r="A333" s="43" t="n"/>
      <c r="C333" s="44" t="n"/>
      <c r="D333" s="44" t="n"/>
      <c r="L333" s="45" t="n"/>
      <c r="O333" s="44" t="n"/>
    </row>
    <row r="334">
      <c r="A334" s="43" t="n"/>
      <c r="C334" s="44" t="n"/>
      <c r="D334" s="44" t="n"/>
      <c r="L334" s="45" t="n"/>
      <c r="O334" s="44" t="n"/>
    </row>
    <row r="335">
      <c r="A335" s="43" t="n"/>
      <c r="C335" s="44" t="n"/>
      <c r="D335" s="44" t="n"/>
      <c r="L335" s="45" t="n"/>
      <c r="O335" s="44" t="n"/>
    </row>
    <row r="336">
      <c r="A336" s="43" t="n"/>
      <c r="C336" s="44" t="n"/>
      <c r="D336" s="44" t="n"/>
      <c r="L336" s="45" t="n"/>
      <c r="O336" s="44" t="n"/>
    </row>
    <row r="337">
      <c r="A337" s="43" t="n"/>
      <c r="C337" s="44" t="n"/>
      <c r="D337" s="44" t="n"/>
      <c r="L337" s="45" t="n"/>
      <c r="O337" s="44" t="n"/>
    </row>
    <row r="338">
      <c r="A338" s="43" t="n"/>
      <c r="C338" s="44" t="n"/>
      <c r="D338" s="44" t="n"/>
      <c r="L338" s="45" t="n"/>
      <c r="O338" s="44" t="n"/>
    </row>
    <row r="339">
      <c r="A339" s="43" t="n"/>
      <c r="C339" s="44" t="n"/>
      <c r="D339" s="44" t="n"/>
      <c r="L339" s="45" t="n"/>
      <c r="O339" s="44" t="n"/>
    </row>
    <row r="340">
      <c r="A340" s="43" t="n"/>
      <c r="C340" s="44" t="n"/>
      <c r="D340" s="44" t="n"/>
      <c r="L340" s="45" t="n"/>
      <c r="O340" s="44" t="n"/>
    </row>
    <row r="341">
      <c r="A341" s="43" t="n"/>
      <c r="C341" s="44" t="n"/>
      <c r="D341" s="44" t="n"/>
      <c r="L341" s="45" t="n"/>
      <c r="O341" s="44" t="n"/>
    </row>
    <row r="342">
      <c r="A342" s="43" t="n"/>
      <c r="C342" s="44" t="n"/>
      <c r="D342" s="44" t="n"/>
      <c r="L342" s="45" t="n"/>
      <c r="O342" s="44" t="n"/>
    </row>
    <row r="343">
      <c r="A343" s="43" t="n"/>
      <c r="C343" s="44" t="n"/>
      <c r="D343" s="44" t="n"/>
      <c r="L343" s="45" t="n"/>
      <c r="O343" s="44" t="n"/>
    </row>
    <row r="344">
      <c r="A344" s="43" t="n"/>
      <c r="C344" s="44" t="n"/>
      <c r="D344" s="44" t="n"/>
      <c r="L344" s="45" t="n"/>
      <c r="O344" s="44" t="n"/>
    </row>
    <row r="345">
      <c r="A345" s="43" t="n"/>
      <c r="C345" s="44" t="n"/>
      <c r="D345" s="44" t="n"/>
      <c r="L345" s="45" t="n"/>
      <c r="O345" s="44" t="n"/>
    </row>
    <row r="346">
      <c r="A346" s="43" t="n"/>
      <c r="C346" s="44" t="n"/>
      <c r="D346" s="44" t="n"/>
      <c r="L346" s="45" t="n"/>
      <c r="O346" s="44" t="n"/>
    </row>
    <row r="347">
      <c r="A347" s="43" t="n"/>
      <c r="C347" s="44" t="n"/>
      <c r="D347" s="44" t="n"/>
      <c r="L347" s="45" t="n"/>
      <c r="O347" s="44" t="n"/>
    </row>
    <row r="348">
      <c r="A348" s="43" t="n"/>
      <c r="C348" s="44" t="n"/>
      <c r="D348" s="44" t="n"/>
      <c r="L348" s="45" t="n"/>
      <c r="O348" s="44" t="n"/>
    </row>
    <row r="349">
      <c r="A349" s="43" t="n"/>
      <c r="C349" s="44" t="n"/>
      <c r="D349" s="44" t="n"/>
      <c r="L349" s="45" t="n"/>
      <c r="O349" s="44" t="n"/>
    </row>
    <row r="350">
      <c r="A350" s="43" t="n"/>
      <c r="C350" s="44" t="n"/>
      <c r="D350" s="44" t="n"/>
      <c r="L350" s="45" t="n"/>
      <c r="O350" s="44" t="n"/>
    </row>
    <row r="351">
      <c r="A351" s="43" t="n"/>
      <c r="C351" s="44" t="n"/>
      <c r="D351" s="44" t="n"/>
      <c r="L351" s="45" t="n"/>
      <c r="O351" s="44" t="n"/>
    </row>
    <row r="352">
      <c r="A352" s="43" t="n"/>
      <c r="C352" s="44" t="n"/>
      <c r="D352" s="44" t="n"/>
      <c r="L352" s="45" t="n"/>
      <c r="O352" s="44" t="n"/>
    </row>
    <row r="353">
      <c r="A353" s="43" t="n"/>
      <c r="C353" s="44" t="n"/>
      <c r="D353" s="44" t="n"/>
      <c r="L353" s="45" t="n"/>
      <c r="O353" s="44" t="n"/>
    </row>
    <row r="354">
      <c r="A354" s="43" t="n"/>
      <c r="C354" s="44" t="n"/>
      <c r="D354" s="44" t="n"/>
      <c r="L354" s="45" t="n"/>
      <c r="O354" s="44" t="n"/>
    </row>
    <row r="355">
      <c r="A355" s="43" t="n"/>
      <c r="C355" s="44" t="n"/>
      <c r="D355" s="44" t="n"/>
      <c r="L355" s="45" t="n"/>
      <c r="O355" s="44" t="n"/>
    </row>
    <row r="356">
      <c r="A356" s="43" t="n"/>
      <c r="C356" s="44" t="n"/>
      <c r="D356" s="44" t="n"/>
      <c r="L356" s="45" t="n"/>
      <c r="O356" s="44" t="n"/>
    </row>
    <row r="357">
      <c r="A357" s="43" t="n"/>
      <c r="C357" s="44" t="n"/>
      <c r="D357" s="44" t="n"/>
      <c r="L357" s="45" t="n"/>
      <c r="O357" s="44" t="n"/>
    </row>
    <row r="358">
      <c r="A358" s="43" t="n"/>
      <c r="C358" s="44" t="n"/>
      <c r="D358" s="44" t="n"/>
      <c r="L358" s="45" t="n"/>
      <c r="O358" s="44" t="n"/>
    </row>
    <row r="359">
      <c r="A359" s="43" t="n"/>
      <c r="C359" s="44" t="n"/>
      <c r="D359" s="44" t="n"/>
      <c r="L359" s="45" t="n"/>
      <c r="O359" s="44" t="n"/>
    </row>
    <row r="360">
      <c r="A360" s="43" t="n"/>
      <c r="C360" s="44" t="n"/>
      <c r="D360" s="44" t="n"/>
      <c r="L360" s="45" t="n"/>
      <c r="O360" s="44" t="n"/>
    </row>
    <row r="361">
      <c r="A361" s="43" t="n"/>
      <c r="C361" s="44" t="n"/>
      <c r="D361" s="44" t="n"/>
      <c r="L361" s="45" t="n"/>
      <c r="O361" s="44" t="n"/>
    </row>
    <row r="362">
      <c r="A362" s="43" t="n"/>
      <c r="C362" s="44" t="n"/>
      <c r="D362" s="44" t="n"/>
      <c r="L362" s="45" t="n"/>
      <c r="O362" s="44" t="n"/>
    </row>
    <row r="363">
      <c r="A363" s="43" t="n"/>
      <c r="C363" s="44" t="n"/>
      <c r="D363" s="44" t="n"/>
      <c r="L363" s="45" t="n"/>
      <c r="O363" s="44" t="n"/>
    </row>
    <row r="364">
      <c r="A364" s="43" t="n"/>
      <c r="C364" s="44" t="n"/>
      <c r="D364" s="44" t="n"/>
      <c r="L364" s="45" t="n"/>
      <c r="O364" s="44" t="n"/>
    </row>
    <row r="365">
      <c r="A365" s="43" t="n"/>
      <c r="C365" s="44" t="n"/>
      <c r="D365" s="44" t="n"/>
      <c r="L365" s="45" t="n"/>
      <c r="O365" s="44" t="n"/>
    </row>
    <row r="366">
      <c r="A366" s="43" t="n"/>
      <c r="C366" s="44" t="n"/>
      <c r="D366" s="44" t="n"/>
      <c r="L366" s="45" t="n"/>
      <c r="O366" s="44" t="n"/>
    </row>
    <row r="367">
      <c r="A367" s="43" t="n"/>
      <c r="C367" s="44" t="n"/>
      <c r="D367" s="44" t="n"/>
      <c r="L367" s="45" t="n"/>
      <c r="O367" s="44" t="n"/>
    </row>
    <row r="368">
      <c r="A368" s="43" t="n"/>
      <c r="C368" s="44" t="n"/>
      <c r="D368" s="44" t="n"/>
      <c r="L368" s="45" t="n"/>
      <c r="O368" s="44" t="n"/>
    </row>
    <row r="369">
      <c r="A369" s="43" t="n"/>
      <c r="C369" s="44" t="n"/>
      <c r="D369" s="44" t="n"/>
      <c r="L369" s="45" t="n"/>
      <c r="O369" s="44" t="n"/>
    </row>
    <row r="370">
      <c r="A370" s="43" t="n"/>
      <c r="C370" s="44" t="n"/>
      <c r="D370" s="44" t="n"/>
      <c r="L370" s="45" t="n"/>
      <c r="O370" s="44" t="n"/>
    </row>
    <row r="371">
      <c r="A371" s="43" t="n"/>
      <c r="C371" s="44" t="n"/>
      <c r="D371" s="44" t="n"/>
      <c r="L371" s="45" t="n"/>
      <c r="O371" s="44" t="n"/>
    </row>
    <row r="372">
      <c r="A372" s="43" t="n"/>
      <c r="C372" s="44" t="n"/>
      <c r="D372" s="44" t="n"/>
      <c r="L372" s="45" t="n"/>
      <c r="O372" s="44" t="n"/>
    </row>
    <row r="373">
      <c r="A373" s="43" t="n"/>
      <c r="C373" s="44" t="n"/>
      <c r="D373" s="44" t="n"/>
      <c r="L373" s="45" t="n"/>
      <c r="O373" s="44" t="n"/>
    </row>
    <row r="374">
      <c r="A374" s="43" t="n"/>
      <c r="C374" s="44" t="n"/>
      <c r="D374" s="44" t="n"/>
      <c r="L374" s="45" t="n"/>
      <c r="O374" s="44" t="n"/>
    </row>
    <row r="375">
      <c r="A375" s="43" t="n"/>
      <c r="C375" s="44" t="n"/>
      <c r="D375" s="44" t="n"/>
      <c r="L375" s="45" t="n"/>
      <c r="O375" s="44" t="n"/>
    </row>
    <row r="376">
      <c r="A376" s="43" t="n"/>
      <c r="C376" s="44" t="n"/>
      <c r="D376" s="44" t="n"/>
      <c r="L376" s="45" t="n"/>
      <c r="O376" s="44" t="n"/>
    </row>
    <row r="377">
      <c r="A377" s="43" t="n"/>
      <c r="C377" s="44" t="n"/>
      <c r="D377" s="44" t="n"/>
      <c r="L377" s="45" t="n"/>
      <c r="O377" s="44" t="n"/>
    </row>
    <row r="378">
      <c r="A378" s="43" t="n"/>
      <c r="C378" s="44" t="n"/>
      <c r="D378" s="44" t="n"/>
      <c r="L378" s="45" t="n"/>
      <c r="O378" s="44" t="n"/>
    </row>
    <row r="379">
      <c r="A379" s="43" t="n"/>
      <c r="C379" s="44" t="n"/>
      <c r="D379" s="44" t="n"/>
      <c r="L379" s="45" t="n"/>
      <c r="O379" s="44" t="n"/>
    </row>
    <row r="380">
      <c r="A380" s="43" t="n"/>
      <c r="C380" s="44" t="n"/>
      <c r="D380" s="44" t="n"/>
      <c r="L380" s="45" t="n"/>
      <c r="O380" s="44" t="n"/>
    </row>
    <row r="381">
      <c r="A381" s="43" t="n"/>
      <c r="C381" s="44" t="n"/>
      <c r="D381" s="44" t="n"/>
      <c r="L381" s="45" t="n"/>
      <c r="O381" s="44" t="n"/>
    </row>
    <row r="382">
      <c r="A382" s="43" t="n"/>
      <c r="C382" s="44" t="n"/>
      <c r="D382" s="44" t="n"/>
      <c r="L382" s="45" t="n"/>
      <c r="O382" s="44" t="n"/>
    </row>
    <row r="383">
      <c r="A383" s="43" t="n"/>
      <c r="C383" s="44" t="n"/>
      <c r="D383" s="44" t="n"/>
      <c r="L383" s="45" t="n"/>
      <c r="O383" s="44" t="n"/>
    </row>
    <row r="384">
      <c r="A384" s="43" t="n"/>
      <c r="C384" s="44" t="n"/>
      <c r="D384" s="44" t="n"/>
      <c r="L384" s="45" t="n"/>
      <c r="O384" s="44" t="n"/>
    </row>
    <row r="385">
      <c r="A385" s="43" t="n"/>
      <c r="C385" s="44" t="n"/>
      <c r="D385" s="44" t="n"/>
      <c r="L385" s="45" t="n"/>
      <c r="O385" s="44" t="n"/>
    </row>
    <row r="386">
      <c r="A386" s="43" t="n"/>
      <c r="C386" s="44" t="n"/>
      <c r="D386" s="44" t="n"/>
      <c r="L386" s="45" t="n"/>
      <c r="O386" s="44" t="n"/>
    </row>
    <row r="387">
      <c r="A387" s="43" t="n"/>
      <c r="C387" s="44" t="n"/>
      <c r="D387" s="44" t="n"/>
      <c r="L387" s="45" t="n"/>
      <c r="O387" s="44" t="n"/>
    </row>
    <row r="388">
      <c r="A388" s="43" t="n"/>
      <c r="C388" s="44" t="n"/>
      <c r="D388" s="44" t="n"/>
      <c r="L388" s="45" t="n"/>
      <c r="O388" s="44" t="n"/>
    </row>
    <row r="389">
      <c r="A389" s="43" t="n"/>
      <c r="C389" s="44" t="n"/>
      <c r="D389" s="44" t="n"/>
      <c r="L389" s="45" t="n"/>
      <c r="O389" s="44" t="n"/>
    </row>
    <row r="390">
      <c r="A390" s="43" t="n"/>
      <c r="C390" s="44" t="n"/>
      <c r="D390" s="44" t="n"/>
      <c r="L390" s="45" t="n"/>
      <c r="O390" s="44" t="n"/>
    </row>
    <row r="391">
      <c r="A391" s="43" t="n"/>
      <c r="C391" s="44" t="n"/>
      <c r="D391" s="44" t="n"/>
      <c r="L391" s="45" t="n"/>
      <c r="O391" s="44" t="n"/>
    </row>
    <row r="392">
      <c r="A392" s="43" t="n"/>
      <c r="C392" s="44" t="n"/>
      <c r="D392" s="44" t="n"/>
      <c r="L392" s="45" t="n"/>
      <c r="O392" s="44" t="n"/>
    </row>
    <row r="393">
      <c r="A393" s="43" t="n"/>
      <c r="C393" s="44" t="n"/>
      <c r="D393" s="44" t="n"/>
      <c r="L393" s="45" t="n"/>
      <c r="O393" s="44" t="n"/>
    </row>
    <row r="394">
      <c r="A394" s="43" t="n"/>
      <c r="C394" s="44" t="n"/>
      <c r="D394" s="44" t="n"/>
      <c r="L394" s="45" t="n"/>
      <c r="O394" s="44" t="n"/>
    </row>
    <row r="395">
      <c r="A395" s="43" t="n"/>
      <c r="C395" s="44" t="n"/>
      <c r="D395" s="44" t="n"/>
      <c r="L395" s="45" t="n"/>
      <c r="O395" s="44" t="n"/>
    </row>
    <row r="396">
      <c r="A396" s="43" t="n"/>
      <c r="C396" s="44" t="n"/>
      <c r="D396" s="44" t="n"/>
      <c r="L396" s="45" t="n"/>
      <c r="O396" s="44" t="n"/>
    </row>
    <row r="397">
      <c r="A397" s="43" t="n"/>
      <c r="C397" s="44" t="n"/>
      <c r="D397" s="44" t="n"/>
      <c r="L397" s="45" t="n"/>
      <c r="O397" s="44" t="n"/>
    </row>
    <row r="398">
      <c r="A398" s="43" t="n"/>
      <c r="C398" s="44" t="n"/>
      <c r="D398" s="44" t="n"/>
      <c r="L398" s="45" t="n"/>
      <c r="O398" s="44" t="n"/>
    </row>
    <row r="399">
      <c r="A399" s="43" t="n"/>
      <c r="C399" s="44" t="n"/>
      <c r="D399" s="44" t="n"/>
      <c r="L399" s="45" t="n"/>
      <c r="O399" s="44" t="n"/>
    </row>
    <row r="400">
      <c r="A400" s="43" t="n"/>
      <c r="C400" s="44" t="n"/>
      <c r="D400" s="44" t="n"/>
      <c r="L400" s="45" t="n"/>
      <c r="O400" s="44" t="n"/>
    </row>
    <row r="401">
      <c r="A401" s="43" t="n"/>
      <c r="C401" s="44" t="n"/>
      <c r="D401" s="44" t="n"/>
      <c r="L401" s="45" t="n"/>
      <c r="O401" s="44" t="n"/>
    </row>
    <row r="402">
      <c r="A402" s="43" t="n"/>
      <c r="C402" s="44" t="n"/>
      <c r="D402" s="44" t="n"/>
      <c r="L402" s="45" t="n"/>
      <c r="O402" s="44" t="n"/>
    </row>
    <row r="403">
      <c r="A403" s="43" t="n"/>
      <c r="C403" s="44" t="n"/>
      <c r="D403" s="44" t="n"/>
      <c r="L403" s="45" t="n"/>
      <c r="O403" s="44" t="n"/>
    </row>
    <row r="404">
      <c r="A404" s="43" t="n"/>
      <c r="C404" s="44" t="n"/>
      <c r="D404" s="44" t="n"/>
      <c r="L404" s="45" t="n"/>
      <c r="O404" s="44" t="n"/>
    </row>
    <row r="405">
      <c r="A405" s="43" t="n"/>
      <c r="C405" s="44" t="n"/>
      <c r="D405" s="44" t="n"/>
      <c r="L405" s="45" t="n"/>
      <c r="O405" s="44" t="n"/>
    </row>
    <row r="406">
      <c r="A406" s="43" t="n"/>
      <c r="C406" s="44" t="n"/>
      <c r="D406" s="44" t="n"/>
      <c r="L406" s="45" t="n"/>
      <c r="O406" s="44" t="n"/>
    </row>
    <row r="407">
      <c r="A407" s="43" t="n"/>
      <c r="C407" s="44" t="n"/>
      <c r="D407" s="44" t="n"/>
      <c r="L407" s="45" t="n"/>
      <c r="O407" s="44" t="n"/>
    </row>
    <row r="408">
      <c r="A408" s="43" t="n"/>
      <c r="C408" s="44" t="n"/>
      <c r="D408" s="44" t="n"/>
      <c r="L408" s="45" t="n"/>
      <c r="O408" s="44" t="n"/>
    </row>
    <row r="409">
      <c r="A409" s="43" t="n"/>
      <c r="C409" s="44" t="n"/>
      <c r="D409" s="44" t="n"/>
      <c r="L409" s="45" t="n"/>
      <c r="O409" s="44" t="n"/>
    </row>
    <row r="410">
      <c r="A410" s="43" t="n"/>
      <c r="C410" s="44" t="n"/>
      <c r="D410" s="44" t="n"/>
      <c r="L410" s="45" t="n"/>
      <c r="O410" s="44" t="n"/>
    </row>
    <row r="411">
      <c r="A411" s="43" t="n"/>
      <c r="C411" s="44" t="n"/>
      <c r="D411" s="44" t="n"/>
      <c r="L411" s="45" t="n"/>
      <c r="O411" s="44" t="n"/>
    </row>
    <row r="412">
      <c r="A412" s="43" t="n"/>
      <c r="C412" s="44" t="n"/>
      <c r="D412" s="44" t="n"/>
      <c r="L412" s="45" t="n"/>
      <c r="O412" s="44" t="n"/>
    </row>
    <row r="413">
      <c r="A413" s="43" t="n"/>
      <c r="C413" s="44" t="n"/>
      <c r="D413" s="44" t="n"/>
      <c r="L413" s="45" t="n"/>
      <c r="O413" s="44" t="n"/>
    </row>
    <row r="414">
      <c r="A414" s="43" t="n"/>
      <c r="C414" s="44" t="n"/>
      <c r="D414" s="44" t="n"/>
      <c r="L414" s="45" t="n"/>
      <c r="O414" s="44" t="n"/>
    </row>
    <row r="415">
      <c r="A415" s="43" t="n"/>
      <c r="C415" s="44" t="n"/>
      <c r="D415" s="44" t="n"/>
      <c r="L415" s="45" t="n"/>
      <c r="O415" s="44" t="n"/>
    </row>
    <row r="416">
      <c r="A416" s="43" t="n"/>
      <c r="C416" s="44" t="n"/>
      <c r="D416" s="44" t="n"/>
      <c r="L416" s="45" t="n"/>
      <c r="O416" s="44" t="n"/>
    </row>
    <row r="417">
      <c r="A417" s="43" t="n"/>
      <c r="C417" s="44" t="n"/>
      <c r="D417" s="44" t="n"/>
      <c r="L417" s="45" t="n"/>
      <c r="O417" s="44" t="n"/>
    </row>
    <row r="418">
      <c r="A418" s="43" t="n"/>
      <c r="C418" s="44" t="n"/>
      <c r="D418" s="44" t="n"/>
      <c r="L418" s="45" t="n"/>
      <c r="O418" s="44" t="n"/>
    </row>
    <row r="419">
      <c r="A419" s="43" t="n"/>
      <c r="C419" s="44" t="n"/>
      <c r="D419" s="44" t="n"/>
      <c r="L419" s="45" t="n"/>
      <c r="O419" s="44" t="n"/>
    </row>
    <row r="420">
      <c r="A420" s="43" t="n"/>
      <c r="C420" s="44" t="n"/>
      <c r="D420" s="44" t="n"/>
      <c r="L420" s="45" t="n"/>
      <c r="O420" s="44" t="n"/>
    </row>
    <row r="421">
      <c r="A421" s="43" t="n"/>
      <c r="C421" s="44" t="n"/>
      <c r="D421" s="44" t="n"/>
      <c r="L421" s="45" t="n"/>
      <c r="O421" s="44" t="n"/>
    </row>
    <row r="422">
      <c r="A422" s="43" t="n"/>
      <c r="C422" s="44" t="n"/>
      <c r="D422" s="44" t="n"/>
      <c r="L422" s="45" t="n"/>
      <c r="O422" s="44" t="n"/>
    </row>
    <row r="423">
      <c r="A423" s="43" t="n"/>
      <c r="C423" s="44" t="n"/>
      <c r="D423" s="44" t="n"/>
      <c r="L423" s="45" t="n"/>
      <c r="O423" s="44" t="n"/>
    </row>
    <row r="424">
      <c r="A424" s="43" t="n"/>
      <c r="C424" s="44" t="n"/>
      <c r="D424" s="44" t="n"/>
      <c r="L424" s="45" t="n"/>
      <c r="O424" s="44" t="n"/>
    </row>
    <row r="425">
      <c r="A425" s="43" t="n"/>
      <c r="C425" s="44" t="n"/>
      <c r="D425" s="44" t="n"/>
      <c r="L425" s="45" t="n"/>
      <c r="O425" s="44" t="n"/>
    </row>
    <row r="426">
      <c r="A426" s="43" t="n"/>
      <c r="C426" s="44" t="n"/>
      <c r="D426" s="44" t="n"/>
      <c r="L426" s="45" t="n"/>
      <c r="O426" s="44" t="n"/>
    </row>
    <row r="427">
      <c r="A427" s="43" t="n"/>
      <c r="C427" s="44" t="n"/>
      <c r="D427" s="44" t="n"/>
      <c r="L427" s="45" t="n"/>
      <c r="O427" s="44" t="n"/>
    </row>
    <row r="428">
      <c r="A428" s="43" t="n"/>
      <c r="C428" s="44" t="n"/>
      <c r="D428" s="44" t="n"/>
      <c r="L428" s="45" t="n"/>
      <c r="O428" s="44" t="n"/>
    </row>
    <row r="429">
      <c r="A429" s="43" t="n"/>
      <c r="C429" s="44" t="n"/>
      <c r="D429" s="44" t="n"/>
      <c r="L429" s="45" t="n"/>
      <c r="O429" s="44" t="n"/>
    </row>
    <row r="430">
      <c r="A430" s="43" t="n"/>
      <c r="C430" s="44" t="n"/>
      <c r="D430" s="44" t="n"/>
      <c r="L430" s="45" t="n"/>
      <c r="O430" s="44" t="n"/>
    </row>
    <row r="431">
      <c r="A431" s="43" t="n"/>
      <c r="C431" s="44" t="n"/>
      <c r="D431" s="44" t="n"/>
      <c r="L431" s="45" t="n"/>
      <c r="O431" s="44" t="n"/>
    </row>
    <row r="432">
      <c r="A432" s="43" t="n"/>
      <c r="C432" s="44" t="n"/>
      <c r="D432" s="44" t="n"/>
      <c r="L432" s="45" t="n"/>
      <c r="O432" s="44" t="n"/>
    </row>
    <row r="433">
      <c r="A433" s="43" t="n"/>
      <c r="C433" s="44" t="n"/>
      <c r="D433" s="44" t="n"/>
      <c r="L433" s="45" t="n"/>
      <c r="O433" s="44" t="n"/>
    </row>
    <row r="434">
      <c r="A434" s="43" t="n"/>
      <c r="C434" s="44" t="n"/>
      <c r="D434" s="44" t="n"/>
      <c r="L434" s="45" t="n"/>
      <c r="O434" s="44" t="n"/>
    </row>
    <row r="435">
      <c r="A435" s="43" t="n"/>
      <c r="C435" s="44" t="n"/>
      <c r="D435" s="44" t="n"/>
      <c r="L435" s="45" t="n"/>
      <c r="O435" s="44" t="n"/>
    </row>
    <row r="436">
      <c r="A436" s="43" t="n"/>
      <c r="C436" s="44" t="n"/>
      <c r="D436" s="44" t="n"/>
      <c r="L436" s="45" t="n"/>
      <c r="O436" s="44" t="n"/>
    </row>
    <row r="437">
      <c r="A437" s="43" t="n"/>
      <c r="C437" s="44" t="n"/>
      <c r="D437" s="44" t="n"/>
      <c r="L437" s="45" t="n"/>
      <c r="O437" s="44" t="n"/>
    </row>
    <row r="438">
      <c r="A438" s="43" t="n"/>
      <c r="C438" s="44" t="n"/>
      <c r="D438" s="44" t="n"/>
      <c r="L438" s="45" t="n"/>
      <c r="O438" s="44" t="n"/>
    </row>
    <row r="439">
      <c r="A439" s="43" t="n"/>
      <c r="C439" s="44" t="n"/>
      <c r="D439" s="44" t="n"/>
      <c r="L439" s="45" t="n"/>
      <c r="O439" s="44" t="n"/>
    </row>
    <row r="440">
      <c r="A440" s="43" t="n"/>
      <c r="C440" s="44" t="n"/>
      <c r="D440" s="44" t="n"/>
      <c r="L440" s="45" t="n"/>
      <c r="O440" s="44" t="n"/>
    </row>
    <row r="441">
      <c r="A441" s="43" t="n"/>
      <c r="C441" s="44" t="n"/>
      <c r="D441" s="44" t="n"/>
      <c r="L441" s="45" t="n"/>
      <c r="O441" s="44" t="n"/>
    </row>
    <row r="442">
      <c r="A442" s="43" t="n"/>
      <c r="C442" s="44" t="n"/>
      <c r="D442" s="44" t="n"/>
      <c r="L442" s="45" t="n"/>
      <c r="O442" s="44" t="n"/>
    </row>
    <row r="443">
      <c r="A443" s="43" t="n"/>
      <c r="C443" s="44" t="n"/>
      <c r="D443" s="44" t="n"/>
      <c r="L443" s="45" t="n"/>
      <c r="O443" s="44" t="n"/>
    </row>
    <row r="444">
      <c r="A444" s="43" t="n"/>
      <c r="C444" s="44" t="n"/>
      <c r="D444" s="44" t="n"/>
      <c r="L444" s="45" t="n"/>
      <c r="O444" s="44" t="n"/>
    </row>
    <row r="445">
      <c r="A445" s="43" t="n"/>
      <c r="C445" s="44" t="n"/>
      <c r="D445" s="44" t="n"/>
      <c r="L445" s="45" t="n"/>
      <c r="O445" s="44" t="n"/>
    </row>
    <row r="446">
      <c r="A446" s="43" t="n"/>
      <c r="C446" s="44" t="n"/>
      <c r="D446" s="44" t="n"/>
      <c r="L446" s="45" t="n"/>
      <c r="O446" s="44" t="n"/>
    </row>
    <row r="447">
      <c r="A447" s="43" t="n"/>
      <c r="C447" s="44" t="n"/>
      <c r="D447" s="44" t="n"/>
      <c r="L447" s="45" t="n"/>
      <c r="O447" s="44" t="n"/>
    </row>
    <row r="448">
      <c r="A448" s="43" t="n"/>
      <c r="C448" s="44" t="n"/>
      <c r="D448" s="44" t="n"/>
      <c r="L448" s="45" t="n"/>
      <c r="O448" s="44" t="n"/>
    </row>
    <row r="449">
      <c r="A449" s="43" t="n"/>
      <c r="C449" s="44" t="n"/>
      <c r="D449" s="44" t="n"/>
      <c r="L449" s="45" t="n"/>
      <c r="O449" s="44" t="n"/>
    </row>
    <row r="450">
      <c r="A450" s="43" t="n"/>
      <c r="C450" s="44" t="n"/>
      <c r="D450" s="44" t="n"/>
      <c r="L450" s="45" t="n"/>
      <c r="O450" s="44" t="n"/>
    </row>
    <row r="451">
      <c r="A451" s="43" t="n"/>
      <c r="C451" s="44" t="n"/>
      <c r="D451" s="44" t="n"/>
      <c r="L451" s="45" t="n"/>
      <c r="O451" s="44" t="n"/>
    </row>
    <row r="452">
      <c r="A452" s="43" t="n"/>
      <c r="C452" s="44" t="n"/>
      <c r="D452" s="44" t="n"/>
      <c r="L452" s="45" t="n"/>
      <c r="O452" s="44" t="n"/>
    </row>
    <row r="453">
      <c r="A453" s="43" t="n"/>
      <c r="C453" s="44" t="n"/>
      <c r="D453" s="44" t="n"/>
      <c r="L453" s="45" t="n"/>
      <c r="O453" s="44" t="n"/>
    </row>
    <row r="454">
      <c r="A454" s="43" t="n"/>
      <c r="C454" s="44" t="n"/>
      <c r="D454" s="44" t="n"/>
      <c r="L454" s="45" t="n"/>
      <c r="O454" s="44" t="n"/>
    </row>
    <row r="455">
      <c r="A455" s="43" t="n"/>
      <c r="C455" s="44" t="n"/>
      <c r="D455" s="44" t="n"/>
      <c r="L455" s="45" t="n"/>
      <c r="O455" s="44" t="n"/>
    </row>
    <row r="456">
      <c r="A456" s="43" t="n"/>
      <c r="C456" s="44" t="n"/>
      <c r="D456" s="44" t="n"/>
      <c r="L456" s="45" t="n"/>
      <c r="O456" s="44" t="n"/>
    </row>
    <row r="457">
      <c r="A457" s="43" t="n"/>
      <c r="C457" s="44" t="n"/>
      <c r="D457" s="44" t="n"/>
      <c r="L457" s="45" t="n"/>
      <c r="O457" s="44" t="n"/>
    </row>
    <row r="458">
      <c r="A458" s="43" t="n"/>
      <c r="C458" s="44" t="n"/>
      <c r="D458" s="44" t="n"/>
      <c r="L458" s="45" t="n"/>
      <c r="O458" s="44" t="n"/>
    </row>
    <row r="459">
      <c r="A459" s="43" t="n"/>
      <c r="C459" s="44" t="n"/>
      <c r="D459" s="44" t="n"/>
      <c r="L459" s="45" t="n"/>
      <c r="O459" s="44" t="n"/>
    </row>
    <row r="460">
      <c r="A460" s="43" t="n"/>
      <c r="C460" s="44" t="n"/>
      <c r="D460" s="44" t="n"/>
      <c r="L460" s="45" t="n"/>
      <c r="O460" s="44" t="n"/>
    </row>
    <row r="461">
      <c r="A461" s="43" t="n"/>
      <c r="C461" s="44" t="n"/>
      <c r="D461" s="44" t="n"/>
      <c r="L461" s="45" t="n"/>
      <c r="O461" s="44" t="n"/>
    </row>
    <row r="462">
      <c r="A462" s="43" t="n"/>
      <c r="C462" s="44" t="n"/>
      <c r="D462" s="44" t="n"/>
      <c r="L462" s="45" t="n"/>
      <c r="O462" s="44" t="n"/>
    </row>
    <row r="463">
      <c r="A463" s="43" t="n"/>
      <c r="C463" s="44" t="n"/>
      <c r="D463" s="44" t="n"/>
      <c r="L463" s="45" t="n"/>
      <c r="O463" s="44" t="n"/>
    </row>
    <row r="464">
      <c r="A464" s="43" t="n"/>
      <c r="C464" s="44" t="n"/>
      <c r="D464" s="44" t="n"/>
      <c r="L464" s="45" t="n"/>
      <c r="O464" s="44" t="n"/>
    </row>
    <row r="465">
      <c r="A465" s="43" t="n"/>
      <c r="C465" s="44" t="n"/>
      <c r="D465" s="44" t="n"/>
      <c r="L465" s="45" t="n"/>
      <c r="O465" s="44" t="n"/>
    </row>
    <row r="466">
      <c r="A466" s="43" t="n"/>
      <c r="C466" s="44" t="n"/>
      <c r="D466" s="44" t="n"/>
      <c r="L466" s="45" t="n"/>
      <c r="O466" s="44" t="n"/>
    </row>
    <row r="467">
      <c r="A467" s="43" t="n"/>
      <c r="C467" s="44" t="n"/>
      <c r="D467" s="44" t="n"/>
      <c r="L467" s="45" t="n"/>
      <c r="O467" s="44" t="n"/>
    </row>
    <row r="468">
      <c r="A468" s="43" t="n"/>
      <c r="C468" s="44" t="n"/>
      <c r="D468" s="44" t="n"/>
      <c r="L468" s="45" t="n"/>
      <c r="O468" s="44" t="n"/>
    </row>
    <row r="469">
      <c r="A469" s="43" t="n"/>
      <c r="C469" s="44" t="n"/>
      <c r="D469" s="44" t="n"/>
      <c r="L469" s="45" t="n"/>
      <c r="O469" s="44" t="n"/>
    </row>
    <row r="470">
      <c r="A470" s="43" t="n"/>
      <c r="C470" s="44" t="n"/>
      <c r="D470" s="44" t="n"/>
      <c r="L470" s="45" t="n"/>
      <c r="O470" s="44" t="n"/>
    </row>
    <row r="471">
      <c r="A471" s="43" t="n"/>
      <c r="C471" s="44" t="n"/>
      <c r="D471" s="44" t="n"/>
      <c r="L471" s="45" t="n"/>
      <c r="O471" s="44" t="n"/>
    </row>
    <row r="472">
      <c r="A472" s="43" t="n"/>
      <c r="C472" s="44" t="n"/>
      <c r="D472" s="44" t="n"/>
      <c r="L472" s="45" t="n"/>
      <c r="O472" s="44" t="n"/>
    </row>
    <row r="473">
      <c r="A473" s="43" t="n"/>
      <c r="C473" s="44" t="n"/>
      <c r="D473" s="44" t="n"/>
      <c r="L473" s="45" t="n"/>
      <c r="O473" s="44" t="n"/>
    </row>
    <row r="474">
      <c r="A474" s="43" t="n"/>
      <c r="C474" s="44" t="n"/>
      <c r="D474" s="44" t="n"/>
      <c r="L474" s="45" t="n"/>
      <c r="O474" s="44" t="n"/>
    </row>
    <row r="475">
      <c r="A475" s="43" t="n"/>
      <c r="C475" s="44" t="n"/>
      <c r="D475" s="44" t="n"/>
      <c r="L475" s="45" t="n"/>
      <c r="O475" s="44" t="n"/>
    </row>
    <row r="476">
      <c r="A476" s="43" t="n"/>
      <c r="C476" s="44" t="n"/>
      <c r="D476" s="44" t="n"/>
      <c r="L476" s="45" t="n"/>
      <c r="O476" s="44" t="n"/>
    </row>
    <row r="477">
      <c r="A477" s="43" t="n"/>
      <c r="C477" s="44" t="n"/>
      <c r="D477" s="44" t="n"/>
      <c r="L477" s="45" t="n"/>
      <c r="O477" s="44" t="n"/>
    </row>
    <row r="478">
      <c r="A478" s="43" t="n"/>
      <c r="C478" s="44" t="n"/>
      <c r="D478" s="44" t="n"/>
      <c r="L478" s="45" t="n"/>
      <c r="O478" s="44" t="n"/>
    </row>
    <row r="479">
      <c r="A479" s="43" t="n"/>
      <c r="C479" s="44" t="n"/>
      <c r="D479" s="44" t="n"/>
      <c r="L479" s="45" t="n"/>
      <c r="O479" s="44" t="n"/>
    </row>
    <row r="480">
      <c r="A480" s="43" t="n"/>
      <c r="C480" s="44" t="n"/>
      <c r="D480" s="44" t="n"/>
      <c r="L480" s="45" t="n"/>
      <c r="O480" s="44" t="n"/>
    </row>
    <row r="481">
      <c r="A481" s="43" t="n"/>
      <c r="C481" s="44" t="n"/>
      <c r="D481" s="44" t="n"/>
      <c r="L481" s="45" t="n"/>
      <c r="O481" s="44" t="n"/>
    </row>
    <row r="482">
      <c r="A482" s="43" t="n"/>
      <c r="C482" s="44" t="n"/>
      <c r="D482" s="44" t="n"/>
      <c r="L482" s="45" t="n"/>
      <c r="O482" s="44" t="n"/>
    </row>
    <row r="483">
      <c r="A483" s="43" t="n"/>
      <c r="C483" s="44" t="n"/>
      <c r="D483" s="44" t="n"/>
      <c r="L483" s="45" t="n"/>
      <c r="O483" s="44" t="n"/>
    </row>
    <row r="484">
      <c r="A484" s="43" t="n"/>
      <c r="C484" s="44" t="n"/>
      <c r="D484" s="44" t="n"/>
      <c r="L484" s="45" t="n"/>
      <c r="O484" s="44" t="n"/>
    </row>
    <row r="485">
      <c r="A485" s="43" t="n"/>
      <c r="C485" s="44" t="n"/>
      <c r="D485" s="44" t="n"/>
      <c r="L485" s="45" t="n"/>
      <c r="O485" s="44" t="n"/>
    </row>
    <row r="486">
      <c r="A486" s="43" t="n"/>
      <c r="C486" s="44" t="n"/>
      <c r="D486" s="44" t="n"/>
      <c r="L486" s="45" t="n"/>
      <c r="O486" s="44" t="n"/>
    </row>
    <row r="487">
      <c r="A487" s="43" t="n"/>
      <c r="C487" s="44" t="n"/>
      <c r="D487" s="44" t="n"/>
      <c r="L487" s="45" t="n"/>
      <c r="O487" s="44" t="n"/>
    </row>
    <row r="488">
      <c r="A488" s="43" t="n"/>
      <c r="C488" s="44" t="n"/>
      <c r="D488" s="44" t="n"/>
      <c r="L488" s="45" t="n"/>
      <c r="O488" s="44" t="n"/>
    </row>
    <row r="489">
      <c r="A489" s="43" t="n"/>
      <c r="C489" s="44" t="n"/>
      <c r="D489" s="44" t="n"/>
      <c r="L489" s="45" t="n"/>
      <c r="O489" s="44" t="n"/>
    </row>
    <row r="490">
      <c r="A490" s="43" t="n"/>
      <c r="C490" s="44" t="n"/>
      <c r="D490" s="44" t="n"/>
      <c r="L490" s="45" t="n"/>
      <c r="O490" s="44" t="n"/>
    </row>
    <row r="491">
      <c r="A491" s="43" t="n"/>
      <c r="C491" s="44" t="n"/>
      <c r="D491" s="44" t="n"/>
      <c r="L491" s="45" t="n"/>
      <c r="O491" s="44" t="n"/>
    </row>
    <row r="492">
      <c r="A492" s="43" t="n"/>
      <c r="C492" s="44" t="n"/>
      <c r="D492" s="44" t="n"/>
      <c r="L492" s="45" t="n"/>
      <c r="O492" s="44" t="n"/>
    </row>
    <row r="493">
      <c r="A493" s="43" t="n"/>
      <c r="C493" s="44" t="n"/>
      <c r="D493" s="44" t="n"/>
      <c r="L493" s="45" t="n"/>
      <c r="O493" s="44" t="n"/>
    </row>
    <row r="494">
      <c r="A494" s="43" t="n"/>
      <c r="C494" s="44" t="n"/>
      <c r="D494" s="44" t="n"/>
      <c r="L494" s="45" t="n"/>
      <c r="O494" s="44" t="n"/>
    </row>
    <row r="495">
      <c r="A495" s="43" t="n"/>
      <c r="C495" s="44" t="n"/>
      <c r="D495" s="44" t="n"/>
      <c r="L495" s="45" t="n"/>
      <c r="O495" s="44" t="n"/>
    </row>
    <row r="496">
      <c r="A496" s="43" t="n"/>
      <c r="C496" s="44" t="n"/>
      <c r="D496" s="44" t="n"/>
      <c r="L496" s="45" t="n"/>
      <c r="O496" s="44" t="n"/>
    </row>
    <row r="497">
      <c r="A497" s="43" t="n"/>
      <c r="C497" s="44" t="n"/>
      <c r="D497" s="44" t="n"/>
      <c r="L497" s="45" t="n"/>
      <c r="O497" s="44" t="n"/>
    </row>
    <row r="498">
      <c r="A498" s="43" t="n"/>
      <c r="C498" s="44" t="n"/>
      <c r="D498" s="44" t="n"/>
      <c r="L498" s="45" t="n"/>
      <c r="O498" s="44" t="n"/>
    </row>
    <row r="499">
      <c r="A499" s="43" t="n"/>
      <c r="C499" s="44" t="n"/>
      <c r="D499" s="44" t="n"/>
      <c r="L499" s="45" t="n"/>
      <c r="O499" s="44" t="n"/>
    </row>
    <row r="500">
      <c r="A500" s="43" t="n"/>
      <c r="C500" s="44" t="n"/>
      <c r="D500" s="44" t="n"/>
      <c r="L500" s="45" t="n"/>
      <c r="O500" s="44" t="n"/>
    </row>
    <row r="501">
      <c r="A501" s="43" t="n"/>
      <c r="C501" s="44" t="n"/>
      <c r="D501" s="44" t="n"/>
      <c r="L501" s="45" t="n"/>
      <c r="O501" s="44" t="n"/>
    </row>
    <row r="502">
      <c r="A502" s="43" t="n"/>
      <c r="C502" s="44" t="n"/>
      <c r="D502" s="44" t="n"/>
      <c r="L502" s="45" t="n"/>
      <c r="O502" s="44" t="n"/>
    </row>
    <row r="503">
      <c r="A503" s="43" t="n"/>
      <c r="C503" s="44" t="n"/>
      <c r="D503" s="44" t="n"/>
      <c r="L503" s="45" t="n"/>
      <c r="O503" s="44" t="n"/>
    </row>
    <row r="504">
      <c r="A504" s="43" t="n"/>
      <c r="C504" s="44" t="n"/>
      <c r="D504" s="44" t="n"/>
      <c r="L504" s="45" t="n"/>
      <c r="O504" s="44" t="n"/>
    </row>
  </sheetData>
  <autoFilter ref="A3:X504"/>
  <conditionalFormatting sqref="F2">
    <cfRule type="cellIs" priority="1" operator="lessThan" dxfId="0">
      <formula>0</formula>
    </cfRule>
    <cfRule type="cellIs" priority="2" operator="greaterThanOrEqual" dxfId="1">
      <formula>0</formula>
    </cfRule>
  </conditionalFormatting>
  <conditionalFormatting sqref="H2">
    <cfRule type="cellIs" priority="3" operator="lessThan" dxfId="0">
      <formula>0.9</formula>
    </cfRule>
    <cfRule type="cellIs" priority="4" operator="greaterThanOrEqual" dxfId="1">
      <formula>1</formula>
    </cfRule>
  </conditionalFormatting>
  <conditionalFormatting sqref="R2">
    <cfRule type="cellIs" priority="5" operator="lessThan" dxfId="0">
      <formula>P2</formula>
    </cfRule>
  </conditionalFormatting>
  <dataValidations count="10">
    <dataValidation sqref="B5:B504" showDropDown="0" showInputMessage="0" showErrorMessage="0" allowBlank="1" type="list">
      <formula1>'選択肢マスター'!$A$2:$A$3</formula1>
    </dataValidation>
    <dataValidation sqref="E5:E504" showDropDown="0" showInputMessage="0" showErrorMessage="0" allowBlank="1" type="list">
      <formula1>'選択肢マスター'!$B$2:$B$23</formula1>
    </dataValidation>
    <dataValidation sqref="M5:M504" showDropDown="0" showInputMessage="0" showErrorMessage="0" allowBlank="1" type="list">
      <formula1>'選択肢マスター'!$C$2:$C$16</formula1>
    </dataValidation>
    <dataValidation sqref="N5:N504" showDropDown="0" showInputMessage="0" showErrorMessage="0" allowBlank="1" type="list">
      <formula1>'選択肢マスター'!$D$2:$D$7</formula1>
    </dataValidation>
    <dataValidation sqref="P5:P504" showDropDown="0" showInputMessage="0" showErrorMessage="0" allowBlank="1" type="list">
      <formula1>'選択肢マスター'!$E$2:$E$5</formula1>
    </dataValidation>
    <dataValidation sqref="Q5:Q504" showDropDown="0" showInputMessage="0" showErrorMessage="0" allowBlank="1" type="list">
      <formula1>'選択肢マスター'!$F$2:$F$5</formula1>
    </dataValidation>
    <dataValidation sqref="S5:S504" showDropDown="0" showInputMessage="0" showErrorMessage="0" allowBlank="1" type="list">
      <formula1>'選択肢マスター'!$G$2:$G$8</formula1>
    </dataValidation>
    <dataValidation sqref="T5:T504" showDropDown="0" showInputMessage="0" showErrorMessage="0" allowBlank="1" type="list">
      <formula1>'選択肢マスター'!$J$2:$J$3</formula1>
    </dataValidation>
    <dataValidation sqref="U5:U504" showDropDown="0" showInputMessage="0" showErrorMessage="0" allowBlank="1" type="list">
      <formula1>'選択肢マスター'!$H$2:$H$5</formula1>
    </dataValidation>
    <dataValidation sqref="V5:V504" showDropDown="0" showInputMessage="0" showErrorMessage="0" allowBlank="1" type="list">
      <formula1>'選択肢マスター'!$I$2:$I$5</formula1>
    </dataValidation>
  </dataValidations>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A1:X504"/>
  <sheetViews>
    <sheetView workbookViewId="0">
      <pane ySplit="4" topLeftCell="A5" activePane="bottomLeft" state="frozen"/>
      <selection pane="bottomLeft" activeCell="A1" sqref="A1"/>
    </sheetView>
  </sheetViews>
  <sheetFormatPr baseColWidth="8" defaultRowHeight="15"/>
  <cols>
    <col width="9" customWidth="1" min="1" max="1"/>
    <col width="11" customWidth="1" min="2" max="2"/>
    <col width="12" customWidth="1" min="3" max="3"/>
    <col width="12" customWidth="1" min="4" max="4"/>
    <col width="17" customWidth="1" min="5" max="5"/>
    <col width="20" customWidth="1" min="6" max="6"/>
    <col width="14" customWidth="1" min="7" max="7"/>
    <col width="16" customWidth="1" min="8" max="8"/>
    <col width="14" customWidth="1" min="9" max="9"/>
    <col width="11" customWidth="1" min="10" max="10"/>
    <col width="30" customWidth="1" min="11" max="11"/>
    <col width="12" customWidth="1" min="12" max="12"/>
    <col width="20" customWidth="1" min="13" max="13"/>
    <col width="12" customWidth="1" min="14" max="14"/>
    <col width="14" customWidth="1" min="15" max="15"/>
    <col width="12" customWidth="1" min="16" max="16"/>
    <col width="12" customWidth="1" min="17" max="17"/>
    <col width="34" customWidth="1" min="18" max="18"/>
    <col width="14" customWidth="1" min="19" max="19"/>
    <col width="11" customWidth="1" min="20" max="20"/>
    <col width="11" customWidth="1" min="21" max="21"/>
    <col width="12" customWidth="1" min="22" max="22"/>
    <col width="24" customWidth="1" min="23" max="23"/>
    <col width="10" customWidth="1" min="24" max="24"/>
  </cols>
  <sheetData>
    <row r="1" ht="18" customHeight="1">
      <c r="A1" s="8" t="inlineStr">
        <is>
          <t>◆ 8月の売上・顧客。入力は 5 行目から。2行目＝今月の目標、4行目＝自動集計（数式・触らない）</t>
        </is>
      </c>
    </row>
    <row r="2" ht="20" customHeight="1">
      <c r="A2" s="24" t="inlineStr">
        <is>
          <t>今月目標(売上)</t>
        </is>
      </c>
      <c r="B2" s="25" t="n">
        <v>1600000</v>
      </c>
      <c r="C2" s="24" t="inlineStr">
        <is>
          <t>売上 現在</t>
        </is>
      </c>
      <c r="D2" s="25">
        <f>$L$4</f>
        <v/>
      </c>
      <c r="E2" s="24" t="inlineStr">
        <is>
          <t>過不足</t>
        </is>
      </c>
      <c r="F2" s="25">
        <f>D2-B2</f>
        <v/>
      </c>
      <c r="G2" s="24" t="inlineStr">
        <is>
          <t>達成率</t>
        </is>
      </c>
      <c r="H2" s="26">
        <f>IFERROR(D2/B2,0)</f>
        <v/>
      </c>
      <c r="I2" s="24" t="inlineStr">
        <is>
          <t>必要件数</t>
        </is>
      </c>
      <c r="J2" s="27" t="n">
        <v>42</v>
      </c>
      <c r="K2" s="24" t="inlineStr">
        <is>
          <t>件数 現在</t>
        </is>
      </c>
      <c r="L2" s="27">
        <f>$E$4</f>
        <v/>
      </c>
      <c r="M2" s="24" t="inlineStr">
        <is>
          <t>残り件数</t>
        </is>
      </c>
      <c r="N2" s="27">
        <f>J2-L2</f>
        <v/>
      </c>
      <c r="O2" s="24" t="inlineStr">
        <is>
          <t>④ネット新規 目標</t>
        </is>
      </c>
      <c r="P2" s="27" t="n">
        <v>10</v>
      </c>
      <c r="Q2" s="24" t="inlineStr">
        <is>
          <t>④ 現在</t>
        </is>
      </c>
      <c r="R2" s="27">
        <f>$R$4</f>
        <v/>
      </c>
    </row>
    <row r="3" ht="30" customHeight="1">
      <c r="A3" s="3" t="inlineStr">
        <is>
          <t>通し番号</t>
        </is>
      </c>
      <c r="B3" s="3" t="inlineStr">
        <is>
          <t>売上種類</t>
        </is>
      </c>
      <c r="C3" s="3" t="inlineStr">
        <is>
          <t>受注日</t>
        </is>
      </c>
      <c r="D3" s="3" t="inlineStr">
        <is>
          <t>施工日付</t>
        </is>
      </c>
      <c r="E3" s="3" t="inlineStr">
        <is>
          <t>流入経路</t>
        </is>
      </c>
      <c r="F3" s="3" t="inlineStr">
        <is>
          <t>流入元の識別子(?src=)</t>
        </is>
      </c>
      <c r="G3" s="3" t="inlineStr">
        <is>
          <t>紹介者（顧客ID）</t>
        </is>
      </c>
      <c r="H3" s="3" t="inlineStr">
        <is>
          <t>氏名</t>
        </is>
      </c>
      <c r="I3" s="3" t="inlineStr">
        <is>
          <t>TEL(-無し)</t>
        </is>
      </c>
      <c r="J3" s="3" t="inlineStr">
        <is>
          <t>郵便番号(-無し)</t>
        </is>
      </c>
      <c r="K3" s="3" t="inlineStr">
        <is>
          <t>住所</t>
        </is>
      </c>
      <c r="L3" s="3" t="inlineStr">
        <is>
          <t>売上（税込）</t>
        </is>
      </c>
      <c r="M3" s="3" t="inlineStr">
        <is>
          <t>実施メニュー</t>
        </is>
      </c>
      <c r="N3" s="3" t="inlineStr">
        <is>
          <t>施工担当</t>
        </is>
      </c>
      <c r="O3" s="3" t="inlineStr">
        <is>
          <t>フォローコール日</t>
        </is>
      </c>
      <c r="P3" s="3" t="inlineStr">
        <is>
          <t>早期予約提案</t>
        </is>
      </c>
      <c r="Q3" s="3" t="inlineStr">
        <is>
          <t>フォローコール</t>
        </is>
      </c>
      <c r="R3" s="3" t="inlineStr">
        <is>
          <t>備考(お客様の声)</t>
        </is>
      </c>
      <c r="S3" s="3" t="inlineStr">
        <is>
          <t>入金経路</t>
        </is>
      </c>
      <c r="T3" s="3" t="inlineStr">
        <is>
          <t>入金額照合</t>
        </is>
      </c>
      <c r="U3" s="3" t="inlineStr">
        <is>
          <t>ＯＨ打診</t>
        </is>
      </c>
      <c r="V3" s="3" t="inlineStr">
        <is>
          <t>本舗ロイ区分</t>
        </is>
      </c>
      <c r="W3" s="3" t="inlineStr">
        <is>
          <t>お客様周辺/環境情報</t>
        </is>
      </c>
      <c r="X3" s="3" t="inlineStr">
        <is>
          <t>カウント用</t>
        </is>
      </c>
    </row>
    <row r="4" ht="20" customHeight="1">
      <c r="A4" s="28">
        <f>"▼自動集計"</f>
        <v/>
      </c>
      <c r="B4" s="29">
        <f>COUNTIFS($B$5:$B$504,"One Hitter")</f>
        <v/>
      </c>
      <c r="C4" s="30">
        <f>IFERROR(SUMPRODUCT(($C$5:$C$504&lt;&gt;"")*($D$5:$D$504&lt;&gt;"")*($D$5:$D$504-$C$5:$C$504))/SUMPRODUCT(($C$5:$C$504&lt;&gt;"")*($D$5:$D$504&lt;&gt;"")),0)</f>
        <v/>
      </c>
      <c r="D4" s="31">
        <f>COUNTIFS($B$5:$B$504,"本舗")</f>
        <v/>
      </c>
      <c r="E4" s="32">
        <f>COUNTA($D$5:$D$504)</f>
        <v/>
      </c>
      <c r="F4" s="33">
        <f>IFERROR(SUM($L$5:$L$504)/COUNTA($D$5:$D$504),0)</f>
        <v/>
      </c>
      <c r="G4" s="34">
        <f>COUNTA($G$5:$G$504)</f>
        <v/>
      </c>
      <c r="H4" s="35">
        <f>IFERROR(SUMIFS($L$5:$L$504,$B$5:$B$504,"One Hitter")/COUNTIFS($B$5:$B$504,"One Hitter"),0)</f>
        <v/>
      </c>
      <c r="I4" s="36">
        <f>IFERROR(SUMIFS($L$5:$L$504,$B$5:$B$504,"本舗")/COUNTIFS($B$5:$B$504,"本舗"),0)</f>
        <v/>
      </c>
      <c r="J4" s="37">
        <f>SUMIFS($L$5:$L$504,$B$5:$B$504,"One Hitter")</f>
        <v/>
      </c>
      <c r="K4" s="38">
        <f>SUMIFS($L$5:$L$504,$B$5:$B$504,"本舗")</f>
        <v/>
      </c>
      <c r="L4" s="39">
        <f>SUM($L$5:$L$504)</f>
        <v/>
      </c>
      <c r="M4" s="40" t="n"/>
      <c r="N4" s="40" t="n"/>
      <c r="O4" s="40" t="n"/>
      <c r="P4" s="40" t="n"/>
      <c r="Q4" s="40" t="n"/>
      <c r="R4" s="41">
        <f>COUNTIFS($E$5:$E$504,"HP")+COUNTIFS($E$5:$E$504,"LP")+COUNTIFS($E$5:$E$504,"SNS")+COUNTIFS($E$5:$E$504,"GBP(地図検索)")+COUNTIFS($E$5:$E$504,"公式LINE")+COUNTIFS($E$5:$E$504,"アフィリエイト")+COUNTIFS($E$5:$E$504,"LINE/SMS再販")+COUNTIFS($E$5:$E$504,"SMS")+COUNTIFS($E$5:$E$504,"広告")</f>
        <v/>
      </c>
      <c r="S4" s="42">
        <f>SUMIFS($L$5:$L$504,$E$5:$E$504,"HP")+SUMIFS($L$5:$L$504,$E$5:$E$504,"LP")+SUMIFS($L$5:$L$504,$E$5:$E$504,"SNS")+SUMIFS($L$5:$L$504,$E$5:$E$504,"GBP(地図検索)")+SUMIFS($L$5:$L$504,$E$5:$E$504,"公式LINE")+SUMIFS($L$5:$L$504,$E$5:$E$504,"アフィリエイト")+SUMIFS($L$5:$L$504,$E$5:$E$504,"LINE/SMS再販")+SUMIFS($L$5:$L$504,$E$5:$E$504,"SMS")+SUMIFS($L$5:$L$504,$E$5:$E$504,"広告")</f>
        <v/>
      </c>
      <c r="T4" s="40" t="n"/>
      <c r="U4" s="40" t="n"/>
      <c r="V4" s="40" t="n"/>
      <c r="W4" s="40" t="n"/>
      <c r="X4" s="40" t="n"/>
    </row>
    <row r="5">
      <c r="A5" s="43" t="n"/>
      <c r="C5" s="44" t="n"/>
      <c r="D5" s="44" t="n"/>
      <c r="L5" s="45" t="n"/>
      <c r="O5" s="44" t="n"/>
    </row>
    <row r="6">
      <c r="A6" s="43" t="n"/>
      <c r="C6" s="44" t="n"/>
      <c r="D6" s="44" t="n"/>
      <c r="L6" s="45" t="n"/>
      <c r="O6" s="44" t="n"/>
    </row>
    <row r="7">
      <c r="A7" s="43" t="n"/>
      <c r="C7" s="44" t="n"/>
      <c r="D7" s="44" t="n"/>
      <c r="L7" s="45" t="n"/>
      <c r="O7" s="44" t="n"/>
    </row>
    <row r="8">
      <c r="A8" s="43" t="n"/>
      <c r="C8" s="44" t="n"/>
      <c r="D8" s="44" t="n"/>
      <c r="L8" s="45" t="n"/>
      <c r="O8" s="44" t="n"/>
    </row>
    <row r="9">
      <c r="A9" s="43" t="n"/>
      <c r="C9" s="44" t="n"/>
      <c r="D9" s="44" t="n"/>
      <c r="L9" s="45" t="n"/>
      <c r="O9" s="44" t="n"/>
    </row>
    <row r="10">
      <c r="A10" s="43" t="n"/>
      <c r="C10" s="44" t="n"/>
      <c r="D10" s="44" t="n"/>
      <c r="L10" s="45" t="n"/>
      <c r="O10" s="44" t="n"/>
    </row>
    <row r="11">
      <c r="A11" s="43" t="n"/>
      <c r="C11" s="44" t="n"/>
      <c r="D11" s="44" t="n"/>
      <c r="L11" s="45" t="n"/>
      <c r="O11" s="44" t="n"/>
    </row>
    <row r="12">
      <c r="A12" s="43" t="n"/>
      <c r="C12" s="44" t="n"/>
      <c r="D12" s="44" t="n"/>
      <c r="L12" s="45" t="n"/>
      <c r="O12" s="44" t="n"/>
    </row>
    <row r="13">
      <c r="A13" s="43" t="n"/>
      <c r="C13" s="44" t="n"/>
      <c r="D13" s="44" t="n"/>
      <c r="L13" s="45" t="n"/>
      <c r="O13" s="44" t="n"/>
    </row>
    <row r="14">
      <c r="A14" s="43" t="n"/>
      <c r="C14" s="44" t="n"/>
      <c r="D14" s="44" t="n"/>
      <c r="L14" s="45" t="n"/>
      <c r="O14" s="44" t="n"/>
    </row>
    <row r="15">
      <c r="A15" s="43" t="n"/>
      <c r="C15" s="44" t="n"/>
      <c r="D15" s="44" t="n"/>
      <c r="L15" s="45" t="n"/>
      <c r="O15" s="44" t="n"/>
    </row>
    <row r="16">
      <c r="A16" s="43" t="n"/>
      <c r="C16" s="44" t="n"/>
      <c r="D16" s="44" t="n"/>
      <c r="L16" s="45" t="n"/>
      <c r="O16" s="44" t="n"/>
    </row>
    <row r="17">
      <c r="A17" s="43" t="n"/>
      <c r="C17" s="44" t="n"/>
      <c r="D17" s="44" t="n"/>
      <c r="L17" s="45" t="n"/>
      <c r="O17" s="44" t="n"/>
    </row>
    <row r="18">
      <c r="A18" s="43" t="n"/>
      <c r="C18" s="44" t="n"/>
      <c r="D18" s="44" t="n"/>
      <c r="L18" s="45" t="n"/>
      <c r="O18" s="44" t="n"/>
    </row>
    <row r="19">
      <c r="A19" s="43" t="n"/>
      <c r="C19" s="44" t="n"/>
      <c r="D19" s="44" t="n"/>
      <c r="L19" s="45" t="n"/>
      <c r="O19" s="44" t="n"/>
    </row>
    <row r="20">
      <c r="A20" s="43" t="n"/>
      <c r="C20" s="44" t="n"/>
      <c r="D20" s="44" t="n"/>
      <c r="L20" s="45" t="n"/>
      <c r="O20" s="44" t="n"/>
    </row>
    <row r="21">
      <c r="A21" s="43" t="n"/>
      <c r="C21" s="44" t="n"/>
      <c r="D21" s="44" t="n"/>
      <c r="L21" s="45" t="n"/>
      <c r="O21" s="44" t="n"/>
    </row>
    <row r="22">
      <c r="A22" s="43" t="n"/>
      <c r="C22" s="44" t="n"/>
      <c r="D22" s="44" t="n"/>
      <c r="L22" s="45" t="n"/>
      <c r="O22" s="44" t="n"/>
    </row>
    <row r="23">
      <c r="A23" s="43" t="n"/>
      <c r="C23" s="44" t="n"/>
      <c r="D23" s="44" t="n"/>
      <c r="L23" s="45" t="n"/>
      <c r="O23" s="44" t="n"/>
    </row>
    <row r="24">
      <c r="A24" s="43" t="n"/>
      <c r="C24" s="44" t="n"/>
      <c r="D24" s="44" t="n"/>
      <c r="L24" s="45" t="n"/>
      <c r="O24" s="44" t="n"/>
    </row>
    <row r="25">
      <c r="A25" s="43" t="n"/>
      <c r="C25" s="44" t="n"/>
      <c r="D25" s="44" t="n"/>
      <c r="L25" s="45" t="n"/>
      <c r="O25" s="44" t="n"/>
    </row>
    <row r="26">
      <c r="A26" s="43" t="n"/>
      <c r="C26" s="44" t="n"/>
      <c r="D26" s="44" t="n"/>
      <c r="L26" s="45" t="n"/>
      <c r="O26" s="44" t="n"/>
    </row>
    <row r="27">
      <c r="A27" s="43" t="n"/>
      <c r="C27" s="44" t="n"/>
      <c r="D27" s="44" t="n"/>
      <c r="L27" s="45" t="n"/>
      <c r="O27" s="44" t="n"/>
    </row>
    <row r="28">
      <c r="A28" s="43" t="n"/>
      <c r="C28" s="44" t="n"/>
      <c r="D28" s="44" t="n"/>
      <c r="L28" s="45" t="n"/>
      <c r="O28" s="44" t="n"/>
    </row>
    <row r="29">
      <c r="A29" s="43" t="n"/>
      <c r="C29" s="44" t="n"/>
      <c r="D29" s="44" t="n"/>
      <c r="L29" s="45" t="n"/>
      <c r="O29" s="44" t="n"/>
    </row>
    <row r="30">
      <c r="A30" s="43" t="n"/>
      <c r="C30" s="44" t="n"/>
      <c r="D30" s="44" t="n"/>
      <c r="L30" s="45" t="n"/>
      <c r="O30" s="44" t="n"/>
    </row>
    <row r="31">
      <c r="A31" s="43" t="n"/>
      <c r="C31" s="44" t="n"/>
      <c r="D31" s="44" t="n"/>
      <c r="L31" s="45" t="n"/>
      <c r="O31" s="44" t="n"/>
    </row>
    <row r="32">
      <c r="A32" s="43" t="n"/>
      <c r="C32" s="44" t="n"/>
      <c r="D32" s="44" t="n"/>
      <c r="L32" s="45" t="n"/>
      <c r="O32" s="44" t="n"/>
    </row>
    <row r="33">
      <c r="A33" s="43" t="n"/>
      <c r="C33" s="44" t="n"/>
      <c r="D33" s="44" t="n"/>
      <c r="L33" s="45" t="n"/>
      <c r="O33" s="44" t="n"/>
    </row>
    <row r="34">
      <c r="A34" s="43" t="n"/>
      <c r="C34" s="44" t="n"/>
      <c r="D34" s="44" t="n"/>
      <c r="L34" s="45" t="n"/>
      <c r="O34" s="44" t="n"/>
    </row>
    <row r="35">
      <c r="A35" s="43" t="n"/>
      <c r="C35" s="44" t="n"/>
      <c r="D35" s="44" t="n"/>
      <c r="L35" s="45" t="n"/>
      <c r="O35" s="44" t="n"/>
    </row>
    <row r="36">
      <c r="A36" s="43" t="n"/>
      <c r="C36" s="44" t="n"/>
      <c r="D36" s="44" t="n"/>
      <c r="L36" s="45" t="n"/>
      <c r="O36" s="44" t="n"/>
    </row>
    <row r="37">
      <c r="A37" s="43" t="n"/>
      <c r="C37" s="44" t="n"/>
      <c r="D37" s="44" t="n"/>
      <c r="L37" s="45" t="n"/>
      <c r="O37" s="44" t="n"/>
    </row>
    <row r="38">
      <c r="A38" s="43" t="n"/>
      <c r="C38" s="44" t="n"/>
      <c r="D38" s="44" t="n"/>
      <c r="L38" s="45" t="n"/>
      <c r="O38" s="44" t="n"/>
    </row>
    <row r="39">
      <c r="A39" s="43" t="n"/>
      <c r="C39" s="44" t="n"/>
      <c r="D39" s="44" t="n"/>
      <c r="L39" s="45" t="n"/>
      <c r="O39" s="44" t="n"/>
    </row>
    <row r="40">
      <c r="A40" s="43" t="n"/>
      <c r="C40" s="44" t="n"/>
      <c r="D40" s="44" t="n"/>
      <c r="L40" s="45" t="n"/>
      <c r="O40" s="44" t="n"/>
    </row>
    <row r="41">
      <c r="A41" s="43" t="n"/>
      <c r="C41" s="44" t="n"/>
      <c r="D41" s="44" t="n"/>
      <c r="L41" s="45" t="n"/>
      <c r="O41" s="44" t="n"/>
    </row>
    <row r="42">
      <c r="A42" s="43" t="n"/>
      <c r="C42" s="44" t="n"/>
      <c r="D42" s="44" t="n"/>
      <c r="L42" s="45" t="n"/>
      <c r="O42" s="44" t="n"/>
    </row>
    <row r="43">
      <c r="A43" s="43" t="n"/>
      <c r="C43" s="44" t="n"/>
      <c r="D43" s="44" t="n"/>
      <c r="L43" s="45" t="n"/>
      <c r="O43" s="44" t="n"/>
    </row>
    <row r="44">
      <c r="A44" s="43" t="n"/>
      <c r="C44" s="44" t="n"/>
      <c r="D44" s="44" t="n"/>
      <c r="L44" s="45" t="n"/>
      <c r="O44" s="44" t="n"/>
    </row>
    <row r="45">
      <c r="A45" s="43" t="n"/>
      <c r="C45" s="44" t="n"/>
      <c r="D45" s="44" t="n"/>
      <c r="L45" s="45" t="n"/>
      <c r="O45" s="44" t="n"/>
    </row>
    <row r="46">
      <c r="A46" s="43" t="n"/>
      <c r="C46" s="44" t="n"/>
      <c r="D46" s="44" t="n"/>
      <c r="L46" s="45" t="n"/>
      <c r="O46" s="44" t="n"/>
    </row>
    <row r="47">
      <c r="A47" s="43" t="n"/>
      <c r="C47" s="44" t="n"/>
      <c r="D47" s="44" t="n"/>
      <c r="L47" s="45" t="n"/>
      <c r="O47" s="44" t="n"/>
    </row>
    <row r="48">
      <c r="A48" s="43" t="n"/>
      <c r="C48" s="44" t="n"/>
      <c r="D48" s="44" t="n"/>
      <c r="L48" s="45" t="n"/>
      <c r="O48" s="44" t="n"/>
    </row>
    <row r="49">
      <c r="A49" s="43" t="n"/>
      <c r="C49" s="44" t="n"/>
      <c r="D49" s="44" t="n"/>
      <c r="L49" s="45" t="n"/>
      <c r="O49" s="44" t="n"/>
    </row>
    <row r="50">
      <c r="A50" s="43" t="n"/>
      <c r="C50" s="44" t="n"/>
      <c r="D50" s="44" t="n"/>
      <c r="L50" s="45" t="n"/>
      <c r="O50" s="44" t="n"/>
    </row>
    <row r="51">
      <c r="A51" s="43" t="n"/>
      <c r="C51" s="44" t="n"/>
      <c r="D51" s="44" t="n"/>
      <c r="L51" s="45" t="n"/>
      <c r="O51" s="44" t="n"/>
    </row>
    <row r="52">
      <c r="A52" s="43" t="n"/>
      <c r="C52" s="44" t="n"/>
      <c r="D52" s="44" t="n"/>
      <c r="L52" s="45" t="n"/>
      <c r="O52" s="44" t="n"/>
    </row>
    <row r="53">
      <c r="A53" s="43" t="n"/>
      <c r="C53" s="44" t="n"/>
      <c r="D53" s="44" t="n"/>
      <c r="L53" s="45" t="n"/>
      <c r="O53" s="44" t="n"/>
    </row>
    <row r="54">
      <c r="A54" s="43" t="n"/>
      <c r="C54" s="44" t="n"/>
      <c r="D54" s="44" t="n"/>
      <c r="L54" s="45" t="n"/>
      <c r="O54" s="44" t="n"/>
    </row>
    <row r="55">
      <c r="A55" s="43" t="n"/>
      <c r="C55" s="44" t="n"/>
      <c r="D55" s="44" t="n"/>
      <c r="L55" s="45" t="n"/>
      <c r="O55" s="44" t="n"/>
    </row>
    <row r="56">
      <c r="A56" s="43" t="n"/>
      <c r="C56" s="44" t="n"/>
      <c r="D56" s="44" t="n"/>
      <c r="L56" s="45" t="n"/>
      <c r="O56" s="44" t="n"/>
    </row>
    <row r="57">
      <c r="A57" s="43" t="n"/>
      <c r="C57" s="44" t="n"/>
      <c r="D57" s="44" t="n"/>
      <c r="L57" s="45" t="n"/>
      <c r="O57" s="44" t="n"/>
    </row>
    <row r="58">
      <c r="A58" s="43" t="n"/>
      <c r="C58" s="44" t="n"/>
      <c r="D58" s="44" t="n"/>
      <c r="L58" s="45" t="n"/>
      <c r="O58" s="44" t="n"/>
    </row>
    <row r="59">
      <c r="A59" s="43" t="n"/>
      <c r="C59" s="44" t="n"/>
      <c r="D59" s="44" t="n"/>
      <c r="L59" s="45" t="n"/>
      <c r="O59" s="44" t="n"/>
    </row>
    <row r="60">
      <c r="A60" s="43" t="n"/>
      <c r="C60" s="44" t="n"/>
      <c r="D60" s="44" t="n"/>
      <c r="L60" s="45" t="n"/>
      <c r="O60" s="44" t="n"/>
    </row>
    <row r="61">
      <c r="A61" s="43" t="n"/>
      <c r="C61" s="44" t="n"/>
      <c r="D61" s="44" t="n"/>
      <c r="L61" s="45" t="n"/>
      <c r="O61" s="44" t="n"/>
    </row>
    <row r="62">
      <c r="A62" s="43" t="n"/>
      <c r="C62" s="44" t="n"/>
      <c r="D62" s="44" t="n"/>
      <c r="L62" s="45" t="n"/>
      <c r="O62" s="44" t="n"/>
    </row>
    <row r="63">
      <c r="A63" s="43" t="n"/>
      <c r="C63" s="44" t="n"/>
      <c r="D63" s="44" t="n"/>
      <c r="L63" s="45" t="n"/>
      <c r="O63" s="44" t="n"/>
    </row>
    <row r="64">
      <c r="A64" s="43" t="n"/>
      <c r="C64" s="44" t="n"/>
      <c r="D64" s="44" t="n"/>
      <c r="L64" s="45" t="n"/>
      <c r="O64" s="44" t="n"/>
    </row>
    <row r="65">
      <c r="A65" s="43" t="n"/>
      <c r="C65" s="44" t="n"/>
      <c r="D65" s="44" t="n"/>
      <c r="L65" s="45" t="n"/>
      <c r="O65" s="44" t="n"/>
    </row>
    <row r="66">
      <c r="A66" s="43" t="n"/>
      <c r="C66" s="44" t="n"/>
      <c r="D66" s="44" t="n"/>
      <c r="L66" s="45" t="n"/>
      <c r="O66" s="44" t="n"/>
    </row>
    <row r="67">
      <c r="A67" s="43" t="n"/>
      <c r="C67" s="44" t="n"/>
      <c r="D67" s="44" t="n"/>
      <c r="L67" s="45" t="n"/>
      <c r="O67" s="44" t="n"/>
    </row>
    <row r="68">
      <c r="A68" s="43" t="n"/>
      <c r="C68" s="44" t="n"/>
      <c r="D68" s="44" t="n"/>
      <c r="L68" s="45" t="n"/>
      <c r="O68" s="44" t="n"/>
    </row>
    <row r="69">
      <c r="A69" s="43" t="n"/>
      <c r="C69" s="44" t="n"/>
      <c r="D69" s="44" t="n"/>
      <c r="L69" s="45" t="n"/>
      <c r="O69" s="44" t="n"/>
    </row>
    <row r="70">
      <c r="A70" s="43" t="n"/>
      <c r="C70" s="44" t="n"/>
      <c r="D70" s="44" t="n"/>
      <c r="L70" s="45" t="n"/>
      <c r="O70" s="44" t="n"/>
    </row>
    <row r="71">
      <c r="A71" s="43" t="n"/>
      <c r="C71" s="44" t="n"/>
      <c r="D71" s="44" t="n"/>
      <c r="L71" s="45" t="n"/>
      <c r="O71" s="44" t="n"/>
    </row>
    <row r="72">
      <c r="A72" s="43" t="n"/>
      <c r="C72" s="44" t="n"/>
      <c r="D72" s="44" t="n"/>
      <c r="L72" s="45" t="n"/>
      <c r="O72" s="44" t="n"/>
    </row>
    <row r="73">
      <c r="A73" s="43" t="n"/>
      <c r="C73" s="44" t="n"/>
      <c r="D73" s="44" t="n"/>
      <c r="L73" s="45" t="n"/>
      <c r="O73" s="44" t="n"/>
    </row>
    <row r="74">
      <c r="A74" s="43" t="n"/>
      <c r="C74" s="44" t="n"/>
      <c r="D74" s="44" t="n"/>
      <c r="L74" s="45" t="n"/>
      <c r="O74" s="44" t="n"/>
    </row>
    <row r="75">
      <c r="A75" s="43" t="n"/>
      <c r="C75" s="44" t="n"/>
      <c r="D75" s="44" t="n"/>
      <c r="L75" s="45" t="n"/>
      <c r="O75" s="44" t="n"/>
    </row>
    <row r="76">
      <c r="A76" s="43" t="n"/>
      <c r="C76" s="44" t="n"/>
      <c r="D76" s="44" t="n"/>
      <c r="L76" s="45" t="n"/>
      <c r="O76" s="44" t="n"/>
    </row>
    <row r="77">
      <c r="A77" s="43" t="n"/>
      <c r="C77" s="44" t="n"/>
      <c r="D77" s="44" t="n"/>
      <c r="L77" s="45" t="n"/>
      <c r="O77" s="44" t="n"/>
    </row>
    <row r="78">
      <c r="A78" s="43" t="n"/>
      <c r="C78" s="44" t="n"/>
      <c r="D78" s="44" t="n"/>
      <c r="L78" s="45" t="n"/>
      <c r="O78" s="44" t="n"/>
    </row>
    <row r="79">
      <c r="A79" s="43" t="n"/>
      <c r="C79" s="44" t="n"/>
      <c r="D79" s="44" t="n"/>
      <c r="L79" s="45" t="n"/>
      <c r="O79" s="44" t="n"/>
    </row>
    <row r="80">
      <c r="A80" s="43" t="n"/>
      <c r="C80" s="44" t="n"/>
      <c r="D80" s="44" t="n"/>
      <c r="L80" s="45" t="n"/>
      <c r="O80" s="44" t="n"/>
    </row>
    <row r="81">
      <c r="A81" s="43" t="n"/>
      <c r="C81" s="44" t="n"/>
      <c r="D81" s="44" t="n"/>
      <c r="L81" s="45" t="n"/>
      <c r="O81" s="44" t="n"/>
    </row>
    <row r="82">
      <c r="A82" s="43" t="n"/>
      <c r="C82" s="44" t="n"/>
      <c r="D82" s="44" t="n"/>
      <c r="L82" s="45" t="n"/>
      <c r="O82" s="44" t="n"/>
    </row>
    <row r="83">
      <c r="A83" s="43" t="n"/>
      <c r="C83" s="44" t="n"/>
      <c r="D83" s="44" t="n"/>
      <c r="L83" s="45" t="n"/>
      <c r="O83" s="44" t="n"/>
    </row>
    <row r="84">
      <c r="A84" s="43" t="n"/>
      <c r="C84" s="44" t="n"/>
      <c r="D84" s="44" t="n"/>
      <c r="L84" s="45" t="n"/>
      <c r="O84" s="44" t="n"/>
    </row>
    <row r="85">
      <c r="A85" s="43" t="n"/>
      <c r="C85" s="44" t="n"/>
      <c r="D85" s="44" t="n"/>
      <c r="L85" s="45" t="n"/>
      <c r="O85" s="44" t="n"/>
    </row>
    <row r="86">
      <c r="A86" s="43" t="n"/>
      <c r="C86" s="44" t="n"/>
      <c r="D86" s="44" t="n"/>
      <c r="L86" s="45" t="n"/>
      <c r="O86" s="44" t="n"/>
    </row>
    <row r="87">
      <c r="A87" s="43" t="n"/>
      <c r="C87" s="44" t="n"/>
      <c r="D87" s="44" t="n"/>
      <c r="L87" s="45" t="n"/>
      <c r="O87" s="44" t="n"/>
    </row>
    <row r="88">
      <c r="A88" s="43" t="n"/>
      <c r="C88" s="44" t="n"/>
      <c r="D88" s="44" t="n"/>
      <c r="L88" s="45" t="n"/>
      <c r="O88" s="44" t="n"/>
    </row>
    <row r="89">
      <c r="A89" s="43" t="n"/>
      <c r="C89" s="44" t="n"/>
      <c r="D89" s="44" t="n"/>
      <c r="L89" s="45" t="n"/>
      <c r="O89" s="44" t="n"/>
    </row>
    <row r="90">
      <c r="A90" s="43" t="n"/>
      <c r="C90" s="44" t="n"/>
      <c r="D90" s="44" t="n"/>
      <c r="L90" s="45" t="n"/>
      <c r="O90" s="44" t="n"/>
    </row>
    <row r="91">
      <c r="A91" s="43" t="n"/>
      <c r="C91" s="44" t="n"/>
      <c r="D91" s="44" t="n"/>
      <c r="L91" s="45" t="n"/>
      <c r="O91" s="44" t="n"/>
    </row>
    <row r="92">
      <c r="A92" s="43" t="n"/>
      <c r="C92" s="44" t="n"/>
      <c r="D92" s="44" t="n"/>
      <c r="L92" s="45" t="n"/>
      <c r="O92" s="44" t="n"/>
    </row>
    <row r="93">
      <c r="A93" s="43" t="n"/>
      <c r="C93" s="44" t="n"/>
      <c r="D93" s="44" t="n"/>
      <c r="L93" s="45" t="n"/>
      <c r="O93" s="44" t="n"/>
    </row>
    <row r="94">
      <c r="A94" s="43" t="n"/>
      <c r="C94" s="44" t="n"/>
      <c r="D94" s="44" t="n"/>
      <c r="L94" s="45" t="n"/>
      <c r="O94" s="44" t="n"/>
    </row>
    <row r="95">
      <c r="A95" s="43" t="n"/>
      <c r="C95" s="44" t="n"/>
      <c r="D95" s="44" t="n"/>
      <c r="L95" s="45" t="n"/>
      <c r="O95" s="44" t="n"/>
    </row>
    <row r="96">
      <c r="A96" s="43" t="n"/>
      <c r="C96" s="44" t="n"/>
      <c r="D96" s="44" t="n"/>
      <c r="L96" s="45" t="n"/>
      <c r="O96" s="44" t="n"/>
    </row>
    <row r="97">
      <c r="A97" s="43" t="n"/>
      <c r="C97" s="44" t="n"/>
      <c r="D97" s="44" t="n"/>
      <c r="L97" s="45" t="n"/>
      <c r="O97" s="44" t="n"/>
    </row>
    <row r="98">
      <c r="A98" s="43" t="n"/>
      <c r="C98" s="44" t="n"/>
      <c r="D98" s="44" t="n"/>
      <c r="L98" s="45" t="n"/>
      <c r="O98" s="44" t="n"/>
    </row>
    <row r="99">
      <c r="A99" s="43" t="n"/>
      <c r="C99" s="44" t="n"/>
      <c r="D99" s="44" t="n"/>
      <c r="L99" s="45" t="n"/>
      <c r="O99" s="44" t="n"/>
    </row>
    <row r="100">
      <c r="A100" s="43" t="n"/>
      <c r="C100" s="44" t="n"/>
      <c r="D100" s="44" t="n"/>
      <c r="L100" s="45" t="n"/>
      <c r="O100" s="44" t="n"/>
    </row>
    <row r="101">
      <c r="A101" s="43" t="n"/>
      <c r="C101" s="44" t="n"/>
      <c r="D101" s="44" t="n"/>
      <c r="L101" s="45" t="n"/>
      <c r="O101" s="44" t="n"/>
    </row>
    <row r="102">
      <c r="A102" s="43" t="n"/>
      <c r="C102" s="44" t="n"/>
      <c r="D102" s="44" t="n"/>
      <c r="L102" s="45" t="n"/>
      <c r="O102" s="44" t="n"/>
    </row>
    <row r="103">
      <c r="A103" s="43" t="n"/>
      <c r="C103" s="44" t="n"/>
      <c r="D103" s="44" t="n"/>
      <c r="L103" s="45" t="n"/>
      <c r="O103" s="44" t="n"/>
    </row>
    <row r="104">
      <c r="A104" s="43" t="n"/>
      <c r="C104" s="44" t="n"/>
      <c r="D104" s="44" t="n"/>
      <c r="L104" s="45" t="n"/>
      <c r="O104" s="44" t="n"/>
    </row>
    <row r="105">
      <c r="A105" s="43" t="n"/>
      <c r="C105" s="44" t="n"/>
      <c r="D105" s="44" t="n"/>
      <c r="L105" s="45" t="n"/>
      <c r="O105" s="44" t="n"/>
    </row>
    <row r="106">
      <c r="A106" s="43" t="n"/>
      <c r="C106" s="44" t="n"/>
      <c r="D106" s="44" t="n"/>
      <c r="L106" s="45" t="n"/>
      <c r="O106" s="44" t="n"/>
    </row>
    <row r="107">
      <c r="A107" s="43" t="n"/>
      <c r="C107" s="44" t="n"/>
      <c r="D107" s="44" t="n"/>
      <c r="L107" s="45" t="n"/>
      <c r="O107" s="44" t="n"/>
    </row>
    <row r="108">
      <c r="A108" s="43" t="n"/>
      <c r="C108" s="44" t="n"/>
      <c r="D108" s="44" t="n"/>
      <c r="L108" s="45" t="n"/>
      <c r="O108" s="44" t="n"/>
    </row>
    <row r="109">
      <c r="A109" s="43" t="n"/>
      <c r="C109" s="44" t="n"/>
      <c r="D109" s="44" t="n"/>
      <c r="L109" s="45" t="n"/>
      <c r="O109" s="44" t="n"/>
    </row>
    <row r="110">
      <c r="A110" s="43" t="n"/>
      <c r="C110" s="44" t="n"/>
      <c r="D110" s="44" t="n"/>
      <c r="L110" s="45" t="n"/>
      <c r="O110" s="44" t="n"/>
    </row>
    <row r="111">
      <c r="A111" s="43" t="n"/>
      <c r="C111" s="44" t="n"/>
      <c r="D111" s="44" t="n"/>
      <c r="L111" s="45" t="n"/>
      <c r="O111" s="44" t="n"/>
    </row>
    <row r="112">
      <c r="A112" s="43" t="n"/>
      <c r="C112" s="44" t="n"/>
      <c r="D112" s="44" t="n"/>
      <c r="L112" s="45" t="n"/>
      <c r="O112" s="44" t="n"/>
    </row>
    <row r="113">
      <c r="A113" s="43" t="n"/>
      <c r="C113" s="44" t="n"/>
      <c r="D113" s="44" t="n"/>
      <c r="L113" s="45" t="n"/>
      <c r="O113" s="44" t="n"/>
    </row>
    <row r="114">
      <c r="A114" s="43" t="n"/>
      <c r="C114" s="44" t="n"/>
      <c r="D114" s="44" t="n"/>
      <c r="L114" s="45" t="n"/>
      <c r="O114" s="44" t="n"/>
    </row>
    <row r="115">
      <c r="A115" s="43" t="n"/>
      <c r="C115" s="44" t="n"/>
      <c r="D115" s="44" t="n"/>
      <c r="L115" s="45" t="n"/>
      <c r="O115" s="44" t="n"/>
    </row>
    <row r="116">
      <c r="A116" s="43" t="n"/>
      <c r="C116" s="44" t="n"/>
      <c r="D116" s="44" t="n"/>
      <c r="L116" s="45" t="n"/>
      <c r="O116" s="44" t="n"/>
    </row>
    <row r="117">
      <c r="A117" s="43" t="n"/>
      <c r="C117" s="44" t="n"/>
      <c r="D117" s="44" t="n"/>
      <c r="L117" s="45" t="n"/>
      <c r="O117" s="44" t="n"/>
    </row>
    <row r="118">
      <c r="A118" s="43" t="n"/>
      <c r="C118" s="44" t="n"/>
      <c r="D118" s="44" t="n"/>
      <c r="L118" s="45" t="n"/>
      <c r="O118" s="44" t="n"/>
    </row>
    <row r="119">
      <c r="A119" s="43" t="n"/>
      <c r="C119" s="44" t="n"/>
      <c r="D119" s="44" t="n"/>
      <c r="L119" s="45" t="n"/>
      <c r="O119" s="44" t="n"/>
    </row>
    <row r="120">
      <c r="A120" s="43" t="n"/>
      <c r="C120" s="44" t="n"/>
      <c r="D120" s="44" t="n"/>
      <c r="L120" s="45" t="n"/>
      <c r="O120" s="44" t="n"/>
    </row>
    <row r="121">
      <c r="A121" s="43" t="n"/>
      <c r="C121" s="44" t="n"/>
      <c r="D121" s="44" t="n"/>
      <c r="L121" s="45" t="n"/>
      <c r="O121" s="44" t="n"/>
    </row>
    <row r="122">
      <c r="A122" s="43" t="n"/>
      <c r="C122" s="44" t="n"/>
      <c r="D122" s="44" t="n"/>
      <c r="L122" s="45" t="n"/>
      <c r="O122" s="44" t="n"/>
    </row>
    <row r="123">
      <c r="A123" s="43" t="n"/>
      <c r="C123" s="44" t="n"/>
      <c r="D123" s="44" t="n"/>
      <c r="L123" s="45" t="n"/>
      <c r="O123" s="44" t="n"/>
    </row>
    <row r="124">
      <c r="A124" s="43" t="n"/>
      <c r="C124" s="44" t="n"/>
      <c r="D124" s="44" t="n"/>
      <c r="L124" s="45" t="n"/>
      <c r="O124" s="44" t="n"/>
    </row>
    <row r="125">
      <c r="A125" s="43" t="n"/>
      <c r="C125" s="44" t="n"/>
      <c r="D125" s="44" t="n"/>
      <c r="L125" s="45" t="n"/>
      <c r="O125" s="44" t="n"/>
    </row>
    <row r="126">
      <c r="A126" s="43" t="n"/>
      <c r="C126" s="44" t="n"/>
      <c r="D126" s="44" t="n"/>
      <c r="L126" s="45" t="n"/>
      <c r="O126" s="44" t="n"/>
    </row>
    <row r="127">
      <c r="A127" s="43" t="n"/>
      <c r="C127" s="44" t="n"/>
      <c r="D127" s="44" t="n"/>
      <c r="L127" s="45" t="n"/>
      <c r="O127" s="44" t="n"/>
    </row>
    <row r="128">
      <c r="A128" s="43" t="n"/>
      <c r="C128" s="44" t="n"/>
      <c r="D128" s="44" t="n"/>
      <c r="L128" s="45" t="n"/>
      <c r="O128" s="44" t="n"/>
    </row>
    <row r="129">
      <c r="A129" s="43" t="n"/>
      <c r="C129" s="44" t="n"/>
      <c r="D129" s="44" t="n"/>
      <c r="L129" s="45" t="n"/>
      <c r="O129" s="44" t="n"/>
    </row>
    <row r="130">
      <c r="A130" s="43" t="n"/>
      <c r="C130" s="44" t="n"/>
      <c r="D130" s="44" t="n"/>
      <c r="L130" s="45" t="n"/>
      <c r="O130" s="44" t="n"/>
    </row>
    <row r="131">
      <c r="A131" s="43" t="n"/>
      <c r="C131" s="44" t="n"/>
      <c r="D131" s="44" t="n"/>
      <c r="L131" s="45" t="n"/>
      <c r="O131" s="44" t="n"/>
    </row>
    <row r="132">
      <c r="A132" s="43" t="n"/>
      <c r="C132" s="44" t="n"/>
      <c r="D132" s="44" t="n"/>
      <c r="L132" s="45" t="n"/>
      <c r="O132" s="44" t="n"/>
    </row>
    <row r="133">
      <c r="A133" s="43" t="n"/>
      <c r="C133" s="44" t="n"/>
      <c r="D133" s="44" t="n"/>
      <c r="L133" s="45" t="n"/>
      <c r="O133" s="44" t="n"/>
    </row>
    <row r="134">
      <c r="A134" s="43" t="n"/>
      <c r="C134" s="44" t="n"/>
      <c r="D134" s="44" t="n"/>
      <c r="L134" s="45" t="n"/>
      <c r="O134" s="44" t="n"/>
    </row>
    <row r="135">
      <c r="A135" s="43" t="n"/>
      <c r="C135" s="44" t="n"/>
      <c r="D135" s="44" t="n"/>
      <c r="L135" s="45" t="n"/>
      <c r="O135" s="44" t="n"/>
    </row>
    <row r="136">
      <c r="A136" s="43" t="n"/>
      <c r="C136" s="44" t="n"/>
      <c r="D136" s="44" t="n"/>
      <c r="L136" s="45" t="n"/>
      <c r="O136" s="44" t="n"/>
    </row>
    <row r="137">
      <c r="A137" s="43" t="n"/>
      <c r="C137" s="44" t="n"/>
      <c r="D137" s="44" t="n"/>
      <c r="L137" s="45" t="n"/>
      <c r="O137" s="44" t="n"/>
    </row>
    <row r="138">
      <c r="A138" s="43" t="n"/>
      <c r="C138" s="44" t="n"/>
      <c r="D138" s="44" t="n"/>
      <c r="L138" s="45" t="n"/>
      <c r="O138" s="44" t="n"/>
    </row>
    <row r="139">
      <c r="A139" s="43" t="n"/>
      <c r="C139" s="44" t="n"/>
      <c r="D139" s="44" t="n"/>
      <c r="L139" s="45" t="n"/>
      <c r="O139" s="44" t="n"/>
    </row>
    <row r="140">
      <c r="A140" s="43" t="n"/>
      <c r="C140" s="44" t="n"/>
      <c r="D140" s="44" t="n"/>
      <c r="L140" s="45" t="n"/>
      <c r="O140" s="44" t="n"/>
    </row>
    <row r="141">
      <c r="A141" s="43" t="n"/>
      <c r="C141" s="44" t="n"/>
      <c r="D141" s="44" t="n"/>
      <c r="L141" s="45" t="n"/>
      <c r="O141" s="44" t="n"/>
    </row>
    <row r="142">
      <c r="A142" s="43" t="n"/>
      <c r="C142" s="44" t="n"/>
      <c r="D142" s="44" t="n"/>
      <c r="L142" s="45" t="n"/>
      <c r="O142" s="44" t="n"/>
    </row>
    <row r="143">
      <c r="A143" s="43" t="n"/>
      <c r="C143" s="44" t="n"/>
      <c r="D143" s="44" t="n"/>
      <c r="L143" s="45" t="n"/>
      <c r="O143" s="44" t="n"/>
    </row>
    <row r="144">
      <c r="A144" s="43" t="n"/>
      <c r="C144" s="44" t="n"/>
      <c r="D144" s="44" t="n"/>
      <c r="L144" s="45" t="n"/>
      <c r="O144" s="44" t="n"/>
    </row>
    <row r="145">
      <c r="A145" s="43" t="n"/>
      <c r="C145" s="44" t="n"/>
      <c r="D145" s="44" t="n"/>
      <c r="L145" s="45" t="n"/>
      <c r="O145" s="44" t="n"/>
    </row>
    <row r="146">
      <c r="A146" s="43" t="n"/>
      <c r="C146" s="44" t="n"/>
      <c r="D146" s="44" t="n"/>
      <c r="L146" s="45" t="n"/>
      <c r="O146" s="44" t="n"/>
    </row>
    <row r="147">
      <c r="A147" s="43" t="n"/>
      <c r="C147" s="44" t="n"/>
      <c r="D147" s="44" t="n"/>
      <c r="L147" s="45" t="n"/>
      <c r="O147" s="44" t="n"/>
    </row>
    <row r="148">
      <c r="A148" s="43" t="n"/>
      <c r="C148" s="44" t="n"/>
      <c r="D148" s="44" t="n"/>
      <c r="L148" s="45" t="n"/>
      <c r="O148" s="44" t="n"/>
    </row>
    <row r="149">
      <c r="A149" s="43" t="n"/>
      <c r="C149" s="44" t="n"/>
      <c r="D149" s="44" t="n"/>
      <c r="L149" s="45" t="n"/>
      <c r="O149" s="44" t="n"/>
    </row>
    <row r="150">
      <c r="A150" s="43" t="n"/>
      <c r="C150" s="44" t="n"/>
      <c r="D150" s="44" t="n"/>
      <c r="L150" s="45" t="n"/>
      <c r="O150" s="44" t="n"/>
    </row>
    <row r="151">
      <c r="A151" s="43" t="n"/>
      <c r="C151" s="44" t="n"/>
      <c r="D151" s="44" t="n"/>
      <c r="L151" s="45" t="n"/>
      <c r="O151" s="44" t="n"/>
    </row>
    <row r="152">
      <c r="A152" s="43" t="n"/>
      <c r="C152" s="44" t="n"/>
      <c r="D152" s="44" t="n"/>
      <c r="L152" s="45" t="n"/>
      <c r="O152" s="44" t="n"/>
    </row>
    <row r="153">
      <c r="A153" s="43" t="n"/>
      <c r="C153" s="44" t="n"/>
      <c r="D153" s="44" t="n"/>
      <c r="L153" s="45" t="n"/>
      <c r="O153" s="44" t="n"/>
    </row>
    <row r="154">
      <c r="A154" s="43" t="n"/>
      <c r="C154" s="44" t="n"/>
      <c r="D154" s="44" t="n"/>
      <c r="L154" s="45" t="n"/>
      <c r="O154" s="44" t="n"/>
    </row>
    <row r="155">
      <c r="A155" s="43" t="n"/>
      <c r="C155" s="44" t="n"/>
      <c r="D155" s="44" t="n"/>
      <c r="L155" s="45" t="n"/>
      <c r="O155" s="44" t="n"/>
    </row>
    <row r="156">
      <c r="A156" s="43" t="n"/>
      <c r="C156" s="44" t="n"/>
      <c r="D156" s="44" t="n"/>
      <c r="L156" s="45" t="n"/>
      <c r="O156" s="44" t="n"/>
    </row>
    <row r="157">
      <c r="A157" s="43" t="n"/>
      <c r="C157" s="44" t="n"/>
      <c r="D157" s="44" t="n"/>
      <c r="L157" s="45" t="n"/>
      <c r="O157" s="44" t="n"/>
    </row>
    <row r="158">
      <c r="A158" s="43" t="n"/>
      <c r="C158" s="44" t="n"/>
      <c r="D158" s="44" t="n"/>
      <c r="L158" s="45" t="n"/>
      <c r="O158" s="44" t="n"/>
    </row>
    <row r="159">
      <c r="A159" s="43" t="n"/>
      <c r="C159" s="44" t="n"/>
      <c r="D159" s="44" t="n"/>
      <c r="L159" s="45" t="n"/>
      <c r="O159" s="44" t="n"/>
    </row>
    <row r="160">
      <c r="A160" s="43" t="n"/>
      <c r="C160" s="44" t="n"/>
      <c r="D160" s="44" t="n"/>
      <c r="L160" s="45" t="n"/>
      <c r="O160" s="44" t="n"/>
    </row>
    <row r="161">
      <c r="A161" s="43" t="n"/>
      <c r="C161" s="44" t="n"/>
      <c r="D161" s="44" t="n"/>
      <c r="L161" s="45" t="n"/>
      <c r="O161" s="44" t="n"/>
    </row>
    <row r="162">
      <c r="A162" s="43" t="n"/>
      <c r="C162" s="44" t="n"/>
      <c r="D162" s="44" t="n"/>
      <c r="L162" s="45" t="n"/>
      <c r="O162" s="44" t="n"/>
    </row>
    <row r="163">
      <c r="A163" s="43" t="n"/>
      <c r="C163" s="44" t="n"/>
      <c r="D163" s="44" t="n"/>
      <c r="L163" s="45" t="n"/>
      <c r="O163" s="44" t="n"/>
    </row>
    <row r="164">
      <c r="A164" s="43" t="n"/>
      <c r="C164" s="44" t="n"/>
      <c r="D164" s="44" t="n"/>
      <c r="L164" s="45" t="n"/>
      <c r="O164" s="44" t="n"/>
    </row>
    <row r="165">
      <c r="A165" s="43" t="n"/>
      <c r="C165" s="44" t="n"/>
      <c r="D165" s="44" t="n"/>
      <c r="L165" s="45" t="n"/>
      <c r="O165" s="44" t="n"/>
    </row>
    <row r="166">
      <c r="A166" s="43" t="n"/>
      <c r="C166" s="44" t="n"/>
      <c r="D166" s="44" t="n"/>
      <c r="L166" s="45" t="n"/>
      <c r="O166" s="44" t="n"/>
    </row>
    <row r="167">
      <c r="A167" s="43" t="n"/>
      <c r="C167" s="44" t="n"/>
      <c r="D167" s="44" t="n"/>
      <c r="L167" s="45" t="n"/>
      <c r="O167" s="44" t="n"/>
    </row>
    <row r="168">
      <c r="A168" s="43" t="n"/>
      <c r="C168" s="44" t="n"/>
      <c r="D168" s="44" t="n"/>
      <c r="L168" s="45" t="n"/>
      <c r="O168" s="44" t="n"/>
    </row>
    <row r="169">
      <c r="A169" s="43" t="n"/>
      <c r="C169" s="44" t="n"/>
      <c r="D169" s="44" t="n"/>
      <c r="L169" s="45" t="n"/>
      <c r="O169" s="44" t="n"/>
    </row>
    <row r="170">
      <c r="A170" s="43" t="n"/>
      <c r="C170" s="44" t="n"/>
      <c r="D170" s="44" t="n"/>
      <c r="L170" s="45" t="n"/>
      <c r="O170" s="44" t="n"/>
    </row>
    <row r="171">
      <c r="A171" s="43" t="n"/>
      <c r="C171" s="44" t="n"/>
      <c r="D171" s="44" t="n"/>
      <c r="L171" s="45" t="n"/>
      <c r="O171" s="44" t="n"/>
    </row>
    <row r="172">
      <c r="A172" s="43" t="n"/>
      <c r="C172" s="44" t="n"/>
      <c r="D172" s="44" t="n"/>
      <c r="L172" s="45" t="n"/>
      <c r="O172" s="44" t="n"/>
    </row>
    <row r="173">
      <c r="A173" s="43" t="n"/>
      <c r="C173" s="44" t="n"/>
      <c r="D173" s="44" t="n"/>
      <c r="L173" s="45" t="n"/>
      <c r="O173" s="44" t="n"/>
    </row>
    <row r="174">
      <c r="A174" s="43" t="n"/>
      <c r="C174" s="44" t="n"/>
      <c r="D174" s="44" t="n"/>
      <c r="L174" s="45" t="n"/>
      <c r="O174" s="44" t="n"/>
    </row>
    <row r="175">
      <c r="A175" s="43" t="n"/>
      <c r="C175" s="44" t="n"/>
      <c r="D175" s="44" t="n"/>
      <c r="L175" s="45" t="n"/>
      <c r="O175" s="44" t="n"/>
    </row>
    <row r="176">
      <c r="A176" s="43" t="n"/>
      <c r="C176" s="44" t="n"/>
      <c r="D176" s="44" t="n"/>
      <c r="L176" s="45" t="n"/>
      <c r="O176" s="44" t="n"/>
    </row>
    <row r="177">
      <c r="A177" s="43" t="n"/>
      <c r="C177" s="44" t="n"/>
      <c r="D177" s="44" t="n"/>
      <c r="L177" s="45" t="n"/>
      <c r="O177" s="44" t="n"/>
    </row>
    <row r="178">
      <c r="A178" s="43" t="n"/>
      <c r="C178" s="44" t="n"/>
      <c r="D178" s="44" t="n"/>
      <c r="L178" s="45" t="n"/>
      <c r="O178" s="44" t="n"/>
    </row>
    <row r="179">
      <c r="A179" s="43" t="n"/>
      <c r="C179" s="44" t="n"/>
      <c r="D179" s="44" t="n"/>
      <c r="L179" s="45" t="n"/>
      <c r="O179" s="44" t="n"/>
    </row>
    <row r="180">
      <c r="A180" s="43" t="n"/>
      <c r="C180" s="44" t="n"/>
      <c r="D180" s="44" t="n"/>
      <c r="L180" s="45" t="n"/>
      <c r="O180" s="44" t="n"/>
    </row>
    <row r="181">
      <c r="A181" s="43" t="n"/>
      <c r="C181" s="44" t="n"/>
      <c r="D181" s="44" t="n"/>
      <c r="L181" s="45" t="n"/>
      <c r="O181" s="44" t="n"/>
    </row>
    <row r="182">
      <c r="A182" s="43" t="n"/>
      <c r="C182" s="44" t="n"/>
      <c r="D182" s="44" t="n"/>
      <c r="L182" s="45" t="n"/>
      <c r="O182" s="44" t="n"/>
    </row>
    <row r="183">
      <c r="A183" s="43" t="n"/>
      <c r="C183" s="44" t="n"/>
      <c r="D183" s="44" t="n"/>
      <c r="L183" s="45" t="n"/>
      <c r="O183" s="44" t="n"/>
    </row>
    <row r="184">
      <c r="A184" s="43" t="n"/>
      <c r="C184" s="44" t="n"/>
      <c r="D184" s="44" t="n"/>
      <c r="L184" s="45" t="n"/>
      <c r="O184" s="44" t="n"/>
    </row>
    <row r="185">
      <c r="A185" s="43" t="n"/>
      <c r="C185" s="44" t="n"/>
      <c r="D185" s="44" t="n"/>
      <c r="L185" s="45" t="n"/>
      <c r="O185" s="44" t="n"/>
    </row>
    <row r="186">
      <c r="A186" s="43" t="n"/>
      <c r="C186" s="44" t="n"/>
      <c r="D186" s="44" t="n"/>
      <c r="L186" s="45" t="n"/>
      <c r="O186" s="44" t="n"/>
    </row>
    <row r="187">
      <c r="A187" s="43" t="n"/>
      <c r="C187" s="44" t="n"/>
      <c r="D187" s="44" t="n"/>
      <c r="L187" s="45" t="n"/>
      <c r="O187" s="44" t="n"/>
    </row>
    <row r="188">
      <c r="A188" s="43" t="n"/>
      <c r="C188" s="44" t="n"/>
      <c r="D188" s="44" t="n"/>
      <c r="L188" s="45" t="n"/>
      <c r="O188" s="44" t="n"/>
    </row>
    <row r="189">
      <c r="A189" s="43" t="n"/>
      <c r="C189" s="44" t="n"/>
      <c r="D189" s="44" t="n"/>
      <c r="L189" s="45" t="n"/>
      <c r="O189" s="44" t="n"/>
    </row>
    <row r="190">
      <c r="A190" s="43" t="n"/>
      <c r="C190" s="44" t="n"/>
      <c r="D190" s="44" t="n"/>
      <c r="L190" s="45" t="n"/>
      <c r="O190" s="44" t="n"/>
    </row>
    <row r="191">
      <c r="A191" s="43" t="n"/>
      <c r="C191" s="44" t="n"/>
      <c r="D191" s="44" t="n"/>
      <c r="L191" s="45" t="n"/>
      <c r="O191" s="44" t="n"/>
    </row>
    <row r="192">
      <c r="A192" s="43" t="n"/>
      <c r="C192" s="44" t="n"/>
      <c r="D192" s="44" t="n"/>
      <c r="L192" s="45" t="n"/>
      <c r="O192" s="44" t="n"/>
    </row>
    <row r="193">
      <c r="A193" s="43" t="n"/>
      <c r="C193" s="44" t="n"/>
      <c r="D193" s="44" t="n"/>
      <c r="L193" s="45" t="n"/>
      <c r="O193" s="44" t="n"/>
    </row>
    <row r="194">
      <c r="A194" s="43" t="n"/>
      <c r="C194" s="44" t="n"/>
      <c r="D194" s="44" t="n"/>
      <c r="L194" s="45" t="n"/>
      <c r="O194" s="44" t="n"/>
    </row>
    <row r="195">
      <c r="A195" s="43" t="n"/>
      <c r="C195" s="44" t="n"/>
      <c r="D195" s="44" t="n"/>
      <c r="L195" s="45" t="n"/>
      <c r="O195" s="44" t="n"/>
    </row>
    <row r="196">
      <c r="A196" s="43" t="n"/>
      <c r="C196" s="44" t="n"/>
      <c r="D196" s="44" t="n"/>
      <c r="L196" s="45" t="n"/>
      <c r="O196" s="44" t="n"/>
    </row>
    <row r="197">
      <c r="A197" s="43" t="n"/>
      <c r="C197" s="44" t="n"/>
      <c r="D197" s="44" t="n"/>
      <c r="L197" s="45" t="n"/>
      <c r="O197" s="44" t="n"/>
    </row>
    <row r="198">
      <c r="A198" s="43" t="n"/>
      <c r="C198" s="44" t="n"/>
      <c r="D198" s="44" t="n"/>
      <c r="L198" s="45" t="n"/>
      <c r="O198" s="44" t="n"/>
    </row>
    <row r="199">
      <c r="A199" s="43" t="n"/>
      <c r="C199" s="44" t="n"/>
      <c r="D199" s="44" t="n"/>
      <c r="L199" s="45" t="n"/>
      <c r="O199" s="44" t="n"/>
    </row>
    <row r="200">
      <c r="A200" s="43" t="n"/>
      <c r="C200" s="44" t="n"/>
      <c r="D200" s="44" t="n"/>
      <c r="L200" s="45" t="n"/>
      <c r="O200" s="44" t="n"/>
    </row>
    <row r="201">
      <c r="A201" s="43" t="n"/>
      <c r="C201" s="44" t="n"/>
      <c r="D201" s="44" t="n"/>
      <c r="L201" s="45" t="n"/>
      <c r="O201" s="44" t="n"/>
    </row>
    <row r="202">
      <c r="A202" s="43" t="n"/>
      <c r="C202" s="44" t="n"/>
      <c r="D202" s="44" t="n"/>
      <c r="L202" s="45" t="n"/>
      <c r="O202" s="44" t="n"/>
    </row>
    <row r="203">
      <c r="A203" s="43" t="n"/>
      <c r="C203" s="44" t="n"/>
      <c r="D203" s="44" t="n"/>
      <c r="L203" s="45" t="n"/>
      <c r="O203" s="44" t="n"/>
    </row>
    <row r="204">
      <c r="A204" s="43" t="n"/>
      <c r="C204" s="44" t="n"/>
      <c r="D204" s="44" t="n"/>
      <c r="L204" s="45" t="n"/>
      <c r="O204" s="44" t="n"/>
    </row>
    <row r="205">
      <c r="A205" s="43" t="n"/>
      <c r="C205" s="44" t="n"/>
      <c r="D205" s="44" t="n"/>
      <c r="L205" s="45" t="n"/>
      <c r="O205" s="44" t="n"/>
    </row>
    <row r="206">
      <c r="A206" s="43" t="n"/>
      <c r="C206" s="44" t="n"/>
      <c r="D206" s="44" t="n"/>
      <c r="L206" s="45" t="n"/>
      <c r="O206" s="44" t="n"/>
    </row>
    <row r="207">
      <c r="A207" s="43" t="n"/>
      <c r="C207" s="44" t="n"/>
      <c r="D207" s="44" t="n"/>
      <c r="L207" s="45" t="n"/>
      <c r="O207" s="44" t="n"/>
    </row>
    <row r="208">
      <c r="A208" s="43" t="n"/>
      <c r="C208" s="44" t="n"/>
      <c r="D208" s="44" t="n"/>
      <c r="L208" s="45" t="n"/>
      <c r="O208" s="44" t="n"/>
    </row>
    <row r="209">
      <c r="A209" s="43" t="n"/>
      <c r="C209" s="44" t="n"/>
      <c r="D209" s="44" t="n"/>
      <c r="L209" s="45" t="n"/>
      <c r="O209" s="44" t="n"/>
    </row>
    <row r="210">
      <c r="A210" s="43" t="n"/>
      <c r="C210" s="44" t="n"/>
      <c r="D210" s="44" t="n"/>
      <c r="L210" s="45" t="n"/>
      <c r="O210" s="44" t="n"/>
    </row>
    <row r="211">
      <c r="A211" s="43" t="n"/>
      <c r="C211" s="44" t="n"/>
      <c r="D211" s="44" t="n"/>
      <c r="L211" s="45" t="n"/>
      <c r="O211" s="44" t="n"/>
    </row>
    <row r="212">
      <c r="A212" s="43" t="n"/>
      <c r="C212" s="44" t="n"/>
      <c r="D212" s="44" t="n"/>
      <c r="L212" s="45" t="n"/>
      <c r="O212" s="44" t="n"/>
    </row>
    <row r="213">
      <c r="A213" s="43" t="n"/>
      <c r="C213" s="44" t="n"/>
      <c r="D213" s="44" t="n"/>
      <c r="L213" s="45" t="n"/>
      <c r="O213" s="44" t="n"/>
    </row>
    <row r="214">
      <c r="A214" s="43" t="n"/>
      <c r="C214" s="44" t="n"/>
      <c r="D214" s="44" t="n"/>
      <c r="L214" s="45" t="n"/>
      <c r="O214" s="44" t="n"/>
    </row>
    <row r="215">
      <c r="A215" s="43" t="n"/>
      <c r="C215" s="44" t="n"/>
      <c r="D215" s="44" t="n"/>
      <c r="L215" s="45" t="n"/>
      <c r="O215" s="44" t="n"/>
    </row>
    <row r="216">
      <c r="A216" s="43" t="n"/>
      <c r="C216" s="44" t="n"/>
      <c r="D216" s="44" t="n"/>
      <c r="L216" s="45" t="n"/>
      <c r="O216" s="44" t="n"/>
    </row>
    <row r="217">
      <c r="A217" s="43" t="n"/>
      <c r="C217" s="44" t="n"/>
      <c r="D217" s="44" t="n"/>
      <c r="L217" s="45" t="n"/>
      <c r="O217" s="44" t="n"/>
    </row>
    <row r="218">
      <c r="A218" s="43" t="n"/>
      <c r="C218" s="44" t="n"/>
      <c r="D218" s="44" t="n"/>
      <c r="L218" s="45" t="n"/>
      <c r="O218" s="44" t="n"/>
    </row>
    <row r="219">
      <c r="A219" s="43" t="n"/>
      <c r="C219" s="44" t="n"/>
      <c r="D219" s="44" t="n"/>
      <c r="L219" s="45" t="n"/>
      <c r="O219" s="44" t="n"/>
    </row>
    <row r="220">
      <c r="A220" s="43" t="n"/>
      <c r="C220" s="44" t="n"/>
      <c r="D220" s="44" t="n"/>
      <c r="L220" s="45" t="n"/>
      <c r="O220" s="44" t="n"/>
    </row>
    <row r="221">
      <c r="A221" s="43" t="n"/>
      <c r="C221" s="44" t="n"/>
      <c r="D221" s="44" t="n"/>
      <c r="L221" s="45" t="n"/>
      <c r="O221" s="44" t="n"/>
    </row>
    <row r="222">
      <c r="A222" s="43" t="n"/>
      <c r="C222" s="44" t="n"/>
      <c r="D222" s="44" t="n"/>
      <c r="L222" s="45" t="n"/>
      <c r="O222" s="44" t="n"/>
    </row>
    <row r="223">
      <c r="A223" s="43" t="n"/>
      <c r="C223" s="44" t="n"/>
      <c r="D223" s="44" t="n"/>
      <c r="L223" s="45" t="n"/>
      <c r="O223" s="44" t="n"/>
    </row>
    <row r="224">
      <c r="A224" s="43" t="n"/>
      <c r="C224" s="44" t="n"/>
      <c r="D224" s="44" t="n"/>
      <c r="L224" s="45" t="n"/>
      <c r="O224" s="44" t="n"/>
    </row>
    <row r="225">
      <c r="A225" s="43" t="n"/>
      <c r="C225" s="44" t="n"/>
      <c r="D225" s="44" t="n"/>
      <c r="L225" s="45" t="n"/>
      <c r="O225" s="44" t="n"/>
    </row>
    <row r="226">
      <c r="A226" s="43" t="n"/>
      <c r="C226" s="44" t="n"/>
      <c r="D226" s="44" t="n"/>
      <c r="L226" s="45" t="n"/>
      <c r="O226" s="44" t="n"/>
    </row>
    <row r="227">
      <c r="A227" s="43" t="n"/>
      <c r="C227" s="44" t="n"/>
      <c r="D227" s="44" t="n"/>
      <c r="L227" s="45" t="n"/>
      <c r="O227" s="44" t="n"/>
    </row>
    <row r="228">
      <c r="A228" s="43" t="n"/>
      <c r="C228" s="44" t="n"/>
      <c r="D228" s="44" t="n"/>
      <c r="L228" s="45" t="n"/>
      <c r="O228" s="44" t="n"/>
    </row>
    <row r="229">
      <c r="A229" s="43" t="n"/>
      <c r="C229" s="44" t="n"/>
      <c r="D229" s="44" t="n"/>
      <c r="L229" s="45" t="n"/>
      <c r="O229" s="44" t="n"/>
    </row>
    <row r="230">
      <c r="A230" s="43" t="n"/>
      <c r="C230" s="44" t="n"/>
      <c r="D230" s="44" t="n"/>
      <c r="L230" s="45" t="n"/>
      <c r="O230" s="44" t="n"/>
    </row>
    <row r="231">
      <c r="A231" s="43" t="n"/>
      <c r="C231" s="44" t="n"/>
      <c r="D231" s="44" t="n"/>
      <c r="L231" s="45" t="n"/>
      <c r="O231" s="44" t="n"/>
    </row>
    <row r="232">
      <c r="A232" s="43" t="n"/>
      <c r="C232" s="44" t="n"/>
      <c r="D232" s="44" t="n"/>
      <c r="L232" s="45" t="n"/>
      <c r="O232" s="44" t="n"/>
    </row>
    <row r="233">
      <c r="A233" s="43" t="n"/>
      <c r="C233" s="44" t="n"/>
      <c r="D233" s="44" t="n"/>
      <c r="L233" s="45" t="n"/>
      <c r="O233" s="44" t="n"/>
    </row>
    <row r="234">
      <c r="A234" s="43" t="n"/>
      <c r="C234" s="44" t="n"/>
      <c r="D234" s="44" t="n"/>
      <c r="L234" s="45" t="n"/>
      <c r="O234" s="44" t="n"/>
    </row>
    <row r="235">
      <c r="A235" s="43" t="n"/>
      <c r="C235" s="44" t="n"/>
      <c r="D235" s="44" t="n"/>
      <c r="L235" s="45" t="n"/>
      <c r="O235" s="44" t="n"/>
    </row>
    <row r="236">
      <c r="A236" s="43" t="n"/>
      <c r="C236" s="44" t="n"/>
      <c r="D236" s="44" t="n"/>
      <c r="L236" s="45" t="n"/>
      <c r="O236" s="44" t="n"/>
    </row>
    <row r="237">
      <c r="A237" s="43" t="n"/>
      <c r="C237" s="44" t="n"/>
      <c r="D237" s="44" t="n"/>
      <c r="L237" s="45" t="n"/>
      <c r="O237" s="44" t="n"/>
    </row>
    <row r="238">
      <c r="A238" s="43" t="n"/>
      <c r="C238" s="44" t="n"/>
      <c r="D238" s="44" t="n"/>
      <c r="L238" s="45" t="n"/>
      <c r="O238" s="44" t="n"/>
    </row>
    <row r="239">
      <c r="A239" s="43" t="n"/>
      <c r="C239" s="44" t="n"/>
      <c r="D239" s="44" t="n"/>
      <c r="L239" s="45" t="n"/>
      <c r="O239" s="44" t="n"/>
    </row>
    <row r="240">
      <c r="A240" s="43" t="n"/>
      <c r="C240" s="44" t="n"/>
      <c r="D240" s="44" t="n"/>
      <c r="L240" s="45" t="n"/>
      <c r="O240" s="44" t="n"/>
    </row>
    <row r="241">
      <c r="A241" s="43" t="n"/>
      <c r="C241" s="44" t="n"/>
      <c r="D241" s="44" t="n"/>
      <c r="L241" s="45" t="n"/>
      <c r="O241" s="44" t="n"/>
    </row>
    <row r="242">
      <c r="A242" s="43" t="n"/>
      <c r="C242" s="44" t="n"/>
      <c r="D242" s="44" t="n"/>
      <c r="L242" s="45" t="n"/>
      <c r="O242" s="44" t="n"/>
    </row>
    <row r="243">
      <c r="A243" s="43" t="n"/>
      <c r="C243" s="44" t="n"/>
      <c r="D243" s="44" t="n"/>
      <c r="L243" s="45" t="n"/>
      <c r="O243" s="44" t="n"/>
    </row>
    <row r="244">
      <c r="A244" s="43" t="n"/>
      <c r="C244" s="44" t="n"/>
      <c r="D244" s="44" t="n"/>
      <c r="L244" s="45" t="n"/>
      <c r="O244" s="44" t="n"/>
    </row>
    <row r="245">
      <c r="A245" s="43" t="n"/>
      <c r="C245" s="44" t="n"/>
      <c r="D245" s="44" t="n"/>
      <c r="L245" s="45" t="n"/>
      <c r="O245" s="44" t="n"/>
    </row>
    <row r="246">
      <c r="A246" s="43" t="n"/>
      <c r="C246" s="44" t="n"/>
      <c r="D246" s="44" t="n"/>
      <c r="L246" s="45" t="n"/>
      <c r="O246" s="44" t="n"/>
    </row>
    <row r="247">
      <c r="A247" s="43" t="n"/>
      <c r="C247" s="44" t="n"/>
      <c r="D247" s="44" t="n"/>
      <c r="L247" s="45" t="n"/>
      <c r="O247" s="44" t="n"/>
    </row>
    <row r="248">
      <c r="A248" s="43" t="n"/>
      <c r="C248" s="44" t="n"/>
      <c r="D248" s="44" t="n"/>
      <c r="L248" s="45" t="n"/>
      <c r="O248" s="44" t="n"/>
    </row>
    <row r="249">
      <c r="A249" s="43" t="n"/>
      <c r="C249" s="44" t="n"/>
      <c r="D249" s="44" t="n"/>
      <c r="L249" s="45" t="n"/>
      <c r="O249" s="44" t="n"/>
    </row>
    <row r="250">
      <c r="A250" s="43" t="n"/>
      <c r="C250" s="44" t="n"/>
      <c r="D250" s="44" t="n"/>
      <c r="L250" s="45" t="n"/>
      <c r="O250" s="44" t="n"/>
    </row>
    <row r="251">
      <c r="A251" s="43" t="n"/>
      <c r="C251" s="44" t="n"/>
      <c r="D251" s="44" t="n"/>
      <c r="L251" s="45" t="n"/>
      <c r="O251" s="44" t="n"/>
    </row>
    <row r="252">
      <c r="A252" s="43" t="n"/>
      <c r="C252" s="44" t="n"/>
      <c r="D252" s="44" t="n"/>
      <c r="L252" s="45" t="n"/>
      <c r="O252" s="44" t="n"/>
    </row>
    <row r="253">
      <c r="A253" s="43" t="n"/>
      <c r="C253" s="44" t="n"/>
      <c r="D253" s="44" t="n"/>
      <c r="L253" s="45" t="n"/>
      <c r="O253" s="44" t="n"/>
    </row>
    <row r="254">
      <c r="A254" s="43" t="n"/>
      <c r="C254" s="44" t="n"/>
      <c r="D254" s="44" t="n"/>
      <c r="L254" s="45" t="n"/>
      <c r="O254" s="44" t="n"/>
    </row>
    <row r="255">
      <c r="A255" s="43" t="n"/>
      <c r="C255" s="44" t="n"/>
      <c r="D255" s="44" t="n"/>
      <c r="L255" s="45" t="n"/>
      <c r="O255" s="44" t="n"/>
    </row>
    <row r="256">
      <c r="A256" s="43" t="n"/>
      <c r="C256" s="44" t="n"/>
      <c r="D256" s="44" t="n"/>
      <c r="L256" s="45" t="n"/>
      <c r="O256" s="44" t="n"/>
    </row>
    <row r="257">
      <c r="A257" s="43" t="n"/>
      <c r="C257" s="44" t="n"/>
      <c r="D257" s="44" t="n"/>
      <c r="L257" s="45" t="n"/>
      <c r="O257" s="44" t="n"/>
    </row>
    <row r="258">
      <c r="A258" s="43" t="n"/>
      <c r="C258" s="44" t="n"/>
      <c r="D258" s="44" t="n"/>
      <c r="L258" s="45" t="n"/>
      <c r="O258" s="44" t="n"/>
    </row>
    <row r="259">
      <c r="A259" s="43" t="n"/>
      <c r="C259" s="44" t="n"/>
      <c r="D259" s="44" t="n"/>
      <c r="L259" s="45" t="n"/>
      <c r="O259" s="44" t="n"/>
    </row>
    <row r="260">
      <c r="A260" s="43" t="n"/>
      <c r="C260" s="44" t="n"/>
      <c r="D260" s="44" t="n"/>
      <c r="L260" s="45" t="n"/>
      <c r="O260" s="44" t="n"/>
    </row>
    <row r="261">
      <c r="A261" s="43" t="n"/>
      <c r="C261" s="44" t="n"/>
      <c r="D261" s="44" t="n"/>
      <c r="L261" s="45" t="n"/>
      <c r="O261" s="44" t="n"/>
    </row>
    <row r="262">
      <c r="A262" s="43" t="n"/>
      <c r="C262" s="44" t="n"/>
      <c r="D262" s="44" t="n"/>
      <c r="L262" s="45" t="n"/>
      <c r="O262" s="44" t="n"/>
    </row>
    <row r="263">
      <c r="A263" s="43" t="n"/>
      <c r="C263" s="44" t="n"/>
      <c r="D263" s="44" t="n"/>
      <c r="L263" s="45" t="n"/>
      <c r="O263" s="44" t="n"/>
    </row>
    <row r="264">
      <c r="A264" s="43" t="n"/>
      <c r="C264" s="44" t="n"/>
      <c r="D264" s="44" t="n"/>
      <c r="L264" s="45" t="n"/>
      <c r="O264" s="44" t="n"/>
    </row>
    <row r="265">
      <c r="A265" s="43" t="n"/>
      <c r="C265" s="44" t="n"/>
      <c r="D265" s="44" t="n"/>
      <c r="L265" s="45" t="n"/>
      <c r="O265" s="44" t="n"/>
    </row>
    <row r="266">
      <c r="A266" s="43" t="n"/>
      <c r="C266" s="44" t="n"/>
      <c r="D266" s="44" t="n"/>
      <c r="L266" s="45" t="n"/>
      <c r="O266" s="44" t="n"/>
    </row>
    <row r="267">
      <c r="A267" s="43" t="n"/>
      <c r="C267" s="44" t="n"/>
      <c r="D267" s="44" t="n"/>
      <c r="L267" s="45" t="n"/>
      <c r="O267" s="44" t="n"/>
    </row>
    <row r="268">
      <c r="A268" s="43" t="n"/>
      <c r="C268" s="44" t="n"/>
      <c r="D268" s="44" t="n"/>
      <c r="L268" s="45" t="n"/>
      <c r="O268" s="44" t="n"/>
    </row>
    <row r="269">
      <c r="A269" s="43" t="n"/>
      <c r="C269" s="44" t="n"/>
      <c r="D269" s="44" t="n"/>
      <c r="L269" s="45" t="n"/>
      <c r="O269" s="44" t="n"/>
    </row>
    <row r="270">
      <c r="A270" s="43" t="n"/>
      <c r="C270" s="44" t="n"/>
      <c r="D270" s="44" t="n"/>
      <c r="L270" s="45" t="n"/>
      <c r="O270" s="44" t="n"/>
    </row>
    <row r="271">
      <c r="A271" s="43" t="n"/>
      <c r="C271" s="44" t="n"/>
      <c r="D271" s="44" t="n"/>
      <c r="L271" s="45" t="n"/>
      <c r="O271" s="44" t="n"/>
    </row>
    <row r="272">
      <c r="A272" s="43" t="n"/>
      <c r="C272" s="44" t="n"/>
      <c r="D272" s="44" t="n"/>
      <c r="L272" s="45" t="n"/>
      <c r="O272" s="44" t="n"/>
    </row>
    <row r="273">
      <c r="A273" s="43" t="n"/>
      <c r="C273" s="44" t="n"/>
      <c r="D273" s="44" t="n"/>
      <c r="L273" s="45" t="n"/>
      <c r="O273" s="44" t="n"/>
    </row>
    <row r="274">
      <c r="A274" s="43" t="n"/>
      <c r="C274" s="44" t="n"/>
      <c r="D274" s="44" t="n"/>
      <c r="L274" s="45" t="n"/>
      <c r="O274" s="44" t="n"/>
    </row>
    <row r="275">
      <c r="A275" s="43" t="n"/>
      <c r="C275" s="44" t="n"/>
      <c r="D275" s="44" t="n"/>
      <c r="L275" s="45" t="n"/>
      <c r="O275" s="44" t="n"/>
    </row>
    <row r="276">
      <c r="A276" s="43" t="n"/>
      <c r="C276" s="44" t="n"/>
      <c r="D276" s="44" t="n"/>
      <c r="L276" s="45" t="n"/>
      <c r="O276" s="44" t="n"/>
    </row>
    <row r="277">
      <c r="A277" s="43" t="n"/>
      <c r="C277" s="44" t="n"/>
      <c r="D277" s="44" t="n"/>
      <c r="L277" s="45" t="n"/>
      <c r="O277" s="44" t="n"/>
    </row>
    <row r="278">
      <c r="A278" s="43" t="n"/>
      <c r="C278" s="44" t="n"/>
      <c r="D278" s="44" t="n"/>
      <c r="L278" s="45" t="n"/>
      <c r="O278" s="44" t="n"/>
    </row>
    <row r="279">
      <c r="A279" s="43" t="n"/>
      <c r="C279" s="44" t="n"/>
      <c r="D279" s="44" t="n"/>
      <c r="L279" s="45" t="n"/>
      <c r="O279" s="44" t="n"/>
    </row>
    <row r="280">
      <c r="A280" s="43" t="n"/>
      <c r="C280" s="44" t="n"/>
      <c r="D280" s="44" t="n"/>
      <c r="L280" s="45" t="n"/>
      <c r="O280" s="44" t="n"/>
    </row>
    <row r="281">
      <c r="A281" s="43" t="n"/>
      <c r="C281" s="44" t="n"/>
      <c r="D281" s="44" t="n"/>
      <c r="L281" s="45" t="n"/>
      <c r="O281" s="44" t="n"/>
    </row>
    <row r="282">
      <c r="A282" s="43" t="n"/>
      <c r="C282" s="44" t="n"/>
      <c r="D282" s="44" t="n"/>
      <c r="L282" s="45" t="n"/>
      <c r="O282" s="44" t="n"/>
    </row>
    <row r="283">
      <c r="A283" s="43" t="n"/>
      <c r="C283" s="44" t="n"/>
      <c r="D283" s="44" t="n"/>
      <c r="L283" s="45" t="n"/>
      <c r="O283" s="44" t="n"/>
    </row>
    <row r="284">
      <c r="A284" s="43" t="n"/>
      <c r="C284" s="44" t="n"/>
      <c r="D284" s="44" t="n"/>
      <c r="L284" s="45" t="n"/>
      <c r="O284" s="44" t="n"/>
    </row>
    <row r="285">
      <c r="A285" s="43" t="n"/>
      <c r="C285" s="44" t="n"/>
      <c r="D285" s="44" t="n"/>
      <c r="L285" s="45" t="n"/>
      <c r="O285" s="44" t="n"/>
    </row>
    <row r="286">
      <c r="A286" s="43" t="n"/>
      <c r="C286" s="44" t="n"/>
      <c r="D286" s="44" t="n"/>
      <c r="L286" s="45" t="n"/>
      <c r="O286" s="44" t="n"/>
    </row>
    <row r="287">
      <c r="A287" s="43" t="n"/>
      <c r="C287" s="44" t="n"/>
      <c r="D287" s="44" t="n"/>
      <c r="L287" s="45" t="n"/>
      <c r="O287" s="44" t="n"/>
    </row>
    <row r="288">
      <c r="A288" s="43" t="n"/>
      <c r="C288" s="44" t="n"/>
      <c r="D288" s="44" t="n"/>
      <c r="L288" s="45" t="n"/>
      <c r="O288" s="44" t="n"/>
    </row>
    <row r="289">
      <c r="A289" s="43" t="n"/>
      <c r="C289" s="44" t="n"/>
      <c r="D289" s="44" t="n"/>
      <c r="L289" s="45" t="n"/>
      <c r="O289" s="44" t="n"/>
    </row>
    <row r="290">
      <c r="A290" s="43" t="n"/>
      <c r="C290" s="44" t="n"/>
      <c r="D290" s="44" t="n"/>
      <c r="L290" s="45" t="n"/>
      <c r="O290" s="44" t="n"/>
    </row>
    <row r="291">
      <c r="A291" s="43" t="n"/>
      <c r="C291" s="44" t="n"/>
      <c r="D291" s="44" t="n"/>
      <c r="L291" s="45" t="n"/>
      <c r="O291" s="44" t="n"/>
    </row>
    <row r="292">
      <c r="A292" s="43" t="n"/>
      <c r="C292" s="44" t="n"/>
      <c r="D292" s="44" t="n"/>
      <c r="L292" s="45" t="n"/>
      <c r="O292" s="44" t="n"/>
    </row>
    <row r="293">
      <c r="A293" s="43" t="n"/>
      <c r="C293" s="44" t="n"/>
      <c r="D293" s="44" t="n"/>
      <c r="L293" s="45" t="n"/>
      <c r="O293" s="44" t="n"/>
    </row>
    <row r="294">
      <c r="A294" s="43" t="n"/>
      <c r="C294" s="44" t="n"/>
      <c r="D294" s="44" t="n"/>
      <c r="L294" s="45" t="n"/>
      <c r="O294" s="44" t="n"/>
    </row>
    <row r="295">
      <c r="A295" s="43" t="n"/>
      <c r="C295" s="44" t="n"/>
      <c r="D295" s="44" t="n"/>
      <c r="L295" s="45" t="n"/>
      <c r="O295" s="44" t="n"/>
    </row>
    <row r="296">
      <c r="A296" s="43" t="n"/>
      <c r="C296" s="44" t="n"/>
      <c r="D296" s="44" t="n"/>
      <c r="L296" s="45" t="n"/>
      <c r="O296" s="44" t="n"/>
    </row>
    <row r="297">
      <c r="A297" s="43" t="n"/>
      <c r="C297" s="44" t="n"/>
      <c r="D297" s="44" t="n"/>
      <c r="L297" s="45" t="n"/>
      <c r="O297" s="44" t="n"/>
    </row>
    <row r="298">
      <c r="A298" s="43" t="n"/>
      <c r="C298" s="44" t="n"/>
      <c r="D298" s="44" t="n"/>
      <c r="L298" s="45" t="n"/>
      <c r="O298" s="44" t="n"/>
    </row>
    <row r="299">
      <c r="A299" s="43" t="n"/>
      <c r="C299" s="44" t="n"/>
      <c r="D299" s="44" t="n"/>
      <c r="L299" s="45" t="n"/>
      <c r="O299" s="44" t="n"/>
    </row>
    <row r="300">
      <c r="A300" s="43" t="n"/>
      <c r="C300" s="44" t="n"/>
      <c r="D300" s="44" t="n"/>
      <c r="L300" s="45" t="n"/>
      <c r="O300" s="44" t="n"/>
    </row>
    <row r="301">
      <c r="A301" s="43" t="n"/>
      <c r="C301" s="44" t="n"/>
      <c r="D301" s="44" t="n"/>
      <c r="L301" s="45" t="n"/>
      <c r="O301" s="44" t="n"/>
    </row>
    <row r="302">
      <c r="A302" s="43" t="n"/>
      <c r="C302" s="44" t="n"/>
      <c r="D302" s="44" t="n"/>
      <c r="L302" s="45" t="n"/>
      <c r="O302" s="44" t="n"/>
    </row>
    <row r="303">
      <c r="A303" s="43" t="n"/>
      <c r="C303" s="44" t="n"/>
      <c r="D303" s="44" t="n"/>
      <c r="L303" s="45" t="n"/>
      <c r="O303" s="44" t="n"/>
    </row>
    <row r="304">
      <c r="A304" s="43" t="n"/>
      <c r="C304" s="44" t="n"/>
      <c r="D304" s="44" t="n"/>
      <c r="L304" s="45" t="n"/>
      <c r="O304" s="44" t="n"/>
    </row>
    <row r="305">
      <c r="A305" s="43" t="n"/>
      <c r="C305" s="44" t="n"/>
      <c r="D305" s="44" t="n"/>
      <c r="L305" s="45" t="n"/>
      <c r="O305" s="44" t="n"/>
    </row>
    <row r="306">
      <c r="A306" s="43" t="n"/>
      <c r="C306" s="44" t="n"/>
      <c r="D306" s="44" t="n"/>
      <c r="L306" s="45" t="n"/>
      <c r="O306" s="44" t="n"/>
    </row>
    <row r="307">
      <c r="A307" s="43" t="n"/>
      <c r="C307" s="44" t="n"/>
      <c r="D307" s="44" t="n"/>
      <c r="L307" s="45" t="n"/>
      <c r="O307" s="44" t="n"/>
    </row>
    <row r="308">
      <c r="A308" s="43" t="n"/>
      <c r="C308" s="44" t="n"/>
      <c r="D308" s="44" t="n"/>
      <c r="L308" s="45" t="n"/>
      <c r="O308" s="44" t="n"/>
    </row>
    <row r="309">
      <c r="A309" s="43" t="n"/>
      <c r="C309" s="44" t="n"/>
      <c r="D309" s="44" t="n"/>
      <c r="L309" s="45" t="n"/>
      <c r="O309" s="44" t="n"/>
    </row>
    <row r="310">
      <c r="A310" s="43" t="n"/>
      <c r="C310" s="44" t="n"/>
      <c r="D310" s="44" t="n"/>
      <c r="L310" s="45" t="n"/>
      <c r="O310" s="44" t="n"/>
    </row>
    <row r="311">
      <c r="A311" s="43" t="n"/>
      <c r="C311" s="44" t="n"/>
      <c r="D311" s="44" t="n"/>
      <c r="L311" s="45" t="n"/>
      <c r="O311" s="44" t="n"/>
    </row>
    <row r="312">
      <c r="A312" s="43" t="n"/>
      <c r="C312" s="44" t="n"/>
      <c r="D312" s="44" t="n"/>
      <c r="L312" s="45" t="n"/>
      <c r="O312" s="44" t="n"/>
    </row>
    <row r="313">
      <c r="A313" s="43" t="n"/>
      <c r="C313" s="44" t="n"/>
      <c r="D313" s="44" t="n"/>
      <c r="L313" s="45" t="n"/>
      <c r="O313" s="44" t="n"/>
    </row>
    <row r="314">
      <c r="A314" s="43" t="n"/>
      <c r="C314" s="44" t="n"/>
      <c r="D314" s="44" t="n"/>
      <c r="L314" s="45" t="n"/>
      <c r="O314" s="44" t="n"/>
    </row>
    <row r="315">
      <c r="A315" s="43" t="n"/>
      <c r="C315" s="44" t="n"/>
      <c r="D315" s="44" t="n"/>
      <c r="L315" s="45" t="n"/>
      <c r="O315" s="44" t="n"/>
    </row>
    <row r="316">
      <c r="A316" s="43" t="n"/>
      <c r="C316" s="44" t="n"/>
      <c r="D316" s="44" t="n"/>
      <c r="L316" s="45" t="n"/>
      <c r="O316" s="44" t="n"/>
    </row>
    <row r="317">
      <c r="A317" s="43" t="n"/>
      <c r="C317" s="44" t="n"/>
      <c r="D317" s="44" t="n"/>
      <c r="L317" s="45" t="n"/>
      <c r="O317" s="44" t="n"/>
    </row>
    <row r="318">
      <c r="A318" s="43" t="n"/>
      <c r="C318" s="44" t="n"/>
      <c r="D318" s="44" t="n"/>
      <c r="L318" s="45" t="n"/>
      <c r="O318" s="44" t="n"/>
    </row>
    <row r="319">
      <c r="A319" s="43" t="n"/>
      <c r="C319" s="44" t="n"/>
      <c r="D319" s="44" t="n"/>
      <c r="L319" s="45" t="n"/>
      <c r="O319" s="44" t="n"/>
    </row>
    <row r="320">
      <c r="A320" s="43" t="n"/>
      <c r="C320" s="44" t="n"/>
      <c r="D320" s="44" t="n"/>
      <c r="L320" s="45" t="n"/>
      <c r="O320" s="44" t="n"/>
    </row>
    <row r="321">
      <c r="A321" s="43" t="n"/>
      <c r="C321" s="44" t="n"/>
      <c r="D321" s="44" t="n"/>
      <c r="L321" s="45" t="n"/>
      <c r="O321" s="44" t="n"/>
    </row>
    <row r="322">
      <c r="A322" s="43" t="n"/>
      <c r="C322" s="44" t="n"/>
      <c r="D322" s="44" t="n"/>
      <c r="L322" s="45" t="n"/>
      <c r="O322" s="44" t="n"/>
    </row>
    <row r="323">
      <c r="A323" s="43" t="n"/>
      <c r="C323" s="44" t="n"/>
      <c r="D323" s="44" t="n"/>
      <c r="L323" s="45" t="n"/>
      <c r="O323" s="44" t="n"/>
    </row>
    <row r="324">
      <c r="A324" s="43" t="n"/>
      <c r="C324" s="44" t="n"/>
      <c r="D324" s="44" t="n"/>
      <c r="L324" s="45" t="n"/>
      <c r="O324" s="44" t="n"/>
    </row>
    <row r="325">
      <c r="A325" s="43" t="n"/>
      <c r="C325" s="44" t="n"/>
      <c r="D325" s="44" t="n"/>
      <c r="L325" s="45" t="n"/>
      <c r="O325" s="44" t="n"/>
    </row>
    <row r="326">
      <c r="A326" s="43" t="n"/>
      <c r="C326" s="44" t="n"/>
      <c r="D326" s="44" t="n"/>
      <c r="L326" s="45" t="n"/>
      <c r="O326" s="44" t="n"/>
    </row>
    <row r="327">
      <c r="A327" s="43" t="n"/>
      <c r="C327" s="44" t="n"/>
      <c r="D327" s="44" t="n"/>
      <c r="L327" s="45" t="n"/>
      <c r="O327" s="44" t="n"/>
    </row>
    <row r="328">
      <c r="A328" s="43" t="n"/>
      <c r="C328" s="44" t="n"/>
      <c r="D328" s="44" t="n"/>
      <c r="L328" s="45" t="n"/>
      <c r="O328" s="44" t="n"/>
    </row>
    <row r="329">
      <c r="A329" s="43" t="n"/>
      <c r="C329" s="44" t="n"/>
      <c r="D329" s="44" t="n"/>
      <c r="L329" s="45" t="n"/>
      <c r="O329" s="44" t="n"/>
    </row>
    <row r="330">
      <c r="A330" s="43" t="n"/>
      <c r="C330" s="44" t="n"/>
      <c r="D330" s="44" t="n"/>
      <c r="L330" s="45" t="n"/>
      <c r="O330" s="44" t="n"/>
    </row>
    <row r="331">
      <c r="A331" s="43" t="n"/>
      <c r="C331" s="44" t="n"/>
      <c r="D331" s="44" t="n"/>
      <c r="L331" s="45" t="n"/>
      <c r="O331" s="44" t="n"/>
    </row>
    <row r="332">
      <c r="A332" s="43" t="n"/>
      <c r="C332" s="44" t="n"/>
      <c r="D332" s="44" t="n"/>
      <c r="L332" s="45" t="n"/>
      <c r="O332" s="44" t="n"/>
    </row>
    <row r="333">
      <c r="A333" s="43" t="n"/>
      <c r="C333" s="44" t="n"/>
      <c r="D333" s="44" t="n"/>
      <c r="L333" s="45" t="n"/>
      <c r="O333" s="44" t="n"/>
    </row>
    <row r="334">
      <c r="A334" s="43" t="n"/>
      <c r="C334" s="44" t="n"/>
      <c r="D334" s="44" t="n"/>
      <c r="L334" s="45" t="n"/>
      <c r="O334" s="44" t="n"/>
    </row>
    <row r="335">
      <c r="A335" s="43" t="n"/>
      <c r="C335" s="44" t="n"/>
      <c r="D335" s="44" t="n"/>
      <c r="L335" s="45" t="n"/>
      <c r="O335" s="44" t="n"/>
    </row>
    <row r="336">
      <c r="A336" s="43" t="n"/>
      <c r="C336" s="44" t="n"/>
      <c r="D336" s="44" t="n"/>
      <c r="L336" s="45" t="n"/>
      <c r="O336" s="44" t="n"/>
    </row>
    <row r="337">
      <c r="A337" s="43" t="n"/>
      <c r="C337" s="44" t="n"/>
      <c r="D337" s="44" t="n"/>
      <c r="L337" s="45" t="n"/>
      <c r="O337" s="44" t="n"/>
    </row>
    <row r="338">
      <c r="A338" s="43" t="n"/>
      <c r="C338" s="44" t="n"/>
      <c r="D338" s="44" t="n"/>
      <c r="L338" s="45" t="n"/>
      <c r="O338" s="44" t="n"/>
    </row>
    <row r="339">
      <c r="A339" s="43" t="n"/>
      <c r="C339" s="44" t="n"/>
      <c r="D339" s="44" t="n"/>
      <c r="L339" s="45" t="n"/>
      <c r="O339" s="44" t="n"/>
    </row>
    <row r="340">
      <c r="A340" s="43" t="n"/>
      <c r="C340" s="44" t="n"/>
      <c r="D340" s="44" t="n"/>
      <c r="L340" s="45" t="n"/>
      <c r="O340" s="44" t="n"/>
    </row>
    <row r="341">
      <c r="A341" s="43" t="n"/>
      <c r="C341" s="44" t="n"/>
      <c r="D341" s="44" t="n"/>
      <c r="L341" s="45" t="n"/>
      <c r="O341" s="44" t="n"/>
    </row>
    <row r="342">
      <c r="A342" s="43" t="n"/>
      <c r="C342" s="44" t="n"/>
      <c r="D342" s="44" t="n"/>
      <c r="L342" s="45" t="n"/>
      <c r="O342" s="44" t="n"/>
    </row>
    <row r="343">
      <c r="A343" s="43" t="n"/>
      <c r="C343" s="44" t="n"/>
      <c r="D343" s="44" t="n"/>
      <c r="L343" s="45" t="n"/>
      <c r="O343" s="44" t="n"/>
    </row>
    <row r="344">
      <c r="A344" s="43" t="n"/>
      <c r="C344" s="44" t="n"/>
      <c r="D344" s="44" t="n"/>
      <c r="L344" s="45" t="n"/>
      <c r="O344" s="44" t="n"/>
    </row>
    <row r="345">
      <c r="A345" s="43" t="n"/>
      <c r="C345" s="44" t="n"/>
      <c r="D345" s="44" t="n"/>
      <c r="L345" s="45" t="n"/>
      <c r="O345" s="44" t="n"/>
    </row>
    <row r="346">
      <c r="A346" s="43" t="n"/>
      <c r="C346" s="44" t="n"/>
      <c r="D346" s="44" t="n"/>
      <c r="L346" s="45" t="n"/>
      <c r="O346" s="44" t="n"/>
    </row>
    <row r="347">
      <c r="A347" s="43" t="n"/>
      <c r="C347" s="44" t="n"/>
      <c r="D347" s="44" t="n"/>
      <c r="L347" s="45" t="n"/>
      <c r="O347" s="44" t="n"/>
    </row>
    <row r="348">
      <c r="A348" s="43" t="n"/>
      <c r="C348" s="44" t="n"/>
      <c r="D348" s="44" t="n"/>
      <c r="L348" s="45" t="n"/>
      <c r="O348" s="44" t="n"/>
    </row>
    <row r="349">
      <c r="A349" s="43" t="n"/>
      <c r="C349" s="44" t="n"/>
      <c r="D349" s="44" t="n"/>
      <c r="L349" s="45" t="n"/>
      <c r="O349" s="44" t="n"/>
    </row>
    <row r="350">
      <c r="A350" s="43" t="n"/>
      <c r="C350" s="44" t="n"/>
      <c r="D350" s="44" t="n"/>
      <c r="L350" s="45" t="n"/>
      <c r="O350" s="44" t="n"/>
    </row>
    <row r="351">
      <c r="A351" s="43" t="n"/>
      <c r="C351" s="44" t="n"/>
      <c r="D351" s="44" t="n"/>
      <c r="L351" s="45" t="n"/>
      <c r="O351" s="44" t="n"/>
    </row>
    <row r="352">
      <c r="A352" s="43" t="n"/>
      <c r="C352" s="44" t="n"/>
      <c r="D352" s="44" t="n"/>
      <c r="L352" s="45" t="n"/>
      <c r="O352" s="44" t="n"/>
    </row>
    <row r="353">
      <c r="A353" s="43" t="n"/>
      <c r="C353" s="44" t="n"/>
      <c r="D353" s="44" t="n"/>
      <c r="L353" s="45" t="n"/>
      <c r="O353" s="44" t="n"/>
    </row>
    <row r="354">
      <c r="A354" s="43" t="n"/>
      <c r="C354" s="44" t="n"/>
      <c r="D354" s="44" t="n"/>
      <c r="L354" s="45" t="n"/>
      <c r="O354" s="44" t="n"/>
    </row>
    <row r="355">
      <c r="A355" s="43" t="n"/>
      <c r="C355" s="44" t="n"/>
      <c r="D355" s="44" t="n"/>
      <c r="L355" s="45" t="n"/>
      <c r="O355" s="44" t="n"/>
    </row>
    <row r="356">
      <c r="A356" s="43" t="n"/>
      <c r="C356" s="44" t="n"/>
      <c r="D356" s="44" t="n"/>
      <c r="L356" s="45" t="n"/>
      <c r="O356" s="44" t="n"/>
    </row>
    <row r="357">
      <c r="A357" s="43" t="n"/>
      <c r="C357" s="44" t="n"/>
      <c r="D357" s="44" t="n"/>
      <c r="L357" s="45" t="n"/>
      <c r="O357" s="44" t="n"/>
    </row>
    <row r="358">
      <c r="A358" s="43" t="n"/>
      <c r="C358" s="44" t="n"/>
      <c r="D358" s="44" t="n"/>
      <c r="L358" s="45" t="n"/>
      <c r="O358" s="44" t="n"/>
    </row>
    <row r="359">
      <c r="A359" s="43" t="n"/>
      <c r="C359" s="44" t="n"/>
      <c r="D359" s="44" t="n"/>
      <c r="L359" s="45" t="n"/>
      <c r="O359" s="44" t="n"/>
    </row>
    <row r="360">
      <c r="A360" s="43" t="n"/>
      <c r="C360" s="44" t="n"/>
      <c r="D360" s="44" t="n"/>
      <c r="L360" s="45" t="n"/>
      <c r="O360" s="44" t="n"/>
    </row>
    <row r="361">
      <c r="A361" s="43" t="n"/>
      <c r="C361" s="44" t="n"/>
      <c r="D361" s="44" t="n"/>
      <c r="L361" s="45" t="n"/>
      <c r="O361" s="44" t="n"/>
    </row>
    <row r="362">
      <c r="A362" s="43" t="n"/>
      <c r="C362" s="44" t="n"/>
      <c r="D362" s="44" t="n"/>
      <c r="L362" s="45" t="n"/>
      <c r="O362" s="44" t="n"/>
    </row>
    <row r="363">
      <c r="A363" s="43" t="n"/>
      <c r="C363" s="44" t="n"/>
      <c r="D363" s="44" t="n"/>
      <c r="L363" s="45" t="n"/>
      <c r="O363" s="44" t="n"/>
    </row>
    <row r="364">
      <c r="A364" s="43" t="n"/>
      <c r="C364" s="44" t="n"/>
      <c r="D364" s="44" t="n"/>
      <c r="L364" s="45" t="n"/>
      <c r="O364" s="44" t="n"/>
    </row>
    <row r="365">
      <c r="A365" s="43" t="n"/>
      <c r="C365" s="44" t="n"/>
      <c r="D365" s="44" t="n"/>
      <c r="L365" s="45" t="n"/>
      <c r="O365" s="44" t="n"/>
    </row>
    <row r="366">
      <c r="A366" s="43" t="n"/>
      <c r="C366" s="44" t="n"/>
      <c r="D366" s="44" t="n"/>
      <c r="L366" s="45" t="n"/>
      <c r="O366" s="44" t="n"/>
    </row>
    <row r="367">
      <c r="A367" s="43" t="n"/>
      <c r="C367" s="44" t="n"/>
      <c r="D367" s="44" t="n"/>
      <c r="L367" s="45" t="n"/>
      <c r="O367" s="44" t="n"/>
    </row>
    <row r="368">
      <c r="A368" s="43" t="n"/>
      <c r="C368" s="44" t="n"/>
      <c r="D368" s="44" t="n"/>
      <c r="L368" s="45" t="n"/>
      <c r="O368" s="44" t="n"/>
    </row>
    <row r="369">
      <c r="A369" s="43" t="n"/>
      <c r="C369" s="44" t="n"/>
      <c r="D369" s="44" t="n"/>
      <c r="L369" s="45" t="n"/>
      <c r="O369" s="44" t="n"/>
    </row>
    <row r="370">
      <c r="A370" s="43" t="n"/>
      <c r="C370" s="44" t="n"/>
      <c r="D370" s="44" t="n"/>
      <c r="L370" s="45" t="n"/>
      <c r="O370" s="44" t="n"/>
    </row>
    <row r="371">
      <c r="A371" s="43" t="n"/>
      <c r="C371" s="44" t="n"/>
      <c r="D371" s="44" t="n"/>
      <c r="L371" s="45" t="n"/>
      <c r="O371" s="44" t="n"/>
    </row>
    <row r="372">
      <c r="A372" s="43" t="n"/>
      <c r="C372" s="44" t="n"/>
      <c r="D372" s="44" t="n"/>
      <c r="L372" s="45" t="n"/>
      <c r="O372" s="44" t="n"/>
    </row>
    <row r="373">
      <c r="A373" s="43" t="n"/>
      <c r="C373" s="44" t="n"/>
      <c r="D373" s="44" t="n"/>
      <c r="L373" s="45" t="n"/>
      <c r="O373" s="44" t="n"/>
    </row>
    <row r="374">
      <c r="A374" s="43" t="n"/>
      <c r="C374" s="44" t="n"/>
      <c r="D374" s="44" t="n"/>
      <c r="L374" s="45" t="n"/>
      <c r="O374" s="44" t="n"/>
    </row>
    <row r="375">
      <c r="A375" s="43" t="n"/>
      <c r="C375" s="44" t="n"/>
      <c r="D375" s="44" t="n"/>
      <c r="L375" s="45" t="n"/>
      <c r="O375" s="44" t="n"/>
    </row>
    <row r="376">
      <c r="A376" s="43" t="n"/>
      <c r="C376" s="44" t="n"/>
      <c r="D376" s="44" t="n"/>
      <c r="L376" s="45" t="n"/>
      <c r="O376" s="44" t="n"/>
    </row>
    <row r="377">
      <c r="A377" s="43" t="n"/>
      <c r="C377" s="44" t="n"/>
      <c r="D377" s="44" t="n"/>
      <c r="L377" s="45" t="n"/>
      <c r="O377" s="44" t="n"/>
    </row>
    <row r="378">
      <c r="A378" s="43" t="n"/>
      <c r="C378" s="44" t="n"/>
      <c r="D378" s="44" t="n"/>
      <c r="L378" s="45" t="n"/>
      <c r="O378" s="44" t="n"/>
    </row>
    <row r="379">
      <c r="A379" s="43" t="n"/>
      <c r="C379" s="44" t="n"/>
      <c r="D379" s="44" t="n"/>
      <c r="L379" s="45" t="n"/>
      <c r="O379" s="44" t="n"/>
    </row>
    <row r="380">
      <c r="A380" s="43" t="n"/>
      <c r="C380" s="44" t="n"/>
      <c r="D380" s="44" t="n"/>
      <c r="L380" s="45" t="n"/>
      <c r="O380" s="44" t="n"/>
    </row>
    <row r="381">
      <c r="A381" s="43" t="n"/>
      <c r="C381" s="44" t="n"/>
      <c r="D381" s="44" t="n"/>
      <c r="L381" s="45" t="n"/>
      <c r="O381" s="44" t="n"/>
    </row>
    <row r="382">
      <c r="A382" s="43" t="n"/>
      <c r="C382" s="44" t="n"/>
      <c r="D382" s="44" t="n"/>
      <c r="L382" s="45" t="n"/>
      <c r="O382" s="44" t="n"/>
    </row>
    <row r="383">
      <c r="A383" s="43" t="n"/>
      <c r="C383" s="44" t="n"/>
      <c r="D383" s="44" t="n"/>
      <c r="L383" s="45" t="n"/>
      <c r="O383" s="44" t="n"/>
    </row>
    <row r="384">
      <c r="A384" s="43" t="n"/>
      <c r="C384" s="44" t="n"/>
      <c r="D384" s="44" t="n"/>
      <c r="L384" s="45" t="n"/>
      <c r="O384" s="44" t="n"/>
    </row>
    <row r="385">
      <c r="A385" s="43" t="n"/>
      <c r="C385" s="44" t="n"/>
      <c r="D385" s="44" t="n"/>
      <c r="L385" s="45" t="n"/>
      <c r="O385" s="44" t="n"/>
    </row>
    <row r="386">
      <c r="A386" s="43" t="n"/>
      <c r="C386" s="44" t="n"/>
      <c r="D386" s="44" t="n"/>
      <c r="L386" s="45" t="n"/>
      <c r="O386" s="44" t="n"/>
    </row>
    <row r="387">
      <c r="A387" s="43" t="n"/>
      <c r="C387" s="44" t="n"/>
      <c r="D387" s="44" t="n"/>
      <c r="L387" s="45" t="n"/>
      <c r="O387" s="44" t="n"/>
    </row>
    <row r="388">
      <c r="A388" s="43" t="n"/>
      <c r="C388" s="44" t="n"/>
      <c r="D388" s="44" t="n"/>
      <c r="L388" s="45" t="n"/>
      <c r="O388" s="44" t="n"/>
    </row>
    <row r="389">
      <c r="A389" s="43" t="n"/>
      <c r="C389" s="44" t="n"/>
      <c r="D389" s="44" t="n"/>
      <c r="L389" s="45" t="n"/>
      <c r="O389" s="44" t="n"/>
    </row>
    <row r="390">
      <c r="A390" s="43" t="n"/>
      <c r="C390" s="44" t="n"/>
      <c r="D390" s="44" t="n"/>
      <c r="L390" s="45" t="n"/>
      <c r="O390" s="44" t="n"/>
    </row>
    <row r="391">
      <c r="A391" s="43" t="n"/>
      <c r="C391" s="44" t="n"/>
      <c r="D391" s="44" t="n"/>
      <c r="L391" s="45" t="n"/>
      <c r="O391" s="44" t="n"/>
    </row>
    <row r="392">
      <c r="A392" s="43" t="n"/>
      <c r="C392" s="44" t="n"/>
      <c r="D392" s="44" t="n"/>
      <c r="L392" s="45" t="n"/>
      <c r="O392" s="44" t="n"/>
    </row>
    <row r="393">
      <c r="A393" s="43" t="n"/>
      <c r="C393" s="44" t="n"/>
      <c r="D393" s="44" t="n"/>
      <c r="L393" s="45" t="n"/>
      <c r="O393" s="44" t="n"/>
    </row>
    <row r="394">
      <c r="A394" s="43" t="n"/>
      <c r="C394" s="44" t="n"/>
      <c r="D394" s="44" t="n"/>
      <c r="L394" s="45" t="n"/>
      <c r="O394" s="44" t="n"/>
    </row>
    <row r="395">
      <c r="A395" s="43" t="n"/>
      <c r="C395" s="44" t="n"/>
      <c r="D395" s="44" t="n"/>
      <c r="L395" s="45" t="n"/>
      <c r="O395" s="44" t="n"/>
    </row>
    <row r="396">
      <c r="A396" s="43" t="n"/>
      <c r="C396" s="44" t="n"/>
      <c r="D396" s="44" t="n"/>
      <c r="L396" s="45" t="n"/>
      <c r="O396" s="44" t="n"/>
    </row>
    <row r="397">
      <c r="A397" s="43" t="n"/>
      <c r="C397" s="44" t="n"/>
      <c r="D397" s="44" t="n"/>
      <c r="L397" s="45" t="n"/>
      <c r="O397" s="44" t="n"/>
    </row>
    <row r="398">
      <c r="A398" s="43" t="n"/>
      <c r="C398" s="44" t="n"/>
      <c r="D398" s="44" t="n"/>
      <c r="L398" s="45" t="n"/>
      <c r="O398" s="44" t="n"/>
    </row>
    <row r="399">
      <c r="A399" s="43" t="n"/>
      <c r="C399" s="44" t="n"/>
      <c r="D399" s="44" t="n"/>
      <c r="L399" s="45" t="n"/>
      <c r="O399" s="44" t="n"/>
    </row>
    <row r="400">
      <c r="A400" s="43" t="n"/>
      <c r="C400" s="44" t="n"/>
      <c r="D400" s="44" t="n"/>
      <c r="L400" s="45" t="n"/>
      <c r="O400" s="44" t="n"/>
    </row>
    <row r="401">
      <c r="A401" s="43" t="n"/>
      <c r="C401" s="44" t="n"/>
      <c r="D401" s="44" t="n"/>
      <c r="L401" s="45" t="n"/>
      <c r="O401" s="44" t="n"/>
    </row>
    <row r="402">
      <c r="A402" s="43" t="n"/>
      <c r="C402" s="44" t="n"/>
      <c r="D402" s="44" t="n"/>
      <c r="L402" s="45" t="n"/>
      <c r="O402" s="44" t="n"/>
    </row>
    <row r="403">
      <c r="A403" s="43" t="n"/>
      <c r="C403" s="44" t="n"/>
      <c r="D403" s="44" t="n"/>
      <c r="L403" s="45" t="n"/>
      <c r="O403" s="44" t="n"/>
    </row>
    <row r="404">
      <c r="A404" s="43" t="n"/>
      <c r="C404" s="44" t="n"/>
      <c r="D404" s="44" t="n"/>
      <c r="L404" s="45" t="n"/>
      <c r="O404" s="44" t="n"/>
    </row>
    <row r="405">
      <c r="A405" s="43" t="n"/>
      <c r="C405" s="44" t="n"/>
      <c r="D405" s="44" t="n"/>
      <c r="L405" s="45" t="n"/>
      <c r="O405" s="44" t="n"/>
    </row>
    <row r="406">
      <c r="A406" s="43" t="n"/>
      <c r="C406" s="44" t="n"/>
      <c r="D406" s="44" t="n"/>
      <c r="L406" s="45" t="n"/>
      <c r="O406" s="44" t="n"/>
    </row>
    <row r="407">
      <c r="A407" s="43" t="n"/>
      <c r="C407" s="44" t="n"/>
      <c r="D407" s="44" t="n"/>
      <c r="L407" s="45" t="n"/>
      <c r="O407" s="44" t="n"/>
    </row>
    <row r="408">
      <c r="A408" s="43" t="n"/>
      <c r="C408" s="44" t="n"/>
      <c r="D408" s="44" t="n"/>
      <c r="L408" s="45" t="n"/>
      <c r="O408" s="44" t="n"/>
    </row>
    <row r="409">
      <c r="A409" s="43" t="n"/>
      <c r="C409" s="44" t="n"/>
      <c r="D409" s="44" t="n"/>
      <c r="L409" s="45" t="n"/>
      <c r="O409" s="44" t="n"/>
    </row>
    <row r="410">
      <c r="A410" s="43" t="n"/>
      <c r="C410" s="44" t="n"/>
      <c r="D410" s="44" t="n"/>
      <c r="L410" s="45" t="n"/>
      <c r="O410" s="44" t="n"/>
    </row>
    <row r="411">
      <c r="A411" s="43" t="n"/>
      <c r="C411" s="44" t="n"/>
      <c r="D411" s="44" t="n"/>
      <c r="L411" s="45" t="n"/>
      <c r="O411" s="44" t="n"/>
    </row>
    <row r="412">
      <c r="A412" s="43" t="n"/>
      <c r="C412" s="44" t="n"/>
      <c r="D412" s="44" t="n"/>
      <c r="L412" s="45" t="n"/>
      <c r="O412" s="44" t="n"/>
    </row>
    <row r="413">
      <c r="A413" s="43" t="n"/>
      <c r="C413" s="44" t="n"/>
      <c r="D413" s="44" t="n"/>
      <c r="L413" s="45" t="n"/>
      <c r="O413" s="44" t="n"/>
    </row>
    <row r="414">
      <c r="A414" s="43" t="n"/>
      <c r="C414" s="44" t="n"/>
      <c r="D414" s="44" t="n"/>
      <c r="L414" s="45" t="n"/>
      <c r="O414" s="44" t="n"/>
    </row>
    <row r="415">
      <c r="A415" s="43" t="n"/>
      <c r="C415" s="44" t="n"/>
      <c r="D415" s="44" t="n"/>
      <c r="L415" s="45" t="n"/>
      <c r="O415" s="44" t="n"/>
    </row>
    <row r="416">
      <c r="A416" s="43" t="n"/>
      <c r="C416" s="44" t="n"/>
      <c r="D416" s="44" t="n"/>
      <c r="L416" s="45" t="n"/>
      <c r="O416" s="44" t="n"/>
    </row>
    <row r="417">
      <c r="A417" s="43" t="n"/>
      <c r="C417" s="44" t="n"/>
      <c r="D417" s="44" t="n"/>
      <c r="L417" s="45" t="n"/>
      <c r="O417" s="44" t="n"/>
    </row>
    <row r="418">
      <c r="A418" s="43" t="n"/>
      <c r="C418" s="44" t="n"/>
      <c r="D418" s="44" t="n"/>
      <c r="L418" s="45" t="n"/>
      <c r="O418" s="44" t="n"/>
    </row>
    <row r="419">
      <c r="A419" s="43" t="n"/>
      <c r="C419" s="44" t="n"/>
      <c r="D419" s="44" t="n"/>
      <c r="L419" s="45" t="n"/>
      <c r="O419" s="44" t="n"/>
    </row>
    <row r="420">
      <c r="A420" s="43" t="n"/>
      <c r="C420" s="44" t="n"/>
      <c r="D420" s="44" t="n"/>
      <c r="L420" s="45" t="n"/>
      <c r="O420" s="44" t="n"/>
    </row>
    <row r="421">
      <c r="A421" s="43" t="n"/>
      <c r="C421" s="44" t="n"/>
      <c r="D421" s="44" t="n"/>
      <c r="L421" s="45" t="n"/>
      <c r="O421" s="44" t="n"/>
    </row>
    <row r="422">
      <c r="A422" s="43" t="n"/>
      <c r="C422" s="44" t="n"/>
      <c r="D422" s="44" t="n"/>
      <c r="L422" s="45" t="n"/>
      <c r="O422" s="44" t="n"/>
    </row>
    <row r="423">
      <c r="A423" s="43" t="n"/>
      <c r="C423" s="44" t="n"/>
      <c r="D423" s="44" t="n"/>
      <c r="L423" s="45" t="n"/>
      <c r="O423" s="44" t="n"/>
    </row>
    <row r="424">
      <c r="A424" s="43" t="n"/>
      <c r="C424" s="44" t="n"/>
      <c r="D424" s="44" t="n"/>
      <c r="L424" s="45" t="n"/>
      <c r="O424" s="44" t="n"/>
    </row>
    <row r="425">
      <c r="A425" s="43" t="n"/>
      <c r="C425" s="44" t="n"/>
      <c r="D425" s="44" t="n"/>
      <c r="L425" s="45" t="n"/>
      <c r="O425" s="44" t="n"/>
    </row>
    <row r="426">
      <c r="A426" s="43" t="n"/>
      <c r="C426" s="44" t="n"/>
      <c r="D426" s="44" t="n"/>
      <c r="L426" s="45" t="n"/>
      <c r="O426" s="44" t="n"/>
    </row>
    <row r="427">
      <c r="A427" s="43" t="n"/>
      <c r="C427" s="44" t="n"/>
      <c r="D427" s="44" t="n"/>
      <c r="L427" s="45" t="n"/>
      <c r="O427" s="44" t="n"/>
    </row>
    <row r="428">
      <c r="A428" s="43" t="n"/>
      <c r="C428" s="44" t="n"/>
      <c r="D428" s="44" t="n"/>
      <c r="L428" s="45" t="n"/>
      <c r="O428" s="44" t="n"/>
    </row>
    <row r="429">
      <c r="A429" s="43" t="n"/>
      <c r="C429" s="44" t="n"/>
      <c r="D429" s="44" t="n"/>
      <c r="L429" s="45" t="n"/>
      <c r="O429" s="44" t="n"/>
    </row>
    <row r="430">
      <c r="A430" s="43" t="n"/>
      <c r="C430" s="44" t="n"/>
      <c r="D430" s="44" t="n"/>
      <c r="L430" s="45" t="n"/>
      <c r="O430" s="44" t="n"/>
    </row>
    <row r="431">
      <c r="A431" s="43" t="n"/>
      <c r="C431" s="44" t="n"/>
      <c r="D431" s="44" t="n"/>
      <c r="L431" s="45" t="n"/>
      <c r="O431" s="44" t="n"/>
    </row>
    <row r="432">
      <c r="A432" s="43" t="n"/>
      <c r="C432" s="44" t="n"/>
      <c r="D432" s="44" t="n"/>
      <c r="L432" s="45" t="n"/>
      <c r="O432" s="44" t="n"/>
    </row>
    <row r="433">
      <c r="A433" s="43" t="n"/>
      <c r="C433" s="44" t="n"/>
      <c r="D433" s="44" t="n"/>
      <c r="L433" s="45" t="n"/>
      <c r="O433" s="44" t="n"/>
    </row>
    <row r="434">
      <c r="A434" s="43" t="n"/>
      <c r="C434" s="44" t="n"/>
      <c r="D434" s="44" t="n"/>
      <c r="L434" s="45" t="n"/>
      <c r="O434" s="44" t="n"/>
    </row>
    <row r="435">
      <c r="A435" s="43" t="n"/>
      <c r="C435" s="44" t="n"/>
      <c r="D435" s="44" t="n"/>
      <c r="L435" s="45" t="n"/>
      <c r="O435" s="44" t="n"/>
    </row>
    <row r="436">
      <c r="A436" s="43" t="n"/>
      <c r="C436" s="44" t="n"/>
      <c r="D436" s="44" t="n"/>
      <c r="L436" s="45" t="n"/>
      <c r="O436" s="44" t="n"/>
    </row>
    <row r="437">
      <c r="A437" s="43" t="n"/>
      <c r="C437" s="44" t="n"/>
      <c r="D437" s="44" t="n"/>
      <c r="L437" s="45" t="n"/>
      <c r="O437" s="44" t="n"/>
    </row>
    <row r="438">
      <c r="A438" s="43" t="n"/>
      <c r="C438" s="44" t="n"/>
      <c r="D438" s="44" t="n"/>
      <c r="L438" s="45" t="n"/>
      <c r="O438" s="44" t="n"/>
    </row>
    <row r="439">
      <c r="A439" s="43" t="n"/>
      <c r="C439" s="44" t="n"/>
      <c r="D439" s="44" t="n"/>
      <c r="L439" s="45" t="n"/>
      <c r="O439" s="44" t="n"/>
    </row>
    <row r="440">
      <c r="A440" s="43" t="n"/>
      <c r="C440" s="44" t="n"/>
      <c r="D440" s="44" t="n"/>
      <c r="L440" s="45" t="n"/>
      <c r="O440" s="44" t="n"/>
    </row>
    <row r="441">
      <c r="A441" s="43" t="n"/>
      <c r="C441" s="44" t="n"/>
      <c r="D441" s="44" t="n"/>
      <c r="L441" s="45" t="n"/>
      <c r="O441" s="44" t="n"/>
    </row>
    <row r="442">
      <c r="A442" s="43" t="n"/>
      <c r="C442" s="44" t="n"/>
      <c r="D442" s="44" t="n"/>
      <c r="L442" s="45" t="n"/>
      <c r="O442" s="44" t="n"/>
    </row>
    <row r="443">
      <c r="A443" s="43" t="n"/>
      <c r="C443" s="44" t="n"/>
      <c r="D443" s="44" t="n"/>
      <c r="L443" s="45" t="n"/>
      <c r="O443" s="44" t="n"/>
    </row>
    <row r="444">
      <c r="A444" s="43" t="n"/>
      <c r="C444" s="44" t="n"/>
      <c r="D444" s="44" t="n"/>
      <c r="L444" s="45" t="n"/>
      <c r="O444" s="44" t="n"/>
    </row>
    <row r="445">
      <c r="A445" s="43" t="n"/>
      <c r="C445" s="44" t="n"/>
      <c r="D445" s="44" t="n"/>
      <c r="L445" s="45" t="n"/>
      <c r="O445" s="44" t="n"/>
    </row>
    <row r="446">
      <c r="A446" s="43" t="n"/>
      <c r="C446" s="44" t="n"/>
      <c r="D446" s="44" t="n"/>
      <c r="L446" s="45" t="n"/>
      <c r="O446" s="44" t="n"/>
    </row>
    <row r="447">
      <c r="A447" s="43" t="n"/>
      <c r="C447" s="44" t="n"/>
      <c r="D447" s="44" t="n"/>
      <c r="L447" s="45" t="n"/>
      <c r="O447" s="44" t="n"/>
    </row>
    <row r="448">
      <c r="A448" s="43" t="n"/>
      <c r="C448" s="44" t="n"/>
      <c r="D448" s="44" t="n"/>
      <c r="L448" s="45" t="n"/>
      <c r="O448" s="44" t="n"/>
    </row>
    <row r="449">
      <c r="A449" s="43" t="n"/>
      <c r="C449" s="44" t="n"/>
      <c r="D449" s="44" t="n"/>
      <c r="L449" s="45" t="n"/>
      <c r="O449" s="44" t="n"/>
    </row>
    <row r="450">
      <c r="A450" s="43" t="n"/>
      <c r="C450" s="44" t="n"/>
      <c r="D450" s="44" t="n"/>
      <c r="L450" s="45" t="n"/>
      <c r="O450" s="44" t="n"/>
    </row>
    <row r="451">
      <c r="A451" s="43" t="n"/>
      <c r="C451" s="44" t="n"/>
      <c r="D451" s="44" t="n"/>
      <c r="L451" s="45" t="n"/>
      <c r="O451" s="44" t="n"/>
    </row>
    <row r="452">
      <c r="A452" s="43" t="n"/>
      <c r="C452" s="44" t="n"/>
      <c r="D452" s="44" t="n"/>
      <c r="L452" s="45" t="n"/>
      <c r="O452" s="44" t="n"/>
    </row>
    <row r="453">
      <c r="A453" s="43" t="n"/>
      <c r="C453" s="44" t="n"/>
      <c r="D453" s="44" t="n"/>
      <c r="L453" s="45" t="n"/>
      <c r="O453" s="44" t="n"/>
    </row>
    <row r="454">
      <c r="A454" s="43" t="n"/>
      <c r="C454" s="44" t="n"/>
      <c r="D454" s="44" t="n"/>
      <c r="L454" s="45" t="n"/>
      <c r="O454" s="44" t="n"/>
    </row>
    <row r="455">
      <c r="A455" s="43" t="n"/>
      <c r="C455" s="44" t="n"/>
      <c r="D455" s="44" t="n"/>
      <c r="L455" s="45" t="n"/>
      <c r="O455" s="44" t="n"/>
    </row>
    <row r="456">
      <c r="A456" s="43" t="n"/>
      <c r="C456" s="44" t="n"/>
      <c r="D456" s="44" t="n"/>
      <c r="L456" s="45" t="n"/>
      <c r="O456" s="44" t="n"/>
    </row>
    <row r="457">
      <c r="A457" s="43" t="n"/>
      <c r="C457" s="44" t="n"/>
      <c r="D457" s="44" t="n"/>
      <c r="L457" s="45" t="n"/>
      <c r="O457" s="44" t="n"/>
    </row>
    <row r="458">
      <c r="A458" s="43" t="n"/>
      <c r="C458" s="44" t="n"/>
      <c r="D458" s="44" t="n"/>
      <c r="L458" s="45" t="n"/>
      <c r="O458" s="44" t="n"/>
    </row>
    <row r="459">
      <c r="A459" s="43" t="n"/>
      <c r="C459" s="44" t="n"/>
      <c r="D459" s="44" t="n"/>
      <c r="L459" s="45" t="n"/>
      <c r="O459" s="44" t="n"/>
    </row>
    <row r="460">
      <c r="A460" s="43" t="n"/>
      <c r="C460" s="44" t="n"/>
      <c r="D460" s="44" t="n"/>
      <c r="L460" s="45" t="n"/>
      <c r="O460" s="44" t="n"/>
    </row>
    <row r="461">
      <c r="A461" s="43" t="n"/>
      <c r="C461" s="44" t="n"/>
      <c r="D461" s="44" t="n"/>
      <c r="L461" s="45" t="n"/>
      <c r="O461" s="44" t="n"/>
    </row>
    <row r="462">
      <c r="A462" s="43" t="n"/>
      <c r="C462" s="44" t="n"/>
      <c r="D462" s="44" t="n"/>
      <c r="L462" s="45" t="n"/>
      <c r="O462" s="44" t="n"/>
    </row>
    <row r="463">
      <c r="A463" s="43" t="n"/>
      <c r="C463" s="44" t="n"/>
      <c r="D463" s="44" t="n"/>
      <c r="L463" s="45" t="n"/>
      <c r="O463" s="44" t="n"/>
    </row>
    <row r="464">
      <c r="A464" s="43" t="n"/>
      <c r="C464" s="44" t="n"/>
      <c r="D464" s="44" t="n"/>
      <c r="L464" s="45" t="n"/>
      <c r="O464" s="44" t="n"/>
    </row>
    <row r="465">
      <c r="A465" s="43" t="n"/>
      <c r="C465" s="44" t="n"/>
      <c r="D465" s="44" t="n"/>
      <c r="L465" s="45" t="n"/>
      <c r="O465" s="44" t="n"/>
    </row>
    <row r="466">
      <c r="A466" s="43" t="n"/>
      <c r="C466" s="44" t="n"/>
      <c r="D466" s="44" t="n"/>
      <c r="L466" s="45" t="n"/>
      <c r="O466" s="44" t="n"/>
    </row>
    <row r="467">
      <c r="A467" s="43" t="n"/>
      <c r="C467" s="44" t="n"/>
      <c r="D467" s="44" t="n"/>
      <c r="L467" s="45" t="n"/>
      <c r="O467" s="44" t="n"/>
    </row>
    <row r="468">
      <c r="A468" s="43" t="n"/>
      <c r="C468" s="44" t="n"/>
      <c r="D468" s="44" t="n"/>
      <c r="L468" s="45" t="n"/>
      <c r="O468" s="44" t="n"/>
    </row>
    <row r="469">
      <c r="A469" s="43" t="n"/>
      <c r="C469" s="44" t="n"/>
      <c r="D469" s="44" t="n"/>
      <c r="L469" s="45" t="n"/>
      <c r="O469" s="44" t="n"/>
    </row>
    <row r="470">
      <c r="A470" s="43" t="n"/>
      <c r="C470" s="44" t="n"/>
      <c r="D470" s="44" t="n"/>
      <c r="L470" s="45" t="n"/>
      <c r="O470" s="44" t="n"/>
    </row>
    <row r="471">
      <c r="A471" s="43" t="n"/>
      <c r="C471" s="44" t="n"/>
      <c r="D471" s="44" t="n"/>
      <c r="L471" s="45" t="n"/>
      <c r="O471" s="44" t="n"/>
    </row>
    <row r="472">
      <c r="A472" s="43" t="n"/>
      <c r="C472" s="44" t="n"/>
      <c r="D472" s="44" t="n"/>
      <c r="L472" s="45" t="n"/>
      <c r="O472" s="44" t="n"/>
    </row>
    <row r="473">
      <c r="A473" s="43" t="n"/>
      <c r="C473" s="44" t="n"/>
      <c r="D473" s="44" t="n"/>
      <c r="L473" s="45" t="n"/>
      <c r="O473" s="44" t="n"/>
    </row>
    <row r="474">
      <c r="A474" s="43" t="n"/>
      <c r="C474" s="44" t="n"/>
      <c r="D474" s="44" t="n"/>
      <c r="L474" s="45" t="n"/>
      <c r="O474" s="44" t="n"/>
    </row>
    <row r="475">
      <c r="A475" s="43" t="n"/>
      <c r="C475" s="44" t="n"/>
      <c r="D475" s="44" t="n"/>
      <c r="L475" s="45" t="n"/>
      <c r="O475" s="44" t="n"/>
    </row>
    <row r="476">
      <c r="A476" s="43" t="n"/>
      <c r="C476" s="44" t="n"/>
      <c r="D476" s="44" t="n"/>
      <c r="L476" s="45" t="n"/>
      <c r="O476" s="44" t="n"/>
    </row>
    <row r="477">
      <c r="A477" s="43" t="n"/>
      <c r="C477" s="44" t="n"/>
      <c r="D477" s="44" t="n"/>
      <c r="L477" s="45" t="n"/>
      <c r="O477" s="44" t="n"/>
    </row>
    <row r="478">
      <c r="A478" s="43" t="n"/>
      <c r="C478" s="44" t="n"/>
      <c r="D478" s="44" t="n"/>
      <c r="L478" s="45" t="n"/>
      <c r="O478" s="44" t="n"/>
    </row>
    <row r="479">
      <c r="A479" s="43" t="n"/>
      <c r="C479" s="44" t="n"/>
      <c r="D479" s="44" t="n"/>
      <c r="L479" s="45" t="n"/>
      <c r="O479" s="44" t="n"/>
    </row>
    <row r="480">
      <c r="A480" s="43" t="n"/>
      <c r="C480" s="44" t="n"/>
      <c r="D480" s="44" t="n"/>
      <c r="L480" s="45" t="n"/>
      <c r="O480" s="44" t="n"/>
    </row>
    <row r="481">
      <c r="A481" s="43" t="n"/>
      <c r="C481" s="44" t="n"/>
      <c r="D481" s="44" t="n"/>
      <c r="L481" s="45" t="n"/>
      <c r="O481" s="44" t="n"/>
    </row>
    <row r="482">
      <c r="A482" s="43" t="n"/>
      <c r="C482" s="44" t="n"/>
      <c r="D482" s="44" t="n"/>
      <c r="L482" s="45" t="n"/>
      <c r="O482" s="44" t="n"/>
    </row>
    <row r="483">
      <c r="A483" s="43" t="n"/>
      <c r="C483" s="44" t="n"/>
      <c r="D483" s="44" t="n"/>
      <c r="L483" s="45" t="n"/>
      <c r="O483" s="44" t="n"/>
    </row>
    <row r="484">
      <c r="A484" s="43" t="n"/>
      <c r="C484" s="44" t="n"/>
      <c r="D484" s="44" t="n"/>
      <c r="L484" s="45" t="n"/>
      <c r="O484" s="44" t="n"/>
    </row>
    <row r="485">
      <c r="A485" s="43" t="n"/>
      <c r="C485" s="44" t="n"/>
      <c r="D485" s="44" t="n"/>
      <c r="L485" s="45" t="n"/>
      <c r="O485" s="44" t="n"/>
    </row>
    <row r="486">
      <c r="A486" s="43" t="n"/>
      <c r="C486" s="44" t="n"/>
      <c r="D486" s="44" t="n"/>
      <c r="L486" s="45" t="n"/>
      <c r="O486" s="44" t="n"/>
    </row>
    <row r="487">
      <c r="A487" s="43" t="n"/>
      <c r="C487" s="44" t="n"/>
      <c r="D487" s="44" t="n"/>
      <c r="L487" s="45" t="n"/>
      <c r="O487" s="44" t="n"/>
    </row>
    <row r="488">
      <c r="A488" s="43" t="n"/>
      <c r="C488" s="44" t="n"/>
      <c r="D488" s="44" t="n"/>
      <c r="L488" s="45" t="n"/>
      <c r="O488" s="44" t="n"/>
    </row>
    <row r="489">
      <c r="A489" s="43" t="n"/>
      <c r="C489" s="44" t="n"/>
      <c r="D489" s="44" t="n"/>
      <c r="L489" s="45" t="n"/>
      <c r="O489" s="44" t="n"/>
    </row>
    <row r="490">
      <c r="A490" s="43" t="n"/>
      <c r="C490" s="44" t="n"/>
      <c r="D490" s="44" t="n"/>
      <c r="L490" s="45" t="n"/>
      <c r="O490" s="44" t="n"/>
    </row>
    <row r="491">
      <c r="A491" s="43" t="n"/>
      <c r="C491" s="44" t="n"/>
      <c r="D491" s="44" t="n"/>
      <c r="L491" s="45" t="n"/>
      <c r="O491" s="44" t="n"/>
    </row>
    <row r="492">
      <c r="A492" s="43" t="n"/>
      <c r="C492" s="44" t="n"/>
      <c r="D492" s="44" t="n"/>
      <c r="L492" s="45" t="n"/>
      <c r="O492" s="44" t="n"/>
    </row>
    <row r="493">
      <c r="A493" s="43" t="n"/>
      <c r="C493" s="44" t="n"/>
      <c r="D493" s="44" t="n"/>
      <c r="L493" s="45" t="n"/>
      <c r="O493" s="44" t="n"/>
    </row>
    <row r="494">
      <c r="A494" s="43" t="n"/>
      <c r="C494" s="44" t="n"/>
      <c r="D494" s="44" t="n"/>
      <c r="L494" s="45" t="n"/>
      <c r="O494" s="44" t="n"/>
    </row>
    <row r="495">
      <c r="A495" s="43" t="n"/>
      <c r="C495" s="44" t="n"/>
      <c r="D495" s="44" t="n"/>
      <c r="L495" s="45" t="n"/>
      <c r="O495" s="44" t="n"/>
    </row>
    <row r="496">
      <c r="A496" s="43" t="n"/>
      <c r="C496" s="44" t="n"/>
      <c r="D496" s="44" t="n"/>
      <c r="L496" s="45" t="n"/>
      <c r="O496" s="44" t="n"/>
    </row>
    <row r="497">
      <c r="A497" s="43" t="n"/>
      <c r="C497" s="44" t="n"/>
      <c r="D497" s="44" t="n"/>
      <c r="L497" s="45" t="n"/>
      <c r="O497" s="44" t="n"/>
    </row>
    <row r="498">
      <c r="A498" s="43" t="n"/>
      <c r="C498" s="44" t="n"/>
      <c r="D498" s="44" t="n"/>
      <c r="L498" s="45" t="n"/>
      <c r="O498" s="44" t="n"/>
    </row>
    <row r="499">
      <c r="A499" s="43" t="n"/>
      <c r="C499" s="44" t="n"/>
      <c r="D499" s="44" t="n"/>
      <c r="L499" s="45" t="n"/>
      <c r="O499" s="44" t="n"/>
    </row>
    <row r="500">
      <c r="A500" s="43" t="n"/>
      <c r="C500" s="44" t="n"/>
      <c r="D500" s="44" t="n"/>
      <c r="L500" s="45" t="n"/>
      <c r="O500" s="44" t="n"/>
    </row>
    <row r="501">
      <c r="A501" s="43" t="n"/>
      <c r="C501" s="44" t="n"/>
      <c r="D501" s="44" t="n"/>
      <c r="L501" s="45" t="n"/>
      <c r="O501" s="44" t="n"/>
    </row>
    <row r="502">
      <c r="A502" s="43" t="n"/>
      <c r="C502" s="44" t="n"/>
      <c r="D502" s="44" t="n"/>
      <c r="L502" s="45" t="n"/>
      <c r="O502" s="44" t="n"/>
    </row>
    <row r="503">
      <c r="A503" s="43" t="n"/>
      <c r="C503" s="44" t="n"/>
      <c r="D503" s="44" t="n"/>
      <c r="L503" s="45" t="n"/>
      <c r="O503" s="44" t="n"/>
    </row>
    <row r="504">
      <c r="A504" s="43" t="n"/>
      <c r="C504" s="44" t="n"/>
      <c r="D504" s="44" t="n"/>
      <c r="L504" s="45" t="n"/>
      <c r="O504" s="44" t="n"/>
    </row>
  </sheetData>
  <autoFilter ref="A3:X504"/>
  <conditionalFormatting sqref="F2">
    <cfRule type="cellIs" priority="1" operator="lessThan" dxfId="0">
      <formula>0</formula>
    </cfRule>
    <cfRule type="cellIs" priority="2" operator="greaterThanOrEqual" dxfId="1">
      <formula>0</formula>
    </cfRule>
  </conditionalFormatting>
  <conditionalFormatting sqref="H2">
    <cfRule type="cellIs" priority="3" operator="lessThan" dxfId="0">
      <formula>0.9</formula>
    </cfRule>
    <cfRule type="cellIs" priority="4" operator="greaterThanOrEqual" dxfId="1">
      <formula>1</formula>
    </cfRule>
  </conditionalFormatting>
  <conditionalFormatting sqref="R2">
    <cfRule type="cellIs" priority="5" operator="lessThan" dxfId="0">
      <formula>P2</formula>
    </cfRule>
  </conditionalFormatting>
  <dataValidations count="10">
    <dataValidation sqref="B5:B504" showDropDown="0" showInputMessage="0" showErrorMessage="0" allowBlank="1" type="list">
      <formula1>'選択肢マスター'!$A$2:$A$3</formula1>
    </dataValidation>
    <dataValidation sqref="E5:E504" showDropDown="0" showInputMessage="0" showErrorMessage="0" allowBlank="1" type="list">
      <formula1>'選択肢マスター'!$B$2:$B$23</formula1>
    </dataValidation>
    <dataValidation sqref="M5:M504" showDropDown="0" showInputMessage="0" showErrorMessage="0" allowBlank="1" type="list">
      <formula1>'選択肢マスター'!$C$2:$C$16</formula1>
    </dataValidation>
    <dataValidation sqref="N5:N504" showDropDown="0" showInputMessage="0" showErrorMessage="0" allowBlank="1" type="list">
      <formula1>'選択肢マスター'!$D$2:$D$7</formula1>
    </dataValidation>
    <dataValidation sqref="P5:P504" showDropDown="0" showInputMessage="0" showErrorMessage="0" allowBlank="1" type="list">
      <formula1>'選択肢マスター'!$E$2:$E$5</formula1>
    </dataValidation>
    <dataValidation sqref="Q5:Q504" showDropDown="0" showInputMessage="0" showErrorMessage="0" allowBlank="1" type="list">
      <formula1>'選択肢マスター'!$F$2:$F$5</formula1>
    </dataValidation>
    <dataValidation sqref="S5:S504" showDropDown="0" showInputMessage="0" showErrorMessage="0" allowBlank="1" type="list">
      <formula1>'選択肢マスター'!$G$2:$G$8</formula1>
    </dataValidation>
    <dataValidation sqref="T5:T504" showDropDown="0" showInputMessage="0" showErrorMessage="0" allowBlank="1" type="list">
      <formula1>'選択肢マスター'!$J$2:$J$3</formula1>
    </dataValidation>
    <dataValidation sqref="U5:U504" showDropDown="0" showInputMessage="0" showErrorMessage="0" allowBlank="1" type="list">
      <formula1>'選択肢マスター'!$H$2:$H$5</formula1>
    </dataValidation>
    <dataValidation sqref="V5:V504" showDropDown="0" showInputMessage="0" showErrorMessage="0" allowBlank="1" type="list">
      <formula1>'選択肢マスター'!$I$2:$I$5</formula1>
    </dataValidation>
  </dataValidations>
  <pageMargins left="0.75" right="0.75" top="1" bottom="1" header="0.5" footer="0.5"/>
</worksheet>
</file>

<file path=xl/worksheets/sheet11.xml><?xml version="1.0" encoding="utf-8"?>
<worksheet xmlns="http://schemas.openxmlformats.org/spreadsheetml/2006/main">
  <sheetPr>
    <tabColor rgb="002E75B6"/>
    <outlinePr summaryBelow="1" summaryRight="1"/>
    <pageSetUpPr/>
  </sheetPr>
  <dimension ref="A1:X504"/>
  <sheetViews>
    <sheetView workbookViewId="0">
      <pane ySplit="4" topLeftCell="A5" activePane="bottomLeft" state="frozen"/>
      <selection pane="bottomLeft" activeCell="A1" sqref="A1"/>
    </sheetView>
  </sheetViews>
  <sheetFormatPr baseColWidth="8" defaultRowHeight="15"/>
  <cols>
    <col width="9" customWidth="1" min="1" max="1"/>
    <col width="11" customWidth="1" min="2" max="2"/>
    <col width="12" customWidth="1" min="3" max="3"/>
    <col width="12" customWidth="1" min="4" max="4"/>
    <col width="17" customWidth="1" min="5" max="5"/>
    <col width="20" customWidth="1" min="6" max="6"/>
    <col width="14" customWidth="1" min="7" max="7"/>
    <col width="16" customWidth="1" min="8" max="8"/>
    <col width="14" customWidth="1" min="9" max="9"/>
    <col width="11" customWidth="1" min="10" max="10"/>
    <col width="30" customWidth="1" min="11" max="11"/>
    <col width="12" customWidth="1" min="12" max="12"/>
    <col width="20" customWidth="1" min="13" max="13"/>
    <col width="12" customWidth="1" min="14" max="14"/>
    <col width="14" customWidth="1" min="15" max="15"/>
    <col width="12" customWidth="1" min="16" max="16"/>
    <col width="12" customWidth="1" min="17" max="17"/>
    <col width="34" customWidth="1" min="18" max="18"/>
    <col width="14" customWidth="1" min="19" max="19"/>
    <col width="11" customWidth="1" min="20" max="20"/>
    <col width="11" customWidth="1" min="21" max="21"/>
    <col width="12" customWidth="1" min="22" max="22"/>
    <col width="24" customWidth="1" min="23" max="23"/>
    <col width="10" customWidth="1" min="24" max="24"/>
  </cols>
  <sheetData>
    <row r="1" ht="18" customHeight="1">
      <c r="A1" s="8" t="inlineStr">
        <is>
          <t>◆ 9月の売上・顧客。入力は 5 行目から。2行目＝今月の目標、4行目＝自動集計（数式・触らない）</t>
        </is>
      </c>
    </row>
    <row r="2" ht="20" customHeight="1">
      <c r="A2" s="24" t="inlineStr">
        <is>
          <t>今月目標(売上)</t>
        </is>
      </c>
      <c r="B2" s="25" t="n">
        <v>1800000</v>
      </c>
      <c r="C2" s="24" t="inlineStr">
        <is>
          <t>売上 現在</t>
        </is>
      </c>
      <c r="D2" s="25">
        <f>$L$4</f>
        <v/>
      </c>
      <c r="E2" s="24" t="inlineStr">
        <is>
          <t>過不足</t>
        </is>
      </c>
      <c r="F2" s="25">
        <f>D2-B2</f>
        <v/>
      </c>
      <c r="G2" s="24" t="inlineStr">
        <is>
          <t>達成率</t>
        </is>
      </c>
      <c r="H2" s="26">
        <f>IFERROR(D2/B2,0)</f>
        <v/>
      </c>
      <c r="I2" s="24" t="inlineStr">
        <is>
          <t>必要件数</t>
        </is>
      </c>
      <c r="J2" s="27" t="n">
        <v>46</v>
      </c>
      <c r="K2" s="24" t="inlineStr">
        <is>
          <t>件数 現在</t>
        </is>
      </c>
      <c r="L2" s="27">
        <f>$E$4</f>
        <v/>
      </c>
      <c r="M2" s="24" t="inlineStr">
        <is>
          <t>残り件数</t>
        </is>
      </c>
      <c r="N2" s="27">
        <f>J2-L2</f>
        <v/>
      </c>
      <c r="O2" s="24" t="inlineStr">
        <is>
          <t>④ネット新規 目標</t>
        </is>
      </c>
      <c r="P2" s="27" t="n">
        <v>12</v>
      </c>
      <c r="Q2" s="24" t="inlineStr">
        <is>
          <t>④ 現在</t>
        </is>
      </c>
      <c r="R2" s="27">
        <f>$R$4</f>
        <v/>
      </c>
    </row>
    <row r="3" ht="30" customHeight="1">
      <c r="A3" s="3" t="inlineStr">
        <is>
          <t>通し番号</t>
        </is>
      </c>
      <c r="B3" s="3" t="inlineStr">
        <is>
          <t>売上種類</t>
        </is>
      </c>
      <c r="C3" s="3" t="inlineStr">
        <is>
          <t>受注日</t>
        </is>
      </c>
      <c r="D3" s="3" t="inlineStr">
        <is>
          <t>施工日付</t>
        </is>
      </c>
      <c r="E3" s="3" t="inlineStr">
        <is>
          <t>流入経路</t>
        </is>
      </c>
      <c r="F3" s="3" t="inlineStr">
        <is>
          <t>流入元の識別子(?src=)</t>
        </is>
      </c>
      <c r="G3" s="3" t="inlineStr">
        <is>
          <t>紹介者（顧客ID）</t>
        </is>
      </c>
      <c r="H3" s="3" t="inlineStr">
        <is>
          <t>氏名</t>
        </is>
      </c>
      <c r="I3" s="3" t="inlineStr">
        <is>
          <t>TEL(-無し)</t>
        </is>
      </c>
      <c r="J3" s="3" t="inlineStr">
        <is>
          <t>郵便番号(-無し)</t>
        </is>
      </c>
      <c r="K3" s="3" t="inlineStr">
        <is>
          <t>住所</t>
        </is>
      </c>
      <c r="L3" s="3" t="inlineStr">
        <is>
          <t>売上（税込）</t>
        </is>
      </c>
      <c r="M3" s="3" t="inlineStr">
        <is>
          <t>実施メニュー</t>
        </is>
      </c>
      <c r="N3" s="3" t="inlineStr">
        <is>
          <t>施工担当</t>
        </is>
      </c>
      <c r="O3" s="3" t="inlineStr">
        <is>
          <t>フォローコール日</t>
        </is>
      </c>
      <c r="P3" s="3" t="inlineStr">
        <is>
          <t>早期予約提案</t>
        </is>
      </c>
      <c r="Q3" s="3" t="inlineStr">
        <is>
          <t>フォローコール</t>
        </is>
      </c>
      <c r="R3" s="3" t="inlineStr">
        <is>
          <t>備考(お客様の声)</t>
        </is>
      </c>
      <c r="S3" s="3" t="inlineStr">
        <is>
          <t>入金経路</t>
        </is>
      </c>
      <c r="T3" s="3" t="inlineStr">
        <is>
          <t>入金額照合</t>
        </is>
      </c>
      <c r="U3" s="3" t="inlineStr">
        <is>
          <t>ＯＨ打診</t>
        </is>
      </c>
      <c r="V3" s="3" t="inlineStr">
        <is>
          <t>本舗ロイ区分</t>
        </is>
      </c>
      <c r="W3" s="3" t="inlineStr">
        <is>
          <t>お客様周辺/環境情報</t>
        </is>
      </c>
      <c r="X3" s="3" t="inlineStr">
        <is>
          <t>カウント用</t>
        </is>
      </c>
    </row>
    <row r="4" ht="20" customHeight="1">
      <c r="A4" s="28">
        <f>"▼自動集計"</f>
        <v/>
      </c>
      <c r="B4" s="29">
        <f>COUNTIFS($B$5:$B$504,"One Hitter")</f>
        <v/>
      </c>
      <c r="C4" s="30">
        <f>IFERROR(SUMPRODUCT(($C$5:$C$504&lt;&gt;"")*($D$5:$D$504&lt;&gt;"")*($D$5:$D$504-$C$5:$C$504))/SUMPRODUCT(($C$5:$C$504&lt;&gt;"")*($D$5:$D$504&lt;&gt;"")),0)</f>
        <v/>
      </c>
      <c r="D4" s="31">
        <f>COUNTIFS($B$5:$B$504,"本舗")</f>
        <v/>
      </c>
      <c r="E4" s="32">
        <f>COUNTA($D$5:$D$504)</f>
        <v/>
      </c>
      <c r="F4" s="33">
        <f>IFERROR(SUM($L$5:$L$504)/COUNTA($D$5:$D$504),0)</f>
        <v/>
      </c>
      <c r="G4" s="34">
        <f>COUNTA($G$5:$G$504)</f>
        <v/>
      </c>
      <c r="H4" s="35">
        <f>IFERROR(SUMIFS($L$5:$L$504,$B$5:$B$504,"One Hitter")/COUNTIFS($B$5:$B$504,"One Hitter"),0)</f>
        <v/>
      </c>
      <c r="I4" s="36">
        <f>IFERROR(SUMIFS($L$5:$L$504,$B$5:$B$504,"本舗")/COUNTIFS($B$5:$B$504,"本舗"),0)</f>
        <v/>
      </c>
      <c r="J4" s="37">
        <f>SUMIFS($L$5:$L$504,$B$5:$B$504,"One Hitter")</f>
        <v/>
      </c>
      <c r="K4" s="38">
        <f>SUMIFS($L$5:$L$504,$B$5:$B$504,"本舗")</f>
        <v/>
      </c>
      <c r="L4" s="39">
        <f>SUM($L$5:$L$504)</f>
        <v/>
      </c>
      <c r="M4" s="40" t="n"/>
      <c r="N4" s="40" t="n"/>
      <c r="O4" s="40" t="n"/>
      <c r="P4" s="40" t="n"/>
      <c r="Q4" s="40" t="n"/>
      <c r="R4" s="41">
        <f>COUNTIFS($E$5:$E$504,"HP")+COUNTIFS($E$5:$E$504,"LP")+COUNTIFS($E$5:$E$504,"SNS")+COUNTIFS($E$5:$E$504,"GBP(地図検索)")+COUNTIFS($E$5:$E$504,"公式LINE")+COUNTIFS($E$5:$E$504,"アフィリエイト")+COUNTIFS($E$5:$E$504,"LINE/SMS再販")+COUNTIFS($E$5:$E$504,"SMS")+COUNTIFS($E$5:$E$504,"広告")</f>
        <v/>
      </c>
      <c r="S4" s="42">
        <f>SUMIFS($L$5:$L$504,$E$5:$E$504,"HP")+SUMIFS($L$5:$L$504,$E$5:$E$504,"LP")+SUMIFS($L$5:$L$504,$E$5:$E$504,"SNS")+SUMIFS($L$5:$L$504,$E$5:$E$504,"GBP(地図検索)")+SUMIFS($L$5:$L$504,$E$5:$E$504,"公式LINE")+SUMIFS($L$5:$L$504,$E$5:$E$504,"アフィリエイト")+SUMIFS($L$5:$L$504,$E$5:$E$504,"LINE/SMS再販")+SUMIFS($L$5:$L$504,$E$5:$E$504,"SMS")+SUMIFS($L$5:$L$504,$E$5:$E$504,"広告")</f>
        <v/>
      </c>
      <c r="T4" s="40" t="n"/>
      <c r="U4" s="40" t="n"/>
      <c r="V4" s="40" t="n"/>
      <c r="W4" s="40" t="n"/>
      <c r="X4" s="40" t="n"/>
    </row>
    <row r="5">
      <c r="A5" s="43" t="n"/>
      <c r="C5" s="44" t="n"/>
      <c r="D5" s="44" t="n"/>
      <c r="L5" s="45" t="n"/>
      <c r="O5" s="44" t="n"/>
    </row>
    <row r="6">
      <c r="A6" s="43" t="n"/>
      <c r="C6" s="44" t="n"/>
      <c r="D6" s="44" t="n"/>
      <c r="L6" s="45" t="n"/>
      <c r="O6" s="44" t="n"/>
    </row>
    <row r="7">
      <c r="A7" s="43" t="n"/>
      <c r="C7" s="44" t="n"/>
      <c r="D7" s="44" t="n"/>
      <c r="L7" s="45" t="n"/>
      <c r="O7" s="44" t="n"/>
    </row>
    <row r="8">
      <c r="A8" s="43" t="n"/>
      <c r="C8" s="44" t="n"/>
      <c r="D8" s="44" t="n"/>
      <c r="L8" s="45" t="n"/>
      <c r="O8" s="44" t="n"/>
    </row>
    <row r="9">
      <c r="A9" s="43" t="n"/>
      <c r="C9" s="44" t="n"/>
      <c r="D9" s="44" t="n"/>
      <c r="L9" s="45" t="n"/>
      <c r="O9" s="44" t="n"/>
    </row>
    <row r="10">
      <c r="A10" s="43" t="n"/>
      <c r="C10" s="44" t="n"/>
      <c r="D10" s="44" t="n"/>
      <c r="L10" s="45" t="n"/>
      <c r="O10" s="44" t="n"/>
    </row>
    <row r="11">
      <c r="A11" s="43" t="n"/>
      <c r="C11" s="44" t="n"/>
      <c r="D11" s="44" t="n"/>
      <c r="L11" s="45" t="n"/>
      <c r="O11" s="44" t="n"/>
    </row>
    <row r="12">
      <c r="A12" s="43" t="n"/>
      <c r="C12" s="44" t="n"/>
      <c r="D12" s="44" t="n"/>
      <c r="L12" s="45" t="n"/>
      <c r="O12" s="44" t="n"/>
    </row>
    <row r="13">
      <c r="A13" s="43" t="n"/>
      <c r="C13" s="44" t="n"/>
      <c r="D13" s="44" t="n"/>
      <c r="L13" s="45" t="n"/>
      <c r="O13" s="44" t="n"/>
    </row>
    <row r="14">
      <c r="A14" s="43" t="n"/>
      <c r="C14" s="44" t="n"/>
      <c r="D14" s="44" t="n"/>
      <c r="L14" s="45" t="n"/>
      <c r="O14" s="44" t="n"/>
    </row>
    <row r="15">
      <c r="A15" s="43" t="n"/>
      <c r="C15" s="44" t="n"/>
      <c r="D15" s="44" t="n"/>
      <c r="L15" s="45" t="n"/>
      <c r="O15" s="44" t="n"/>
    </row>
    <row r="16">
      <c r="A16" s="43" t="n"/>
      <c r="C16" s="44" t="n"/>
      <c r="D16" s="44" t="n"/>
      <c r="L16" s="45" t="n"/>
      <c r="O16" s="44" t="n"/>
    </row>
    <row r="17">
      <c r="A17" s="43" t="n"/>
      <c r="C17" s="44" t="n"/>
      <c r="D17" s="44" t="n"/>
      <c r="L17" s="45" t="n"/>
      <c r="O17" s="44" t="n"/>
    </row>
    <row r="18">
      <c r="A18" s="43" t="n"/>
      <c r="C18" s="44" t="n"/>
      <c r="D18" s="44" t="n"/>
      <c r="L18" s="45" t="n"/>
      <c r="O18" s="44" t="n"/>
    </row>
    <row r="19">
      <c r="A19" s="43" t="n"/>
      <c r="C19" s="44" t="n"/>
      <c r="D19" s="44" t="n"/>
      <c r="L19" s="45" t="n"/>
      <c r="O19" s="44" t="n"/>
    </row>
    <row r="20">
      <c r="A20" s="43" t="n"/>
      <c r="C20" s="44" t="n"/>
      <c r="D20" s="44" t="n"/>
      <c r="L20" s="45" t="n"/>
      <c r="O20" s="44" t="n"/>
    </row>
    <row r="21">
      <c r="A21" s="43" t="n"/>
      <c r="C21" s="44" t="n"/>
      <c r="D21" s="44" t="n"/>
      <c r="L21" s="45" t="n"/>
      <c r="O21" s="44" t="n"/>
    </row>
    <row r="22">
      <c r="A22" s="43" t="n"/>
      <c r="C22" s="44" t="n"/>
      <c r="D22" s="44" t="n"/>
      <c r="L22" s="45" t="n"/>
      <c r="O22" s="44" t="n"/>
    </row>
    <row r="23">
      <c r="A23" s="43" t="n"/>
      <c r="C23" s="44" t="n"/>
      <c r="D23" s="44" t="n"/>
      <c r="L23" s="45" t="n"/>
      <c r="O23" s="44" t="n"/>
    </row>
    <row r="24">
      <c r="A24" s="43" t="n"/>
      <c r="C24" s="44" t="n"/>
      <c r="D24" s="44" t="n"/>
      <c r="L24" s="45" t="n"/>
      <c r="O24" s="44" t="n"/>
    </row>
    <row r="25">
      <c r="A25" s="43" t="n"/>
      <c r="C25" s="44" t="n"/>
      <c r="D25" s="44" t="n"/>
      <c r="L25" s="45" t="n"/>
      <c r="O25" s="44" t="n"/>
    </row>
    <row r="26">
      <c r="A26" s="43" t="n"/>
      <c r="C26" s="44" t="n"/>
      <c r="D26" s="44" t="n"/>
      <c r="L26" s="45" t="n"/>
      <c r="O26" s="44" t="n"/>
    </row>
    <row r="27">
      <c r="A27" s="43" t="n"/>
      <c r="C27" s="44" t="n"/>
      <c r="D27" s="44" t="n"/>
      <c r="L27" s="45" t="n"/>
      <c r="O27" s="44" t="n"/>
    </row>
    <row r="28">
      <c r="A28" s="43" t="n"/>
      <c r="C28" s="44" t="n"/>
      <c r="D28" s="44" t="n"/>
      <c r="L28" s="45" t="n"/>
      <c r="O28" s="44" t="n"/>
    </row>
    <row r="29">
      <c r="A29" s="43" t="n"/>
      <c r="C29" s="44" t="n"/>
      <c r="D29" s="44" t="n"/>
      <c r="L29" s="45" t="n"/>
      <c r="O29" s="44" t="n"/>
    </row>
    <row r="30">
      <c r="A30" s="43" t="n"/>
      <c r="C30" s="44" t="n"/>
      <c r="D30" s="44" t="n"/>
      <c r="L30" s="45" t="n"/>
      <c r="O30" s="44" t="n"/>
    </row>
    <row r="31">
      <c r="A31" s="43" t="n"/>
      <c r="C31" s="44" t="n"/>
      <c r="D31" s="44" t="n"/>
      <c r="L31" s="45" t="n"/>
      <c r="O31" s="44" t="n"/>
    </row>
    <row r="32">
      <c r="A32" s="43" t="n"/>
      <c r="C32" s="44" t="n"/>
      <c r="D32" s="44" t="n"/>
      <c r="L32" s="45" t="n"/>
      <c r="O32" s="44" t="n"/>
    </row>
    <row r="33">
      <c r="A33" s="43" t="n"/>
      <c r="C33" s="44" t="n"/>
      <c r="D33" s="44" t="n"/>
      <c r="L33" s="45" t="n"/>
      <c r="O33" s="44" t="n"/>
    </row>
    <row r="34">
      <c r="A34" s="43" t="n"/>
      <c r="C34" s="44" t="n"/>
      <c r="D34" s="44" t="n"/>
      <c r="L34" s="45" t="n"/>
      <c r="O34" s="44" t="n"/>
    </row>
    <row r="35">
      <c r="A35" s="43" t="n"/>
      <c r="C35" s="44" t="n"/>
      <c r="D35" s="44" t="n"/>
      <c r="L35" s="45" t="n"/>
      <c r="O35" s="44" t="n"/>
    </row>
    <row r="36">
      <c r="A36" s="43" t="n"/>
      <c r="C36" s="44" t="n"/>
      <c r="D36" s="44" t="n"/>
      <c r="L36" s="45" t="n"/>
      <c r="O36" s="44" t="n"/>
    </row>
    <row r="37">
      <c r="A37" s="43" t="n"/>
      <c r="C37" s="44" t="n"/>
      <c r="D37" s="44" t="n"/>
      <c r="L37" s="45" t="n"/>
      <c r="O37" s="44" t="n"/>
    </row>
    <row r="38">
      <c r="A38" s="43" t="n"/>
      <c r="C38" s="44" t="n"/>
      <c r="D38" s="44" t="n"/>
      <c r="L38" s="45" t="n"/>
      <c r="O38" s="44" t="n"/>
    </row>
    <row r="39">
      <c r="A39" s="43" t="n"/>
      <c r="C39" s="44" t="n"/>
      <c r="D39" s="44" t="n"/>
      <c r="L39" s="45" t="n"/>
      <c r="O39" s="44" t="n"/>
    </row>
    <row r="40">
      <c r="A40" s="43" t="n"/>
      <c r="C40" s="44" t="n"/>
      <c r="D40" s="44" t="n"/>
      <c r="L40" s="45" t="n"/>
      <c r="O40" s="44" t="n"/>
    </row>
    <row r="41">
      <c r="A41" s="43" t="n"/>
      <c r="C41" s="44" t="n"/>
      <c r="D41" s="44" t="n"/>
      <c r="L41" s="45" t="n"/>
      <c r="O41" s="44" t="n"/>
    </row>
    <row r="42">
      <c r="A42" s="43" t="n"/>
      <c r="C42" s="44" t="n"/>
      <c r="D42" s="44" t="n"/>
      <c r="L42" s="45" t="n"/>
      <c r="O42" s="44" t="n"/>
    </row>
    <row r="43">
      <c r="A43" s="43" t="n"/>
      <c r="C43" s="44" t="n"/>
      <c r="D43" s="44" t="n"/>
      <c r="L43" s="45" t="n"/>
      <c r="O43" s="44" t="n"/>
    </row>
    <row r="44">
      <c r="A44" s="43" t="n"/>
      <c r="C44" s="44" t="n"/>
      <c r="D44" s="44" t="n"/>
      <c r="L44" s="45" t="n"/>
      <c r="O44" s="44" t="n"/>
    </row>
    <row r="45">
      <c r="A45" s="43" t="n"/>
      <c r="C45" s="44" t="n"/>
      <c r="D45" s="44" t="n"/>
      <c r="L45" s="45" t="n"/>
      <c r="O45" s="44" t="n"/>
    </row>
    <row r="46">
      <c r="A46" s="43" t="n"/>
      <c r="C46" s="44" t="n"/>
      <c r="D46" s="44" t="n"/>
      <c r="L46" s="45" t="n"/>
      <c r="O46" s="44" t="n"/>
    </row>
    <row r="47">
      <c r="A47" s="43" t="n"/>
      <c r="C47" s="44" t="n"/>
      <c r="D47" s="44" t="n"/>
      <c r="L47" s="45" t="n"/>
      <c r="O47" s="44" t="n"/>
    </row>
    <row r="48">
      <c r="A48" s="43" t="n"/>
      <c r="C48" s="44" t="n"/>
      <c r="D48" s="44" t="n"/>
      <c r="L48" s="45" t="n"/>
      <c r="O48" s="44" t="n"/>
    </row>
    <row r="49">
      <c r="A49" s="43" t="n"/>
      <c r="C49" s="44" t="n"/>
      <c r="D49" s="44" t="n"/>
      <c r="L49" s="45" t="n"/>
      <c r="O49" s="44" t="n"/>
    </row>
    <row r="50">
      <c r="A50" s="43" t="n"/>
      <c r="C50" s="44" t="n"/>
      <c r="D50" s="44" t="n"/>
      <c r="L50" s="45" t="n"/>
      <c r="O50" s="44" t="n"/>
    </row>
    <row r="51">
      <c r="A51" s="43" t="n"/>
      <c r="C51" s="44" t="n"/>
      <c r="D51" s="44" t="n"/>
      <c r="L51" s="45" t="n"/>
      <c r="O51" s="44" t="n"/>
    </row>
    <row r="52">
      <c r="A52" s="43" t="n"/>
      <c r="C52" s="44" t="n"/>
      <c r="D52" s="44" t="n"/>
      <c r="L52" s="45" t="n"/>
      <c r="O52" s="44" t="n"/>
    </row>
    <row r="53">
      <c r="A53" s="43" t="n"/>
      <c r="C53" s="44" t="n"/>
      <c r="D53" s="44" t="n"/>
      <c r="L53" s="45" t="n"/>
      <c r="O53" s="44" t="n"/>
    </row>
    <row r="54">
      <c r="A54" s="43" t="n"/>
      <c r="C54" s="44" t="n"/>
      <c r="D54" s="44" t="n"/>
      <c r="L54" s="45" t="n"/>
      <c r="O54" s="44" t="n"/>
    </row>
    <row r="55">
      <c r="A55" s="43" t="n"/>
      <c r="C55" s="44" t="n"/>
      <c r="D55" s="44" t="n"/>
      <c r="L55" s="45" t="n"/>
      <c r="O55" s="44" t="n"/>
    </row>
    <row r="56">
      <c r="A56" s="43" t="n"/>
      <c r="C56" s="44" t="n"/>
      <c r="D56" s="44" t="n"/>
      <c r="L56" s="45" t="n"/>
      <c r="O56" s="44" t="n"/>
    </row>
    <row r="57">
      <c r="A57" s="43" t="n"/>
      <c r="C57" s="44" t="n"/>
      <c r="D57" s="44" t="n"/>
      <c r="L57" s="45" t="n"/>
      <c r="O57" s="44" t="n"/>
    </row>
    <row r="58">
      <c r="A58" s="43" t="n"/>
      <c r="C58" s="44" t="n"/>
      <c r="D58" s="44" t="n"/>
      <c r="L58" s="45" t="n"/>
      <c r="O58" s="44" t="n"/>
    </row>
    <row r="59">
      <c r="A59" s="43" t="n"/>
      <c r="C59" s="44" t="n"/>
      <c r="D59" s="44" t="n"/>
      <c r="L59" s="45" t="n"/>
      <c r="O59" s="44" t="n"/>
    </row>
    <row r="60">
      <c r="A60" s="43" t="n"/>
      <c r="C60" s="44" t="n"/>
      <c r="D60" s="44" t="n"/>
      <c r="L60" s="45" t="n"/>
      <c r="O60" s="44" t="n"/>
    </row>
    <row r="61">
      <c r="A61" s="43" t="n"/>
      <c r="C61" s="44" t="n"/>
      <c r="D61" s="44" t="n"/>
      <c r="L61" s="45" t="n"/>
      <c r="O61" s="44" t="n"/>
    </row>
    <row r="62">
      <c r="A62" s="43" t="n"/>
      <c r="C62" s="44" t="n"/>
      <c r="D62" s="44" t="n"/>
      <c r="L62" s="45" t="n"/>
      <c r="O62" s="44" t="n"/>
    </row>
    <row r="63">
      <c r="A63" s="43" t="n"/>
      <c r="C63" s="44" t="n"/>
      <c r="D63" s="44" t="n"/>
      <c r="L63" s="45" t="n"/>
      <c r="O63" s="44" t="n"/>
    </row>
    <row r="64">
      <c r="A64" s="43" t="n"/>
      <c r="C64" s="44" t="n"/>
      <c r="D64" s="44" t="n"/>
      <c r="L64" s="45" t="n"/>
      <c r="O64" s="44" t="n"/>
    </row>
    <row r="65">
      <c r="A65" s="43" t="n"/>
      <c r="C65" s="44" t="n"/>
      <c r="D65" s="44" t="n"/>
      <c r="L65" s="45" t="n"/>
      <c r="O65" s="44" t="n"/>
    </row>
    <row r="66">
      <c r="A66" s="43" t="n"/>
      <c r="C66" s="44" t="n"/>
      <c r="D66" s="44" t="n"/>
      <c r="L66" s="45" t="n"/>
      <c r="O66" s="44" t="n"/>
    </row>
    <row r="67">
      <c r="A67" s="43" t="n"/>
      <c r="C67" s="44" t="n"/>
      <c r="D67" s="44" t="n"/>
      <c r="L67" s="45" t="n"/>
      <c r="O67" s="44" t="n"/>
    </row>
    <row r="68">
      <c r="A68" s="43" t="n"/>
      <c r="C68" s="44" t="n"/>
      <c r="D68" s="44" t="n"/>
      <c r="L68" s="45" t="n"/>
      <c r="O68" s="44" t="n"/>
    </row>
    <row r="69">
      <c r="A69" s="43" t="n"/>
      <c r="C69" s="44" t="n"/>
      <c r="D69" s="44" t="n"/>
      <c r="L69" s="45" t="n"/>
      <c r="O69" s="44" t="n"/>
    </row>
    <row r="70">
      <c r="A70" s="43" t="n"/>
      <c r="C70" s="44" t="n"/>
      <c r="D70" s="44" t="n"/>
      <c r="L70" s="45" t="n"/>
      <c r="O70" s="44" t="n"/>
    </row>
    <row r="71">
      <c r="A71" s="43" t="n"/>
      <c r="C71" s="44" t="n"/>
      <c r="D71" s="44" t="n"/>
      <c r="L71" s="45" t="n"/>
      <c r="O71" s="44" t="n"/>
    </row>
    <row r="72">
      <c r="A72" s="43" t="n"/>
      <c r="C72" s="44" t="n"/>
      <c r="D72" s="44" t="n"/>
      <c r="L72" s="45" t="n"/>
      <c r="O72" s="44" t="n"/>
    </row>
    <row r="73">
      <c r="A73" s="43" t="n"/>
      <c r="C73" s="44" t="n"/>
      <c r="D73" s="44" t="n"/>
      <c r="L73" s="45" t="n"/>
      <c r="O73" s="44" t="n"/>
    </row>
    <row r="74">
      <c r="A74" s="43" t="n"/>
      <c r="C74" s="44" t="n"/>
      <c r="D74" s="44" t="n"/>
      <c r="L74" s="45" t="n"/>
      <c r="O74" s="44" t="n"/>
    </row>
    <row r="75">
      <c r="A75" s="43" t="n"/>
      <c r="C75" s="44" t="n"/>
      <c r="D75" s="44" t="n"/>
      <c r="L75" s="45" t="n"/>
      <c r="O75" s="44" t="n"/>
    </row>
    <row r="76">
      <c r="A76" s="43" t="n"/>
      <c r="C76" s="44" t="n"/>
      <c r="D76" s="44" t="n"/>
      <c r="L76" s="45" t="n"/>
      <c r="O76" s="44" t="n"/>
    </row>
    <row r="77">
      <c r="A77" s="43" t="n"/>
      <c r="C77" s="44" t="n"/>
      <c r="D77" s="44" t="n"/>
      <c r="L77" s="45" t="n"/>
      <c r="O77" s="44" t="n"/>
    </row>
    <row r="78">
      <c r="A78" s="43" t="n"/>
      <c r="C78" s="44" t="n"/>
      <c r="D78" s="44" t="n"/>
      <c r="L78" s="45" t="n"/>
      <c r="O78" s="44" t="n"/>
    </row>
    <row r="79">
      <c r="A79" s="43" t="n"/>
      <c r="C79" s="44" t="n"/>
      <c r="D79" s="44" t="n"/>
      <c r="L79" s="45" t="n"/>
      <c r="O79" s="44" t="n"/>
    </row>
    <row r="80">
      <c r="A80" s="43" t="n"/>
      <c r="C80" s="44" t="n"/>
      <c r="D80" s="44" t="n"/>
      <c r="L80" s="45" t="n"/>
      <c r="O80" s="44" t="n"/>
    </row>
    <row r="81">
      <c r="A81" s="43" t="n"/>
      <c r="C81" s="44" t="n"/>
      <c r="D81" s="44" t="n"/>
      <c r="L81" s="45" t="n"/>
      <c r="O81" s="44" t="n"/>
    </row>
    <row r="82">
      <c r="A82" s="43" t="n"/>
      <c r="C82" s="44" t="n"/>
      <c r="D82" s="44" t="n"/>
      <c r="L82" s="45" t="n"/>
      <c r="O82" s="44" t="n"/>
    </row>
    <row r="83">
      <c r="A83" s="43" t="n"/>
      <c r="C83" s="44" t="n"/>
      <c r="D83" s="44" t="n"/>
      <c r="L83" s="45" t="n"/>
      <c r="O83" s="44" t="n"/>
    </row>
    <row r="84">
      <c r="A84" s="43" t="n"/>
      <c r="C84" s="44" t="n"/>
      <c r="D84" s="44" t="n"/>
      <c r="L84" s="45" t="n"/>
      <c r="O84" s="44" t="n"/>
    </row>
    <row r="85">
      <c r="A85" s="43" t="n"/>
      <c r="C85" s="44" t="n"/>
      <c r="D85" s="44" t="n"/>
      <c r="L85" s="45" t="n"/>
      <c r="O85" s="44" t="n"/>
    </row>
    <row r="86">
      <c r="A86" s="43" t="n"/>
      <c r="C86" s="44" t="n"/>
      <c r="D86" s="44" t="n"/>
      <c r="L86" s="45" t="n"/>
      <c r="O86" s="44" t="n"/>
    </row>
    <row r="87">
      <c r="A87" s="43" t="n"/>
      <c r="C87" s="44" t="n"/>
      <c r="D87" s="44" t="n"/>
      <c r="L87" s="45" t="n"/>
      <c r="O87" s="44" t="n"/>
    </row>
    <row r="88">
      <c r="A88" s="43" t="n"/>
      <c r="C88" s="44" t="n"/>
      <c r="D88" s="44" t="n"/>
      <c r="L88" s="45" t="n"/>
      <c r="O88" s="44" t="n"/>
    </row>
    <row r="89">
      <c r="A89" s="43" t="n"/>
      <c r="C89" s="44" t="n"/>
      <c r="D89" s="44" t="n"/>
      <c r="L89" s="45" t="n"/>
      <c r="O89" s="44" t="n"/>
    </row>
    <row r="90">
      <c r="A90" s="43" t="n"/>
      <c r="C90" s="44" t="n"/>
      <c r="D90" s="44" t="n"/>
      <c r="L90" s="45" t="n"/>
      <c r="O90" s="44" t="n"/>
    </row>
    <row r="91">
      <c r="A91" s="43" t="n"/>
      <c r="C91" s="44" t="n"/>
      <c r="D91" s="44" t="n"/>
      <c r="L91" s="45" t="n"/>
      <c r="O91" s="44" t="n"/>
    </row>
    <row r="92">
      <c r="A92" s="43" t="n"/>
      <c r="C92" s="44" t="n"/>
      <c r="D92" s="44" t="n"/>
      <c r="L92" s="45" t="n"/>
      <c r="O92" s="44" t="n"/>
    </row>
    <row r="93">
      <c r="A93" s="43" t="n"/>
      <c r="C93" s="44" t="n"/>
      <c r="D93" s="44" t="n"/>
      <c r="L93" s="45" t="n"/>
      <c r="O93" s="44" t="n"/>
    </row>
    <row r="94">
      <c r="A94" s="43" t="n"/>
      <c r="C94" s="44" t="n"/>
      <c r="D94" s="44" t="n"/>
      <c r="L94" s="45" t="n"/>
      <c r="O94" s="44" t="n"/>
    </row>
    <row r="95">
      <c r="A95" s="43" t="n"/>
      <c r="C95" s="44" t="n"/>
      <c r="D95" s="44" t="n"/>
      <c r="L95" s="45" t="n"/>
      <c r="O95" s="44" t="n"/>
    </row>
    <row r="96">
      <c r="A96" s="43" t="n"/>
      <c r="C96" s="44" t="n"/>
      <c r="D96" s="44" t="n"/>
      <c r="L96" s="45" t="n"/>
      <c r="O96" s="44" t="n"/>
    </row>
    <row r="97">
      <c r="A97" s="43" t="n"/>
      <c r="C97" s="44" t="n"/>
      <c r="D97" s="44" t="n"/>
      <c r="L97" s="45" t="n"/>
      <c r="O97" s="44" t="n"/>
    </row>
    <row r="98">
      <c r="A98" s="43" t="n"/>
      <c r="C98" s="44" t="n"/>
      <c r="D98" s="44" t="n"/>
      <c r="L98" s="45" t="n"/>
      <c r="O98" s="44" t="n"/>
    </row>
    <row r="99">
      <c r="A99" s="43" t="n"/>
      <c r="C99" s="44" t="n"/>
      <c r="D99" s="44" t="n"/>
      <c r="L99" s="45" t="n"/>
      <c r="O99" s="44" t="n"/>
    </row>
    <row r="100">
      <c r="A100" s="43" t="n"/>
      <c r="C100" s="44" t="n"/>
      <c r="D100" s="44" t="n"/>
      <c r="L100" s="45" t="n"/>
      <c r="O100" s="44" t="n"/>
    </row>
    <row r="101">
      <c r="A101" s="43" t="n"/>
      <c r="C101" s="44" t="n"/>
      <c r="D101" s="44" t="n"/>
      <c r="L101" s="45" t="n"/>
      <c r="O101" s="44" t="n"/>
    </row>
    <row r="102">
      <c r="A102" s="43" t="n"/>
      <c r="C102" s="44" t="n"/>
      <c r="D102" s="44" t="n"/>
      <c r="L102" s="45" t="n"/>
      <c r="O102" s="44" t="n"/>
    </row>
    <row r="103">
      <c r="A103" s="43" t="n"/>
      <c r="C103" s="44" t="n"/>
      <c r="D103" s="44" t="n"/>
      <c r="L103" s="45" t="n"/>
      <c r="O103" s="44" t="n"/>
    </row>
    <row r="104">
      <c r="A104" s="43" t="n"/>
      <c r="C104" s="44" t="n"/>
      <c r="D104" s="44" t="n"/>
      <c r="L104" s="45" t="n"/>
      <c r="O104" s="44" t="n"/>
    </row>
    <row r="105">
      <c r="A105" s="43" t="n"/>
      <c r="C105" s="44" t="n"/>
      <c r="D105" s="44" t="n"/>
      <c r="L105" s="45" t="n"/>
      <c r="O105" s="44" t="n"/>
    </row>
    <row r="106">
      <c r="A106" s="43" t="n"/>
      <c r="C106" s="44" t="n"/>
      <c r="D106" s="44" t="n"/>
      <c r="L106" s="45" t="n"/>
      <c r="O106" s="44" t="n"/>
    </row>
    <row r="107">
      <c r="A107" s="43" t="n"/>
      <c r="C107" s="44" t="n"/>
      <c r="D107" s="44" t="n"/>
      <c r="L107" s="45" t="n"/>
      <c r="O107" s="44" t="n"/>
    </row>
    <row r="108">
      <c r="A108" s="43" t="n"/>
      <c r="C108" s="44" t="n"/>
      <c r="D108" s="44" t="n"/>
      <c r="L108" s="45" t="n"/>
      <c r="O108" s="44" t="n"/>
    </row>
    <row r="109">
      <c r="A109" s="43" t="n"/>
      <c r="C109" s="44" t="n"/>
      <c r="D109" s="44" t="n"/>
      <c r="L109" s="45" t="n"/>
      <c r="O109" s="44" t="n"/>
    </row>
    <row r="110">
      <c r="A110" s="43" t="n"/>
      <c r="C110" s="44" t="n"/>
      <c r="D110" s="44" t="n"/>
      <c r="L110" s="45" t="n"/>
      <c r="O110" s="44" t="n"/>
    </row>
    <row r="111">
      <c r="A111" s="43" t="n"/>
      <c r="C111" s="44" t="n"/>
      <c r="D111" s="44" t="n"/>
      <c r="L111" s="45" t="n"/>
      <c r="O111" s="44" t="n"/>
    </row>
    <row r="112">
      <c r="A112" s="43" t="n"/>
      <c r="C112" s="44" t="n"/>
      <c r="D112" s="44" t="n"/>
      <c r="L112" s="45" t="n"/>
      <c r="O112" s="44" t="n"/>
    </row>
    <row r="113">
      <c r="A113" s="43" t="n"/>
      <c r="C113" s="44" t="n"/>
      <c r="D113" s="44" t="n"/>
      <c r="L113" s="45" t="n"/>
      <c r="O113" s="44" t="n"/>
    </row>
    <row r="114">
      <c r="A114" s="43" t="n"/>
      <c r="C114" s="44" t="n"/>
      <c r="D114" s="44" t="n"/>
      <c r="L114" s="45" t="n"/>
      <c r="O114" s="44" t="n"/>
    </row>
    <row r="115">
      <c r="A115" s="43" t="n"/>
      <c r="C115" s="44" t="n"/>
      <c r="D115" s="44" t="n"/>
      <c r="L115" s="45" t="n"/>
      <c r="O115" s="44" t="n"/>
    </row>
    <row r="116">
      <c r="A116" s="43" t="n"/>
      <c r="C116" s="44" t="n"/>
      <c r="D116" s="44" t="n"/>
      <c r="L116" s="45" t="n"/>
      <c r="O116" s="44" t="n"/>
    </row>
    <row r="117">
      <c r="A117" s="43" t="n"/>
      <c r="C117" s="44" t="n"/>
      <c r="D117" s="44" t="n"/>
      <c r="L117" s="45" t="n"/>
      <c r="O117" s="44" t="n"/>
    </row>
    <row r="118">
      <c r="A118" s="43" t="n"/>
      <c r="C118" s="44" t="n"/>
      <c r="D118" s="44" t="n"/>
      <c r="L118" s="45" t="n"/>
      <c r="O118" s="44" t="n"/>
    </row>
    <row r="119">
      <c r="A119" s="43" t="n"/>
      <c r="C119" s="44" t="n"/>
      <c r="D119" s="44" t="n"/>
      <c r="L119" s="45" t="n"/>
      <c r="O119" s="44" t="n"/>
    </row>
    <row r="120">
      <c r="A120" s="43" t="n"/>
      <c r="C120" s="44" t="n"/>
      <c r="D120" s="44" t="n"/>
      <c r="L120" s="45" t="n"/>
      <c r="O120" s="44" t="n"/>
    </row>
    <row r="121">
      <c r="A121" s="43" t="n"/>
      <c r="C121" s="44" t="n"/>
      <c r="D121" s="44" t="n"/>
      <c r="L121" s="45" t="n"/>
      <c r="O121" s="44" t="n"/>
    </row>
    <row r="122">
      <c r="A122" s="43" t="n"/>
      <c r="C122" s="44" t="n"/>
      <c r="D122" s="44" t="n"/>
      <c r="L122" s="45" t="n"/>
      <c r="O122" s="44" t="n"/>
    </row>
    <row r="123">
      <c r="A123" s="43" t="n"/>
      <c r="C123" s="44" t="n"/>
      <c r="D123" s="44" t="n"/>
      <c r="L123" s="45" t="n"/>
      <c r="O123" s="44" t="n"/>
    </row>
    <row r="124">
      <c r="A124" s="43" t="n"/>
      <c r="C124" s="44" t="n"/>
      <c r="D124" s="44" t="n"/>
      <c r="L124" s="45" t="n"/>
      <c r="O124" s="44" t="n"/>
    </row>
    <row r="125">
      <c r="A125" s="43" t="n"/>
      <c r="C125" s="44" t="n"/>
      <c r="D125" s="44" t="n"/>
      <c r="L125" s="45" t="n"/>
      <c r="O125" s="44" t="n"/>
    </row>
    <row r="126">
      <c r="A126" s="43" t="n"/>
      <c r="C126" s="44" t="n"/>
      <c r="D126" s="44" t="n"/>
      <c r="L126" s="45" t="n"/>
      <c r="O126" s="44" t="n"/>
    </row>
    <row r="127">
      <c r="A127" s="43" t="n"/>
      <c r="C127" s="44" t="n"/>
      <c r="D127" s="44" t="n"/>
      <c r="L127" s="45" t="n"/>
      <c r="O127" s="44" t="n"/>
    </row>
    <row r="128">
      <c r="A128" s="43" t="n"/>
      <c r="C128" s="44" t="n"/>
      <c r="D128" s="44" t="n"/>
      <c r="L128" s="45" t="n"/>
      <c r="O128" s="44" t="n"/>
    </row>
    <row r="129">
      <c r="A129" s="43" t="n"/>
      <c r="C129" s="44" t="n"/>
      <c r="D129" s="44" t="n"/>
      <c r="L129" s="45" t="n"/>
      <c r="O129" s="44" t="n"/>
    </row>
    <row r="130">
      <c r="A130" s="43" t="n"/>
      <c r="C130" s="44" t="n"/>
      <c r="D130" s="44" t="n"/>
      <c r="L130" s="45" t="n"/>
      <c r="O130" s="44" t="n"/>
    </row>
    <row r="131">
      <c r="A131" s="43" t="n"/>
      <c r="C131" s="44" t="n"/>
      <c r="D131" s="44" t="n"/>
      <c r="L131" s="45" t="n"/>
      <c r="O131" s="44" t="n"/>
    </row>
    <row r="132">
      <c r="A132" s="43" t="n"/>
      <c r="C132" s="44" t="n"/>
      <c r="D132" s="44" t="n"/>
      <c r="L132" s="45" t="n"/>
      <c r="O132" s="44" t="n"/>
    </row>
    <row r="133">
      <c r="A133" s="43" t="n"/>
      <c r="C133" s="44" t="n"/>
      <c r="D133" s="44" t="n"/>
      <c r="L133" s="45" t="n"/>
      <c r="O133" s="44" t="n"/>
    </row>
    <row r="134">
      <c r="A134" s="43" t="n"/>
      <c r="C134" s="44" t="n"/>
      <c r="D134" s="44" t="n"/>
      <c r="L134" s="45" t="n"/>
      <c r="O134" s="44" t="n"/>
    </row>
    <row r="135">
      <c r="A135" s="43" t="n"/>
      <c r="C135" s="44" t="n"/>
      <c r="D135" s="44" t="n"/>
      <c r="L135" s="45" t="n"/>
      <c r="O135" s="44" t="n"/>
    </row>
    <row r="136">
      <c r="A136" s="43" t="n"/>
      <c r="C136" s="44" t="n"/>
      <c r="D136" s="44" t="n"/>
      <c r="L136" s="45" t="n"/>
      <c r="O136" s="44" t="n"/>
    </row>
    <row r="137">
      <c r="A137" s="43" t="n"/>
      <c r="C137" s="44" t="n"/>
      <c r="D137" s="44" t="n"/>
      <c r="L137" s="45" t="n"/>
      <c r="O137" s="44" t="n"/>
    </row>
    <row r="138">
      <c r="A138" s="43" t="n"/>
      <c r="C138" s="44" t="n"/>
      <c r="D138" s="44" t="n"/>
      <c r="L138" s="45" t="n"/>
      <c r="O138" s="44" t="n"/>
    </row>
    <row r="139">
      <c r="A139" s="43" t="n"/>
      <c r="C139" s="44" t="n"/>
      <c r="D139" s="44" t="n"/>
      <c r="L139" s="45" t="n"/>
      <c r="O139" s="44" t="n"/>
    </row>
    <row r="140">
      <c r="A140" s="43" t="n"/>
      <c r="C140" s="44" t="n"/>
      <c r="D140" s="44" t="n"/>
      <c r="L140" s="45" t="n"/>
      <c r="O140" s="44" t="n"/>
    </row>
    <row r="141">
      <c r="A141" s="43" t="n"/>
      <c r="C141" s="44" t="n"/>
      <c r="D141" s="44" t="n"/>
      <c r="L141" s="45" t="n"/>
      <c r="O141" s="44" t="n"/>
    </row>
    <row r="142">
      <c r="A142" s="43" t="n"/>
      <c r="C142" s="44" t="n"/>
      <c r="D142" s="44" t="n"/>
      <c r="L142" s="45" t="n"/>
      <c r="O142" s="44" t="n"/>
    </row>
    <row r="143">
      <c r="A143" s="43" t="n"/>
      <c r="C143" s="44" t="n"/>
      <c r="D143" s="44" t="n"/>
      <c r="L143" s="45" t="n"/>
      <c r="O143" s="44" t="n"/>
    </row>
    <row r="144">
      <c r="A144" s="43" t="n"/>
      <c r="C144" s="44" t="n"/>
      <c r="D144" s="44" t="n"/>
      <c r="L144" s="45" t="n"/>
      <c r="O144" s="44" t="n"/>
    </row>
    <row r="145">
      <c r="A145" s="43" t="n"/>
      <c r="C145" s="44" t="n"/>
      <c r="D145" s="44" t="n"/>
      <c r="L145" s="45" t="n"/>
      <c r="O145" s="44" t="n"/>
    </row>
    <row r="146">
      <c r="A146" s="43" t="n"/>
      <c r="C146" s="44" t="n"/>
      <c r="D146" s="44" t="n"/>
      <c r="L146" s="45" t="n"/>
      <c r="O146" s="44" t="n"/>
    </row>
    <row r="147">
      <c r="A147" s="43" t="n"/>
      <c r="C147" s="44" t="n"/>
      <c r="D147" s="44" t="n"/>
      <c r="L147" s="45" t="n"/>
      <c r="O147" s="44" t="n"/>
    </row>
    <row r="148">
      <c r="A148" s="43" t="n"/>
      <c r="C148" s="44" t="n"/>
      <c r="D148" s="44" t="n"/>
      <c r="L148" s="45" t="n"/>
      <c r="O148" s="44" t="n"/>
    </row>
    <row r="149">
      <c r="A149" s="43" t="n"/>
      <c r="C149" s="44" t="n"/>
      <c r="D149" s="44" t="n"/>
      <c r="L149" s="45" t="n"/>
      <c r="O149" s="44" t="n"/>
    </row>
    <row r="150">
      <c r="A150" s="43" t="n"/>
      <c r="C150" s="44" t="n"/>
      <c r="D150" s="44" t="n"/>
      <c r="L150" s="45" t="n"/>
      <c r="O150" s="44" t="n"/>
    </row>
    <row r="151">
      <c r="A151" s="43" t="n"/>
      <c r="C151" s="44" t="n"/>
      <c r="D151" s="44" t="n"/>
      <c r="L151" s="45" t="n"/>
      <c r="O151" s="44" t="n"/>
    </row>
    <row r="152">
      <c r="A152" s="43" t="n"/>
      <c r="C152" s="44" t="n"/>
      <c r="D152" s="44" t="n"/>
      <c r="L152" s="45" t="n"/>
      <c r="O152" s="44" t="n"/>
    </row>
    <row r="153">
      <c r="A153" s="43" t="n"/>
      <c r="C153" s="44" t="n"/>
      <c r="D153" s="44" t="n"/>
      <c r="L153" s="45" t="n"/>
      <c r="O153" s="44" t="n"/>
    </row>
    <row r="154">
      <c r="A154" s="43" t="n"/>
      <c r="C154" s="44" t="n"/>
      <c r="D154" s="44" t="n"/>
      <c r="L154" s="45" t="n"/>
      <c r="O154" s="44" t="n"/>
    </row>
    <row r="155">
      <c r="A155" s="43" t="n"/>
      <c r="C155" s="44" t="n"/>
      <c r="D155" s="44" t="n"/>
      <c r="L155" s="45" t="n"/>
      <c r="O155" s="44" t="n"/>
    </row>
    <row r="156">
      <c r="A156" s="43" t="n"/>
      <c r="C156" s="44" t="n"/>
      <c r="D156" s="44" t="n"/>
      <c r="L156" s="45" t="n"/>
      <c r="O156" s="44" t="n"/>
    </row>
    <row r="157">
      <c r="A157" s="43" t="n"/>
      <c r="C157" s="44" t="n"/>
      <c r="D157" s="44" t="n"/>
      <c r="L157" s="45" t="n"/>
      <c r="O157" s="44" t="n"/>
    </row>
    <row r="158">
      <c r="A158" s="43" t="n"/>
      <c r="C158" s="44" t="n"/>
      <c r="D158" s="44" t="n"/>
      <c r="L158" s="45" t="n"/>
      <c r="O158" s="44" t="n"/>
    </row>
    <row r="159">
      <c r="A159" s="43" t="n"/>
      <c r="C159" s="44" t="n"/>
      <c r="D159" s="44" t="n"/>
      <c r="L159" s="45" t="n"/>
      <c r="O159" s="44" t="n"/>
    </row>
    <row r="160">
      <c r="A160" s="43" t="n"/>
      <c r="C160" s="44" t="n"/>
      <c r="D160" s="44" t="n"/>
      <c r="L160" s="45" t="n"/>
      <c r="O160" s="44" t="n"/>
    </row>
    <row r="161">
      <c r="A161" s="43" t="n"/>
      <c r="C161" s="44" t="n"/>
      <c r="D161" s="44" t="n"/>
      <c r="L161" s="45" t="n"/>
      <c r="O161" s="44" t="n"/>
    </row>
    <row r="162">
      <c r="A162" s="43" t="n"/>
      <c r="C162" s="44" t="n"/>
      <c r="D162" s="44" t="n"/>
      <c r="L162" s="45" t="n"/>
      <c r="O162" s="44" t="n"/>
    </row>
    <row r="163">
      <c r="A163" s="43" t="n"/>
      <c r="C163" s="44" t="n"/>
      <c r="D163" s="44" t="n"/>
      <c r="L163" s="45" t="n"/>
      <c r="O163" s="44" t="n"/>
    </row>
    <row r="164">
      <c r="A164" s="43" t="n"/>
      <c r="C164" s="44" t="n"/>
      <c r="D164" s="44" t="n"/>
      <c r="L164" s="45" t="n"/>
      <c r="O164" s="44" t="n"/>
    </row>
    <row r="165">
      <c r="A165" s="43" t="n"/>
      <c r="C165" s="44" t="n"/>
      <c r="D165" s="44" t="n"/>
      <c r="L165" s="45" t="n"/>
      <c r="O165" s="44" t="n"/>
    </row>
    <row r="166">
      <c r="A166" s="43" t="n"/>
      <c r="C166" s="44" t="n"/>
      <c r="D166" s="44" t="n"/>
      <c r="L166" s="45" t="n"/>
      <c r="O166" s="44" t="n"/>
    </row>
    <row r="167">
      <c r="A167" s="43" t="n"/>
      <c r="C167" s="44" t="n"/>
      <c r="D167" s="44" t="n"/>
      <c r="L167" s="45" t="n"/>
      <c r="O167" s="44" t="n"/>
    </row>
    <row r="168">
      <c r="A168" s="43" t="n"/>
      <c r="C168" s="44" t="n"/>
      <c r="D168" s="44" t="n"/>
      <c r="L168" s="45" t="n"/>
      <c r="O168" s="44" t="n"/>
    </row>
    <row r="169">
      <c r="A169" s="43" t="n"/>
      <c r="C169" s="44" t="n"/>
      <c r="D169" s="44" t="n"/>
      <c r="L169" s="45" t="n"/>
      <c r="O169" s="44" t="n"/>
    </row>
    <row r="170">
      <c r="A170" s="43" t="n"/>
      <c r="C170" s="44" t="n"/>
      <c r="D170" s="44" t="n"/>
      <c r="L170" s="45" t="n"/>
      <c r="O170" s="44" t="n"/>
    </row>
    <row r="171">
      <c r="A171" s="43" t="n"/>
      <c r="C171" s="44" t="n"/>
      <c r="D171" s="44" t="n"/>
      <c r="L171" s="45" t="n"/>
      <c r="O171" s="44" t="n"/>
    </row>
    <row r="172">
      <c r="A172" s="43" t="n"/>
      <c r="C172" s="44" t="n"/>
      <c r="D172" s="44" t="n"/>
      <c r="L172" s="45" t="n"/>
      <c r="O172" s="44" t="n"/>
    </row>
    <row r="173">
      <c r="A173" s="43" t="n"/>
      <c r="C173" s="44" t="n"/>
      <c r="D173" s="44" t="n"/>
      <c r="L173" s="45" t="n"/>
      <c r="O173" s="44" t="n"/>
    </row>
    <row r="174">
      <c r="A174" s="43" t="n"/>
      <c r="C174" s="44" t="n"/>
      <c r="D174" s="44" t="n"/>
      <c r="L174" s="45" t="n"/>
      <c r="O174" s="44" t="n"/>
    </row>
    <row r="175">
      <c r="A175" s="43" t="n"/>
      <c r="C175" s="44" t="n"/>
      <c r="D175" s="44" t="n"/>
      <c r="L175" s="45" t="n"/>
      <c r="O175" s="44" t="n"/>
    </row>
    <row r="176">
      <c r="A176" s="43" t="n"/>
      <c r="C176" s="44" t="n"/>
      <c r="D176" s="44" t="n"/>
      <c r="L176" s="45" t="n"/>
      <c r="O176" s="44" t="n"/>
    </row>
    <row r="177">
      <c r="A177" s="43" t="n"/>
      <c r="C177" s="44" t="n"/>
      <c r="D177" s="44" t="n"/>
      <c r="L177" s="45" t="n"/>
      <c r="O177" s="44" t="n"/>
    </row>
    <row r="178">
      <c r="A178" s="43" t="n"/>
      <c r="C178" s="44" t="n"/>
      <c r="D178" s="44" t="n"/>
      <c r="L178" s="45" t="n"/>
      <c r="O178" s="44" t="n"/>
    </row>
    <row r="179">
      <c r="A179" s="43" t="n"/>
      <c r="C179" s="44" t="n"/>
      <c r="D179" s="44" t="n"/>
      <c r="L179" s="45" t="n"/>
      <c r="O179" s="44" t="n"/>
    </row>
    <row r="180">
      <c r="A180" s="43" t="n"/>
      <c r="C180" s="44" t="n"/>
      <c r="D180" s="44" t="n"/>
      <c r="L180" s="45" t="n"/>
      <c r="O180" s="44" t="n"/>
    </row>
    <row r="181">
      <c r="A181" s="43" t="n"/>
      <c r="C181" s="44" t="n"/>
      <c r="D181" s="44" t="n"/>
      <c r="L181" s="45" t="n"/>
      <c r="O181" s="44" t="n"/>
    </row>
    <row r="182">
      <c r="A182" s="43" t="n"/>
      <c r="C182" s="44" t="n"/>
      <c r="D182" s="44" t="n"/>
      <c r="L182" s="45" t="n"/>
      <c r="O182" s="44" t="n"/>
    </row>
    <row r="183">
      <c r="A183" s="43" t="n"/>
      <c r="C183" s="44" t="n"/>
      <c r="D183" s="44" t="n"/>
      <c r="L183" s="45" t="n"/>
      <c r="O183" s="44" t="n"/>
    </row>
    <row r="184">
      <c r="A184" s="43" t="n"/>
      <c r="C184" s="44" t="n"/>
      <c r="D184" s="44" t="n"/>
      <c r="L184" s="45" t="n"/>
      <c r="O184" s="44" t="n"/>
    </row>
    <row r="185">
      <c r="A185" s="43" t="n"/>
      <c r="C185" s="44" t="n"/>
      <c r="D185" s="44" t="n"/>
      <c r="L185" s="45" t="n"/>
      <c r="O185" s="44" t="n"/>
    </row>
    <row r="186">
      <c r="A186" s="43" t="n"/>
      <c r="C186" s="44" t="n"/>
      <c r="D186" s="44" t="n"/>
      <c r="L186" s="45" t="n"/>
      <c r="O186" s="44" t="n"/>
    </row>
    <row r="187">
      <c r="A187" s="43" t="n"/>
      <c r="C187" s="44" t="n"/>
      <c r="D187" s="44" t="n"/>
      <c r="L187" s="45" t="n"/>
      <c r="O187" s="44" t="n"/>
    </row>
    <row r="188">
      <c r="A188" s="43" t="n"/>
      <c r="C188" s="44" t="n"/>
      <c r="D188" s="44" t="n"/>
      <c r="L188" s="45" t="n"/>
      <c r="O188" s="44" t="n"/>
    </row>
    <row r="189">
      <c r="A189" s="43" t="n"/>
      <c r="C189" s="44" t="n"/>
      <c r="D189" s="44" t="n"/>
      <c r="L189" s="45" t="n"/>
      <c r="O189" s="44" t="n"/>
    </row>
    <row r="190">
      <c r="A190" s="43" t="n"/>
      <c r="C190" s="44" t="n"/>
      <c r="D190" s="44" t="n"/>
      <c r="L190" s="45" t="n"/>
      <c r="O190" s="44" t="n"/>
    </row>
    <row r="191">
      <c r="A191" s="43" t="n"/>
      <c r="C191" s="44" t="n"/>
      <c r="D191" s="44" t="n"/>
      <c r="L191" s="45" t="n"/>
      <c r="O191" s="44" t="n"/>
    </row>
    <row r="192">
      <c r="A192" s="43" t="n"/>
      <c r="C192" s="44" t="n"/>
      <c r="D192" s="44" t="n"/>
      <c r="L192" s="45" t="n"/>
      <c r="O192" s="44" t="n"/>
    </row>
    <row r="193">
      <c r="A193" s="43" t="n"/>
      <c r="C193" s="44" t="n"/>
      <c r="D193" s="44" t="n"/>
      <c r="L193" s="45" t="n"/>
      <c r="O193" s="44" t="n"/>
    </row>
    <row r="194">
      <c r="A194" s="43" t="n"/>
      <c r="C194" s="44" t="n"/>
      <c r="D194" s="44" t="n"/>
      <c r="L194" s="45" t="n"/>
      <c r="O194" s="44" t="n"/>
    </row>
    <row r="195">
      <c r="A195" s="43" t="n"/>
      <c r="C195" s="44" t="n"/>
      <c r="D195" s="44" t="n"/>
      <c r="L195" s="45" t="n"/>
      <c r="O195" s="44" t="n"/>
    </row>
    <row r="196">
      <c r="A196" s="43" t="n"/>
      <c r="C196" s="44" t="n"/>
      <c r="D196" s="44" t="n"/>
      <c r="L196" s="45" t="n"/>
      <c r="O196" s="44" t="n"/>
    </row>
    <row r="197">
      <c r="A197" s="43" t="n"/>
      <c r="C197" s="44" t="n"/>
      <c r="D197" s="44" t="n"/>
      <c r="L197" s="45" t="n"/>
      <c r="O197" s="44" t="n"/>
    </row>
    <row r="198">
      <c r="A198" s="43" t="n"/>
      <c r="C198" s="44" t="n"/>
      <c r="D198" s="44" t="n"/>
      <c r="L198" s="45" t="n"/>
      <c r="O198" s="44" t="n"/>
    </row>
    <row r="199">
      <c r="A199" s="43" t="n"/>
      <c r="C199" s="44" t="n"/>
      <c r="D199" s="44" t="n"/>
      <c r="L199" s="45" t="n"/>
      <c r="O199" s="44" t="n"/>
    </row>
    <row r="200">
      <c r="A200" s="43" t="n"/>
      <c r="C200" s="44" t="n"/>
      <c r="D200" s="44" t="n"/>
      <c r="L200" s="45" t="n"/>
      <c r="O200" s="44" t="n"/>
    </row>
    <row r="201">
      <c r="A201" s="43" t="n"/>
      <c r="C201" s="44" t="n"/>
      <c r="D201" s="44" t="n"/>
      <c r="L201" s="45" t="n"/>
      <c r="O201" s="44" t="n"/>
    </row>
    <row r="202">
      <c r="A202" s="43" t="n"/>
      <c r="C202" s="44" t="n"/>
      <c r="D202" s="44" t="n"/>
      <c r="L202" s="45" t="n"/>
      <c r="O202" s="44" t="n"/>
    </row>
    <row r="203">
      <c r="A203" s="43" t="n"/>
      <c r="C203" s="44" t="n"/>
      <c r="D203" s="44" t="n"/>
      <c r="L203" s="45" t="n"/>
      <c r="O203" s="44" t="n"/>
    </row>
    <row r="204">
      <c r="A204" s="43" t="n"/>
      <c r="C204" s="44" t="n"/>
      <c r="D204" s="44" t="n"/>
      <c r="L204" s="45" t="n"/>
      <c r="O204" s="44" t="n"/>
    </row>
    <row r="205">
      <c r="A205" s="43" t="n"/>
      <c r="C205" s="44" t="n"/>
      <c r="D205" s="44" t="n"/>
      <c r="L205" s="45" t="n"/>
      <c r="O205" s="44" t="n"/>
    </row>
    <row r="206">
      <c r="A206" s="43" t="n"/>
      <c r="C206" s="44" t="n"/>
      <c r="D206" s="44" t="n"/>
      <c r="L206" s="45" t="n"/>
      <c r="O206" s="44" t="n"/>
    </row>
    <row r="207">
      <c r="A207" s="43" t="n"/>
      <c r="C207" s="44" t="n"/>
      <c r="D207" s="44" t="n"/>
      <c r="L207" s="45" t="n"/>
      <c r="O207" s="44" t="n"/>
    </row>
    <row r="208">
      <c r="A208" s="43" t="n"/>
      <c r="C208" s="44" t="n"/>
      <c r="D208" s="44" t="n"/>
      <c r="L208" s="45" t="n"/>
      <c r="O208" s="44" t="n"/>
    </row>
    <row r="209">
      <c r="A209" s="43" t="n"/>
      <c r="C209" s="44" t="n"/>
      <c r="D209" s="44" t="n"/>
      <c r="L209" s="45" t="n"/>
      <c r="O209" s="44" t="n"/>
    </row>
    <row r="210">
      <c r="A210" s="43" t="n"/>
      <c r="C210" s="44" t="n"/>
      <c r="D210" s="44" t="n"/>
      <c r="L210" s="45" t="n"/>
      <c r="O210" s="44" t="n"/>
    </row>
    <row r="211">
      <c r="A211" s="43" t="n"/>
      <c r="C211" s="44" t="n"/>
      <c r="D211" s="44" t="n"/>
      <c r="L211" s="45" t="n"/>
      <c r="O211" s="44" t="n"/>
    </row>
    <row r="212">
      <c r="A212" s="43" t="n"/>
      <c r="C212" s="44" t="n"/>
      <c r="D212" s="44" t="n"/>
      <c r="L212" s="45" t="n"/>
      <c r="O212" s="44" t="n"/>
    </row>
    <row r="213">
      <c r="A213" s="43" t="n"/>
      <c r="C213" s="44" t="n"/>
      <c r="D213" s="44" t="n"/>
      <c r="L213" s="45" t="n"/>
      <c r="O213" s="44" t="n"/>
    </row>
    <row r="214">
      <c r="A214" s="43" t="n"/>
      <c r="C214" s="44" t="n"/>
      <c r="D214" s="44" t="n"/>
      <c r="L214" s="45" t="n"/>
      <c r="O214" s="44" t="n"/>
    </row>
    <row r="215">
      <c r="A215" s="43" t="n"/>
      <c r="C215" s="44" t="n"/>
      <c r="D215" s="44" t="n"/>
      <c r="L215" s="45" t="n"/>
      <c r="O215" s="44" t="n"/>
    </row>
    <row r="216">
      <c r="A216" s="43" t="n"/>
      <c r="C216" s="44" t="n"/>
      <c r="D216" s="44" t="n"/>
      <c r="L216" s="45" t="n"/>
      <c r="O216" s="44" t="n"/>
    </row>
    <row r="217">
      <c r="A217" s="43" t="n"/>
      <c r="C217" s="44" t="n"/>
      <c r="D217" s="44" t="n"/>
      <c r="L217" s="45" t="n"/>
      <c r="O217" s="44" t="n"/>
    </row>
    <row r="218">
      <c r="A218" s="43" t="n"/>
      <c r="C218" s="44" t="n"/>
      <c r="D218" s="44" t="n"/>
      <c r="L218" s="45" t="n"/>
      <c r="O218" s="44" t="n"/>
    </row>
    <row r="219">
      <c r="A219" s="43" t="n"/>
      <c r="C219" s="44" t="n"/>
      <c r="D219" s="44" t="n"/>
      <c r="L219" s="45" t="n"/>
      <c r="O219" s="44" t="n"/>
    </row>
    <row r="220">
      <c r="A220" s="43" t="n"/>
      <c r="C220" s="44" t="n"/>
      <c r="D220" s="44" t="n"/>
      <c r="L220" s="45" t="n"/>
      <c r="O220" s="44" t="n"/>
    </row>
    <row r="221">
      <c r="A221" s="43" t="n"/>
      <c r="C221" s="44" t="n"/>
      <c r="D221" s="44" t="n"/>
      <c r="L221" s="45" t="n"/>
      <c r="O221" s="44" t="n"/>
    </row>
    <row r="222">
      <c r="A222" s="43" t="n"/>
      <c r="C222" s="44" t="n"/>
      <c r="D222" s="44" t="n"/>
      <c r="L222" s="45" t="n"/>
      <c r="O222" s="44" t="n"/>
    </row>
    <row r="223">
      <c r="A223" s="43" t="n"/>
      <c r="C223" s="44" t="n"/>
      <c r="D223" s="44" t="n"/>
      <c r="L223" s="45" t="n"/>
      <c r="O223" s="44" t="n"/>
    </row>
    <row r="224">
      <c r="A224" s="43" t="n"/>
      <c r="C224" s="44" t="n"/>
      <c r="D224" s="44" t="n"/>
      <c r="L224" s="45" t="n"/>
      <c r="O224" s="44" t="n"/>
    </row>
    <row r="225">
      <c r="A225" s="43" t="n"/>
      <c r="C225" s="44" t="n"/>
      <c r="D225" s="44" t="n"/>
      <c r="L225" s="45" t="n"/>
      <c r="O225" s="44" t="n"/>
    </row>
    <row r="226">
      <c r="A226" s="43" t="n"/>
      <c r="C226" s="44" t="n"/>
      <c r="D226" s="44" t="n"/>
      <c r="L226" s="45" t="n"/>
      <c r="O226" s="44" t="n"/>
    </row>
    <row r="227">
      <c r="A227" s="43" t="n"/>
      <c r="C227" s="44" t="n"/>
      <c r="D227" s="44" t="n"/>
      <c r="L227" s="45" t="n"/>
      <c r="O227" s="44" t="n"/>
    </row>
    <row r="228">
      <c r="A228" s="43" t="n"/>
      <c r="C228" s="44" t="n"/>
      <c r="D228" s="44" t="n"/>
      <c r="L228" s="45" t="n"/>
      <c r="O228" s="44" t="n"/>
    </row>
    <row r="229">
      <c r="A229" s="43" t="n"/>
      <c r="C229" s="44" t="n"/>
      <c r="D229" s="44" t="n"/>
      <c r="L229" s="45" t="n"/>
      <c r="O229" s="44" t="n"/>
    </row>
    <row r="230">
      <c r="A230" s="43" t="n"/>
      <c r="C230" s="44" t="n"/>
      <c r="D230" s="44" t="n"/>
      <c r="L230" s="45" t="n"/>
      <c r="O230" s="44" t="n"/>
    </row>
    <row r="231">
      <c r="A231" s="43" t="n"/>
      <c r="C231" s="44" t="n"/>
      <c r="D231" s="44" t="n"/>
      <c r="L231" s="45" t="n"/>
      <c r="O231" s="44" t="n"/>
    </row>
    <row r="232">
      <c r="A232" s="43" t="n"/>
      <c r="C232" s="44" t="n"/>
      <c r="D232" s="44" t="n"/>
      <c r="L232" s="45" t="n"/>
      <c r="O232" s="44" t="n"/>
    </row>
    <row r="233">
      <c r="A233" s="43" t="n"/>
      <c r="C233" s="44" t="n"/>
      <c r="D233" s="44" t="n"/>
      <c r="L233" s="45" t="n"/>
      <c r="O233" s="44" t="n"/>
    </row>
    <row r="234">
      <c r="A234" s="43" t="n"/>
      <c r="C234" s="44" t="n"/>
      <c r="D234" s="44" t="n"/>
      <c r="L234" s="45" t="n"/>
      <c r="O234" s="44" t="n"/>
    </row>
    <row r="235">
      <c r="A235" s="43" t="n"/>
      <c r="C235" s="44" t="n"/>
      <c r="D235" s="44" t="n"/>
      <c r="L235" s="45" t="n"/>
      <c r="O235" s="44" t="n"/>
    </row>
    <row r="236">
      <c r="A236" s="43" t="n"/>
      <c r="C236" s="44" t="n"/>
      <c r="D236" s="44" t="n"/>
      <c r="L236" s="45" t="n"/>
      <c r="O236" s="44" t="n"/>
    </row>
    <row r="237">
      <c r="A237" s="43" t="n"/>
      <c r="C237" s="44" t="n"/>
      <c r="D237" s="44" t="n"/>
      <c r="L237" s="45" t="n"/>
      <c r="O237" s="44" t="n"/>
    </row>
    <row r="238">
      <c r="A238" s="43" t="n"/>
      <c r="C238" s="44" t="n"/>
      <c r="D238" s="44" t="n"/>
      <c r="L238" s="45" t="n"/>
      <c r="O238" s="44" t="n"/>
    </row>
    <row r="239">
      <c r="A239" s="43" t="n"/>
      <c r="C239" s="44" t="n"/>
      <c r="D239" s="44" t="n"/>
      <c r="L239" s="45" t="n"/>
      <c r="O239" s="44" t="n"/>
    </row>
    <row r="240">
      <c r="A240" s="43" t="n"/>
      <c r="C240" s="44" t="n"/>
      <c r="D240" s="44" t="n"/>
      <c r="L240" s="45" t="n"/>
      <c r="O240" s="44" t="n"/>
    </row>
    <row r="241">
      <c r="A241" s="43" t="n"/>
      <c r="C241" s="44" t="n"/>
      <c r="D241" s="44" t="n"/>
      <c r="L241" s="45" t="n"/>
      <c r="O241" s="44" t="n"/>
    </row>
    <row r="242">
      <c r="A242" s="43" t="n"/>
      <c r="C242" s="44" t="n"/>
      <c r="D242" s="44" t="n"/>
      <c r="L242" s="45" t="n"/>
      <c r="O242" s="44" t="n"/>
    </row>
    <row r="243">
      <c r="A243" s="43" t="n"/>
      <c r="C243" s="44" t="n"/>
      <c r="D243" s="44" t="n"/>
      <c r="L243" s="45" t="n"/>
      <c r="O243" s="44" t="n"/>
    </row>
    <row r="244">
      <c r="A244" s="43" t="n"/>
      <c r="C244" s="44" t="n"/>
      <c r="D244" s="44" t="n"/>
      <c r="L244" s="45" t="n"/>
      <c r="O244" s="44" t="n"/>
    </row>
    <row r="245">
      <c r="A245" s="43" t="n"/>
      <c r="C245" s="44" t="n"/>
      <c r="D245" s="44" t="n"/>
      <c r="L245" s="45" t="n"/>
      <c r="O245" s="44" t="n"/>
    </row>
    <row r="246">
      <c r="A246" s="43" t="n"/>
      <c r="C246" s="44" t="n"/>
      <c r="D246" s="44" t="n"/>
      <c r="L246" s="45" t="n"/>
      <c r="O246" s="44" t="n"/>
    </row>
    <row r="247">
      <c r="A247" s="43" t="n"/>
      <c r="C247" s="44" t="n"/>
      <c r="D247" s="44" t="n"/>
      <c r="L247" s="45" t="n"/>
      <c r="O247" s="44" t="n"/>
    </row>
    <row r="248">
      <c r="A248" s="43" t="n"/>
      <c r="C248" s="44" t="n"/>
      <c r="D248" s="44" t="n"/>
      <c r="L248" s="45" t="n"/>
      <c r="O248" s="44" t="n"/>
    </row>
    <row r="249">
      <c r="A249" s="43" t="n"/>
      <c r="C249" s="44" t="n"/>
      <c r="D249" s="44" t="n"/>
      <c r="L249" s="45" t="n"/>
      <c r="O249" s="44" t="n"/>
    </row>
    <row r="250">
      <c r="A250" s="43" t="n"/>
      <c r="C250" s="44" t="n"/>
      <c r="D250" s="44" t="n"/>
      <c r="L250" s="45" t="n"/>
      <c r="O250" s="44" t="n"/>
    </row>
    <row r="251">
      <c r="A251" s="43" t="n"/>
      <c r="C251" s="44" t="n"/>
      <c r="D251" s="44" t="n"/>
      <c r="L251" s="45" t="n"/>
      <c r="O251" s="44" t="n"/>
    </row>
    <row r="252">
      <c r="A252" s="43" t="n"/>
      <c r="C252" s="44" t="n"/>
      <c r="D252" s="44" t="n"/>
      <c r="L252" s="45" t="n"/>
      <c r="O252" s="44" t="n"/>
    </row>
    <row r="253">
      <c r="A253" s="43" t="n"/>
      <c r="C253" s="44" t="n"/>
      <c r="D253" s="44" t="n"/>
      <c r="L253" s="45" t="n"/>
      <c r="O253" s="44" t="n"/>
    </row>
    <row r="254">
      <c r="A254" s="43" t="n"/>
      <c r="C254" s="44" t="n"/>
      <c r="D254" s="44" t="n"/>
      <c r="L254" s="45" t="n"/>
      <c r="O254" s="44" t="n"/>
    </row>
    <row r="255">
      <c r="A255" s="43" t="n"/>
      <c r="C255" s="44" t="n"/>
      <c r="D255" s="44" t="n"/>
      <c r="L255" s="45" t="n"/>
      <c r="O255" s="44" t="n"/>
    </row>
    <row r="256">
      <c r="A256" s="43" t="n"/>
      <c r="C256" s="44" t="n"/>
      <c r="D256" s="44" t="n"/>
      <c r="L256" s="45" t="n"/>
      <c r="O256" s="44" t="n"/>
    </row>
    <row r="257">
      <c r="A257" s="43" t="n"/>
      <c r="C257" s="44" t="n"/>
      <c r="D257" s="44" t="n"/>
      <c r="L257" s="45" t="n"/>
      <c r="O257" s="44" t="n"/>
    </row>
    <row r="258">
      <c r="A258" s="43" t="n"/>
      <c r="C258" s="44" t="n"/>
      <c r="D258" s="44" t="n"/>
      <c r="L258" s="45" t="n"/>
      <c r="O258" s="44" t="n"/>
    </row>
    <row r="259">
      <c r="A259" s="43" t="n"/>
      <c r="C259" s="44" t="n"/>
      <c r="D259" s="44" t="n"/>
      <c r="L259" s="45" t="n"/>
      <c r="O259" s="44" t="n"/>
    </row>
    <row r="260">
      <c r="A260" s="43" t="n"/>
      <c r="C260" s="44" t="n"/>
      <c r="D260" s="44" t="n"/>
      <c r="L260" s="45" t="n"/>
      <c r="O260" s="44" t="n"/>
    </row>
    <row r="261">
      <c r="A261" s="43" t="n"/>
      <c r="C261" s="44" t="n"/>
      <c r="D261" s="44" t="n"/>
      <c r="L261" s="45" t="n"/>
      <c r="O261" s="44" t="n"/>
    </row>
    <row r="262">
      <c r="A262" s="43" t="n"/>
      <c r="C262" s="44" t="n"/>
      <c r="D262" s="44" t="n"/>
      <c r="L262" s="45" t="n"/>
      <c r="O262" s="44" t="n"/>
    </row>
    <row r="263">
      <c r="A263" s="43" t="n"/>
      <c r="C263" s="44" t="n"/>
      <c r="D263" s="44" t="n"/>
      <c r="L263" s="45" t="n"/>
      <c r="O263" s="44" t="n"/>
    </row>
    <row r="264">
      <c r="A264" s="43" t="n"/>
      <c r="C264" s="44" t="n"/>
      <c r="D264" s="44" t="n"/>
      <c r="L264" s="45" t="n"/>
      <c r="O264" s="44" t="n"/>
    </row>
    <row r="265">
      <c r="A265" s="43" t="n"/>
      <c r="C265" s="44" t="n"/>
      <c r="D265" s="44" t="n"/>
      <c r="L265" s="45" t="n"/>
      <c r="O265" s="44" t="n"/>
    </row>
    <row r="266">
      <c r="A266" s="43" t="n"/>
      <c r="C266" s="44" t="n"/>
      <c r="D266" s="44" t="n"/>
      <c r="L266" s="45" t="n"/>
      <c r="O266" s="44" t="n"/>
    </row>
    <row r="267">
      <c r="A267" s="43" t="n"/>
      <c r="C267" s="44" t="n"/>
      <c r="D267" s="44" t="n"/>
      <c r="L267" s="45" t="n"/>
      <c r="O267" s="44" t="n"/>
    </row>
    <row r="268">
      <c r="A268" s="43" t="n"/>
      <c r="C268" s="44" t="n"/>
      <c r="D268" s="44" t="n"/>
      <c r="L268" s="45" t="n"/>
      <c r="O268" s="44" t="n"/>
    </row>
    <row r="269">
      <c r="A269" s="43" t="n"/>
      <c r="C269" s="44" t="n"/>
      <c r="D269" s="44" t="n"/>
      <c r="L269" s="45" t="n"/>
      <c r="O269" s="44" t="n"/>
    </row>
    <row r="270">
      <c r="A270" s="43" t="n"/>
      <c r="C270" s="44" t="n"/>
      <c r="D270" s="44" t="n"/>
      <c r="L270" s="45" t="n"/>
      <c r="O270" s="44" t="n"/>
    </row>
    <row r="271">
      <c r="A271" s="43" t="n"/>
      <c r="C271" s="44" t="n"/>
      <c r="D271" s="44" t="n"/>
      <c r="L271" s="45" t="n"/>
      <c r="O271" s="44" t="n"/>
    </row>
    <row r="272">
      <c r="A272" s="43" t="n"/>
      <c r="C272" s="44" t="n"/>
      <c r="D272" s="44" t="n"/>
      <c r="L272" s="45" t="n"/>
      <c r="O272" s="44" t="n"/>
    </row>
    <row r="273">
      <c r="A273" s="43" t="n"/>
      <c r="C273" s="44" t="n"/>
      <c r="D273" s="44" t="n"/>
      <c r="L273" s="45" t="n"/>
      <c r="O273" s="44" t="n"/>
    </row>
    <row r="274">
      <c r="A274" s="43" t="n"/>
      <c r="C274" s="44" t="n"/>
      <c r="D274" s="44" t="n"/>
      <c r="L274" s="45" t="n"/>
      <c r="O274" s="44" t="n"/>
    </row>
    <row r="275">
      <c r="A275" s="43" t="n"/>
      <c r="C275" s="44" t="n"/>
      <c r="D275" s="44" t="n"/>
      <c r="L275" s="45" t="n"/>
      <c r="O275" s="44" t="n"/>
    </row>
    <row r="276">
      <c r="A276" s="43" t="n"/>
      <c r="C276" s="44" t="n"/>
      <c r="D276" s="44" t="n"/>
      <c r="L276" s="45" t="n"/>
      <c r="O276" s="44" t="n"/>
    </row>
    <row r="277">
      <c r="A277" s="43" t="n"/>
      <c r="C277" s="44" t="n"/>
      <c r="D277" s="44" t="n"/>
      <c r="L277" s="45" t="n"/>
      <c r="O277" s="44" t="n"/>
    </row>
    <row r="278">
      <c r="A278" s="43" t="n"/>
      <c r="C278" s="44" t="n"/>
      <c r="D278" s="44" t="n"/>
      <c r="L278" s="45" t="n"/>
      <c r="O278" s="44" t="n"/>
    </row>
    <row r="279">
      <c r="A279" s="43" t="n"/>
      <c r="C279" s="44" t="n"/>
      <c r="D279" s="44" t="n"/>
      <c r="L279" s="45" t="n"/>
      <c r="O279" s="44" t="n"/>
    </row>
    <row r="280">
      <c r="A280" s="43" t="n"/>
      <c r="C280" s="44" t="n"/>
      <c r="D280" s="44" t="n"/>
      <c r="L280" s="45" t="n"/>
      <c r="O280" s="44" t="n"/>
    </row>
    <row r="281">
      <c r="A281" s="43" t="n"/>
      <c r="C281" s="44" t="n"/>
      <c r="D281" s="44" t="n"/>
      <c r="L281" s="45" t="n"/>
      <c r="O281" s="44" t="n"/>
    </row>
    <row r="282">
      <c r="A282" s="43" t="n"/>
      <c r="C282" s="44" t="n"/>
      <c r="D282" s="44" t="n"/>
      <c r="L282" s="45" t="n"/>
      <c r="O282" s="44" t="n"/>
    </row>
    <row r="283">
      <c r="A283" s="43" t="n"/>
      <c r="C283" s="44" t="n"/>
      <c r="D283" s="44" t="n"/>
      <c r="L283" s="45" t="n"/>
      <c r="O283" s="44" t="n"/>
    </row>
    <row r="284">
      <c r="A284" s="43" t="n"/>
      <c r="C284" s="44" t="n"/>
      <c r="D284" s="44" t="n"/>
      <c r="L284" s="45" t="n"/>
      <c r="O284" s="44" t="n"/>
    </row>
    <row r="285">
      <c r="A285" s="43" t="n"/>
      <c r="C285" s="44" t="n"/>
      <c r="D285" s="44" t="n"/>
      <c r="L285" s="45" t="n"/>
      <c r="O285" s="44" t="n"/>
    </row>
    <row r="286">
      <c r="A286" s="43" t="n"/>
      <c r="C286" s="44" t="n"/>
      <c r="D286" s="44" t="n"/>
      <c r="L286" s="45" t="n"/>
      <c r="O286" s="44" t="n"/>
    </row>
    <row r="287">
      <c r="A287" s="43" t="n"/>
      <c r="C287" s="44" t="n"/>
      <c r="D287" s="44" t="n"/>
      <c r="L287" s="45" t="n"/>
      <c r="O287" s="44" t="n"/>
    </row>
    <row r="288">
      <c r="A288" s="43" t="n"/>
      <c r="C288" s="44" t="n"/>
      <c r="D288" s="44" t="n"/>
      <c r="L288" s="45" t="n"/>
      <c r="O288" s="44" t="n"/>
    </row>
    <row r="289">
      <c r="A289" s="43" t="n"/>
      <c r="C289" s="44" t="n"/>
      <c r="D289" s="44" t="n"/>
      <c r="L289" s="45" t="n"/>
      <c r="O289" s="44" t="n"/>
    </row>
    <row r="290">
      <c r="A290" s="43" t="n"/>
      <c r="C290" s="44" t="n"/>
      <c r="D290" s="44" t="n"/>
      <c r="L290" s="45" t="n"/>
      <c r="O290" s="44" t="n"/>
    </row>
    <row r="291">
      <c r="A291" s="43" t="n"/>
      <c r="C291" s="44" t="n"/>
      <c r="D291" s="44" t="n"/>
      <c r="L291" s="45" t="n"/>
      <c r="O291" s="44" t="n"/>
    </row>
    <row r="292">
      <c r="A292" s="43" t="n"/>
      <c r="C292" s="44" t="n"/>
      <c r="D292" s="44" t="n"/>
      <c r="L292" s="45" t="n"/>
      <c r="O292" s="44" t="n"/>
    </row>
    <row r="293">
      <c r="A293" s="43" t="n"/>
      <c r="C293" s="44" t="n"/>
      <c r="D293" s="44" t="n"/>
      <c r="L293" s="45" t="n"/>
      <c r="O293" s="44" t="n"/>
    </row>
    <row r="294">
      <c r="A294" s="43" t="n"/>
      <c r="C294" s="44" t="n"/>
      <c r="D294" s="44" t="n"/>
      <c r="L294" s="45" t="n"/>
      <c r="O294" s="44" t="n"/>
    </row>
    <row r="295">
      <c r="A295" s="43" t="n"/>
      <c r="C295" s="44" t="n"/>
      <c r="D295" s="44" t="n"/>
      <c r="L295" s="45" t="n"/>
      <c r="O295" s="44" t="n"/>
    </row>
    <row r="296">
      <c r="A296" s="43" t="n"/>
      <c r="C296" s="44" t="n"/>
      <c r="D296" s="44" t="n"/>
      <c r="L296" s="45" t="n"/>
      <c r="O296" s="44" t="n"/>
    </row>
    <row r="297">
      <c r="A297" s="43" t="n"/>
      <c r="C297" s="44" t="n"/>
      <c r="D297" s="44" t="n"/>
      <c r="L297" s="45" t="n"/>
      <c r="O297" s="44" t="n"/>
    </row>
    <row r="298">
      <c r="A298" s="43" t="n"/>
      <c r="C298" s="44" t="n"/>
      <c r="D298" s="44" t="n"/>
      <c r="L298" s="45" t="n"/>
      <c r="O298" s="44" t="n"/>
    </row>
    <row r="299">
      <c r="A299" s="43" t="n"/>
      <c r="C299" s="44" t="n"/>
      <c r="D299" s="44" t="n"/>
      <c r="L299" s="45" t="n"/>
      <c r="O299" s="44" t="n"/>
    </row>
    <row r="300">
      <c r="A300" s="43" t="n"/>
      <c r="C300" s="44" t="n"/>
      <c r="D300" s="44" t="n"/>
      <c r="L300" s="45" t="n"/>
      <c r="O300" s="44" t="n"/>
    </row>
    <row r="301">
      <c r="A301" s="43" t="n"/>
      <c r="C301" s="44" t="n"/>
      <c r="D301" s="44" t="n"/>
      <c r="L301" s="45" t="n"/>
      <c r="O301" s="44" t="n"/>
    </row>
    <row r="302">
      <c r="A302" s="43" t="n"/>
      <c r="C302" s="44" t="n"/>
      <c r="D302" s="44" t="n"/>
      <c r="L302" s="45" t="n"/>
      <c r="O302" s="44" t="n"/>
    </row>
    <row r="303">
      <c r="A303" s="43" t="n"/>
      <c r="C303" s="44" t="n"/>
      <c r="D303" s="44" t="n"/>
      <c r="L303" s="45" t="n"/>
      <c r="O303" s="44" t="n"/>
    </row>
    <row r="304">
      <c r="A304" s="43" t="n"/>
      <c r="C304" s="44" t="n"/>
      <c r="D304" s="44" t="n"/>
      <c r="L304" s="45" t="n"/>
      <c r="O304" s="44" t="n"/>
    </row>
    <row r="305">
      <c r="A305" s="43" t="n"/>
      <c r="C305" s="44" t="n"/>
      <c r="D305" s="44" t="n"/>
      <c r="L305" s="45" t="n"/>
      <c r="O305" s="44" t="n"/>
    </row>
    <row r="306">
      <c r="A306" s="43" t="n"/>
      <c r="C306" s="44" t="n"/>
      <c r="D306" s="44" t="n"/>
      <c r="L306" s="45" t="n"/>
      <c r="O306" s="44" t="n"/>
    </row>
    <row r="307">
      <c r="A307" s="43" t="n"/>
      <c r="C307" s="44" t="n"/>
      <c r="D307" s="44" t="n"/>
      <c r="L307" s="45" t="n"/>
      <c r="O307" s="44" t="n"/>
    </row>
    <row r="308">
      <c r="A308" s="43" t="n"/>
      <c r="C308" s="44" t="n"/>
      <c r="D308" s="44" t="n"/>
      <c r="L308" s="45" t="n"/>
      <c r="O308" s="44" t="n"/>
    </row>
    <row r="309">
      <c r="A309" s="43" t="n"/>
      <c r="C309" s="44" t="n"/>
      <c r="D309" s="44" t="n"/>
      <c r="L309" s="45" t="n"/>
      <c r="O309" s="44" t="n"/>
    </row>
    <row r="310">
      <c r="A310" s="43" t="n"/>
      <c r="C310" s="44" t="n"/>
      <c r="D310" s="44" t="n"/>
      <c r="L310" s="45" t="n"/>
      <c r="O310" s="44" t="n"/>
    </row>
    <row r="311">
      <c r="A311" s="43" t="n"/>
      <c r="C311" s="44" t="n"/>
      <c r="D311" s="44" t="n"/>
      <c r="L311" s="45" t="n"/>
      <c r="O311" s="44" t="n"/>
    </row>
    <row r="312">
      <c r="A312" s="43" t="n"/>
      <c r="C312" s="44" t="n"/>
      <c r="D312" s="44" t="n"/>
      <c r="L312" s="45" t="n"/>
      <c r="O312" s="44" t="n"/>
    </row>
    <row r="313">
      <c r="A313" s="43" t="n"/>
      <c r="C313" s="44" t="n"/>
      <c r="D313" s="44" t="n"/>
      <c r="L313" s="45" t="n"/>
      <c r="O313" s="44" t="n"/>
    </row>
    <row r="314">
      <c r="A314" s="43" t="n"/>
      <c r="C314" s="44" t="n"/>
      <c r="D314" s="44" t="n"/>
      <c r="L314" s="45" t="n"/>
      <c r="O314" s="44" t="n"/>
    </row>
    <row r="315">
      <c r="A315" s="43" t="n"/>
      <c r="C315" s="44" t="n"/>
      <c r="D315" s="44" t="n"/>
      <c r="L315" s="45" t="n"/>
      <c r="O315" s="44" t="n"/>
    </row>
    <row r="316">
      <c r="A316" s="43" t="n"/>
      <c r="C316" s="44" t="n"/>
      <c r="D316" s="44" t="n"/>
      <c r="L316" s="45" t="n"/>
      <c r="O316" s="44" t="n"/>
    </row>
    <row r="317">
      <c r="A317" s="43" t="n"/>
      <c r="C317" s="44" t="n"/>
      <c r="D317" s="44" t="n"/>
      <c r="L317" s="45" t="n"/>
      <c r="O317" s="44" t="n"/>
    </row>
    <row r="318">
      <c r="A318" s="43" t="n"/>
      <c r="C318" s="44" t="n"/>
      <c r="D318" s="44" t="n"/>
      <c r="L318" s="45" t="n"/>
      <c r="O318" s="44" t="n"/>
    </row>
    <row r="319">
      <c r="A319" s="43" t="n"/>
      <c r="C319" s="44" t="n"/>
      <c r="D319" s="44" t="n"/>
      <c r="L319" s="45" t="n"/>
      <c r="O319" s="44" t="n"/>
    </row>
    <row r="320">
      <c r="A320" s="43" t="n"/>
      <c r="C320" s="44" t="n"/>
      <c r="D320" s="44" t="n"/>
      <c r="L320" s="45" t="n"/>
      <c r="O320" s="44" t="n"/>
    </row>
    <row r="321">
      <c r="A321" s="43" t="n"/>
      <c r="C321" s="44" t="n"/>
      <c r="D321" s="44" t="n"/>
      <c r="L321" s="45" t="n"/>
      <c r="O321" s="44" t="n"/>
    </row>
    <row r="322">
      <c r="A322" s="43" t="n"/>
      <c r="C322" s="44" t="n"/>
      <c r="D322" s="44" t="n"/>
      <c r="L322" s="45" t="n"/>
      <c r="O322" s="44" t="n"/>
    </row>
    <row r="323">
      <c r="A323" s="43" t="n"/>
      <c r="C323" s="44" t="n"/>
      <c r="D323" s="44" t="n"/>
      <c r="L323" s="45" t="n"/>
      <c r="O323" s="44" t="n"/>
    </row>
    <row r="324">
      <c r="A324" s="43" t="n"/>
      <c r="C324" s="44" t="n"/>
      <c r="D324" s="44" t="n"/>
      <c r="L324" s="45" t="n"/>
      <c r="O324" s="44" t="n"/>
    </row>
    <row r="325">
      <c r="A325" s="43" t="n"/>
      <c r="C325" s="44" t="n"/>
      <c r="D325" s="44" t="n"/>
      <c r="L325" s="45" t="n"/>
      <c r="O325" s="44" t="n"/>
    </row>
    <row r="326">
      <c r="A326" s="43" t="n"/>
      <c r="C326" s="44" t="n"/>
      <c r="D326" s="44" t="n"/>
      <c r="L326" s="45" t="n"/>
      <c r="O326" s="44" t="n"/>
    </row>
    <row r="327">
      <c r="A327" s="43" t="n"/>
      <c r="C327" s="44" t="n"/>
      <c r="D327" s="44" t="n"/>
      <c r="L327" s="45" t="n"/>
      <c r="O327" s="44" t="n"/>
    </row>
    <row r="328">
      <c r="A328" s="43" t="n"/>
      <c r="C328" s="44" t="n"/>
      <c r="D328" s="44" t="n"/>
      <c r="L328" s="45" t="n"/>
      <c r="O328" s="44" t="n"/>
    </row>
    <row r="329">
      <c r="A329" s="43" t="n"/>
      <c r="C329" s="44" t="n"/>
      <c r="D329" s="44" t="n"/>
      <c r="L329" s="45" t="n"/>
      <c r="O329" s="44" t="n"/>
    </row>
    <row r="330">
      <c r="A330" s="43" t="n"/>
      <c r="C330" s="44" t="n"/>
      <c r="D330" s="44" t="n"/>
      <c r="L330" s="45" t="n"/>
      <c r="O330" s="44" t="n"/>
    </row>
    <row r="331">
      <c r="A331" s="43" t="n"/>
      <c r="C331" s="44" t="n"/>
      <c r="D331" s="44" t="n"/>
      <c r="L331" s="45" t="n"/>
      <c r="O331" s="44" t="n"/>
    </row>
    <row r="332">
      <c r="A332" s="43" t="n"/>
      <c r="C332" s="44" t="n"/>
      <c r="D332" s="44" t="n"/>
      <c r="L332" s="45" t="n"/>
      <c r="O332" s="44" t="n"/>
    </row>
    <row r="333">
      <c r="A333" s="43" t="n"/>
      <c r="C333" s="44" t="n"/>
      <c r="D333" s="44" t="n"/>
      <c r="L333" s="45" t="n"/>
      <c r="O333" s="44" t="n"/>
    </row>
    <row r="334">
      <c r="A334" s="43" t="n"/>
      <c r="C334" s="44" t="n"/>
      <c r="D334" s="44" t="n"/>
      <c r="L334" s="45" t="n"/>
      <c r="O334" s="44" t="n"/>
    </row>
    <row r="335">
      <c r="A335" s="43" t="n"/>
      <c r="C335" s="44" t="n"/>
      <c r="D335" s="44" t="n"/>
      <c r="L335" s="45" t="n"/>
      <c r="O335" s="44" t="n"/>
    </row>
    <row r="336">
      <c r="A336" s="43" t="n"/>
      <c r="C336" s="44" t="n"/>
      <c r="D336" s="44" t="n"/>
      <c r="L336" s="45" t="n"/>
      <c r="O336" s="44" t="n"/>
    </row>
    <row r="337">
      <c r="A337" s="43" t="n"/>
      <c r="C337" s="44" t="n"/>
      <c r="D337" s="44" t="n"/>
      <c r="L337" s="45" t="n"/>
      <c r="O337" s="44" t="n"/>
    </row>
    <row r="338">
      <c r="A338" s="43" t="n"/>
      <c r="C338" s="44" t="n"/>
      <c r="D338" s="44" t="n"/>
      <c r="L338" s="45" t="n"/>
      <c r="O338" s="44" t="n"/>
    </row>
    <row r="339">
      <c r="A339" s="43" t="n"/>
      <c r="C339" s="44" t="n"/>
      <c r="D339" s="44" t="n"/>
      <c r="L339" s="45" t="n"/>
      <c r="O339" s="44" t="n"/>
    </row>
    <row r="340">
      <c r="A340" s="43" t="n"/>
      <c r="C340" s="44" t="n"/>
      <c r="D340" s="44" t="n"/>
      <c r="L340" s="45" t="n"/>
      <c r="O340" s="44" t="n"/>
    </row>
    <row r="341">
      <c r="A341" s="43" t="n"/>
      <c r="C341" s="44" t="n"/>
      <c r="D341" s="44" t="n"/>
      <c r="L341" s="45" t="n"/>
      <c r="O341" s="44" t="n"/>
    </row>
    <row r="342">
      <c r="A342" s="43" t="n"/>
      <c r="C342" s="44" t="n"/>
      <c r="D342" s="44" t="n"/>
      <c r="L342" s="45" t="n"/>
      <c r="O342" s="44" t="n"/>
    </row>
    <row r="343">
      <c r="A343" s="43" t="n"/>
      <c r="C343" s="44" t="n"/>
      <c r="D343" s="44" t="n"/>
      <c r="L343" s="45" t="n"/>
      <c r="O343" s="44" t="n"/>
    </row>
    <row r="344">
      <c r="A344" s="43" t="n"/>
      <c r="C344" s="44" t="n"/>
      <c r="D344" s="44" t="n"/>
      <c r="L344" s="45" t="n"/>
      <c r="O344" s="44" t="n"/>
    </row>
    <row r="345">
      <c r="A345" s="43" t="n"/>
      <c r="C345" s="44" t="n"/>
      <c r="D345" s="44" t="n"/>
      <c r="L345" s="45" t="n"/>
      <c r="O345" s="44" t="n"/>
    </row>
    <row r="346">
      <c r="A346" s="43" t="n"/>
      <c r="C346" s="44" t="n"/>
      <c r="D346" s="44" t="n"/>
      <c r="L346" s="45" t="n"/>
      <c r="O346" s="44" t="n"/>
    </row>
    <row r="347">
      <c r="A347" s="43" t="n"/>
      <c r="C347" s="44" t="n"/>
      <c r="D347" s="44" t="n"/>
      <c r="L347" s="45" t="n"/>
      <c r="O347" s="44" t="n"/>
    </row>
    <row r="348">
      <c r="A348" s="43" t="n"/>
      <c r="C348" s="44" t="n"/>
      <c r="D348" s="44" t="n"/>
      <c r="L348" s="45" t="n"/>
      <c r="O348" s="44" t="n"/>
    </row>
    <row r="349">
      <c r="A349" s="43" t="n"/>
      <c r="C349" s="44" t="n"/>
      <c r="D349" s="44" t="n"/>
      <c r="L349" s="45" t="n"/>
      <c r="O349" s="44" t="n"/>
    </row>
    <row r="350">
      <c r="A350" s="43" t="n"/>
      <c r="C350" s="44" t="n"/>
      <c r="D350" s="44" t="n"/>
      <c r="L350" s="45" t="n"/>
      <c r="O350" s="44" t="n"/>
    </row>
    <row r="351">
      <c r="A351" s="43" t="n"/>
      <c r="C351" s="44" t="n"/>
      <c r="D351" s="44" t="n"/>
      <c r="L351" s="45" t="n"/>
      <c r="O351" s="44" t="n"/>
    </row>
    <row r="352">
      <c r="A352" s="43" t="n"/>
      <c r="C352" s="44" t="n"/>
      <c r="D352" s="44" t="n"/>
      <c r="L352" s="45" t="n"/>
      <c r="O352" s="44" t="n"/>
    </row>
    <row r="353">
      <c r="A353" s="43" t="n"/>
      <c r="C353" s="44" t="n"/>
      <c r="D353" s="44" t="n"/>
      <c r="L353" s="45" t="n"/>
      <c r="O353" s="44" t="n"/>
    </row>
    <row r="354">
      <c r="A354" s="43" t="n"/>
      <c r="C354" s="44" t="n"/>
      <c r="D354" s="44" t="n"/>
      <c r="L354" s="45" t="n"/>
      <c r="O354" s="44" t="n"/>
    </row>
    <row r="355">
      <c r="A355" s="43" t="n"/>
      <c r="C355" s="44" t="n"/>
      <c r="D355" s="44" t="n"/>
      <c r="L355" s="45" t="n"/>
      <c r="O355" s="44" t="n"/>
    </row>
    <row r="356">
      <c r="A356" s="43" t="n"/>
      <c r="C356" s="44" t="n"/>
      <c r="D356" s="44" t="n"/>
      <c r="L356" s="45" t="n"/>
      <c r="O356" s="44" t="n"/>
    </row>
    <row r="357">
      <c r="A357" s="43" t="n"/>
      <c r="C357" s="44" t="n"/>
      <c r="D357" s="44" t="n"/>
      <c r="L357" s="45" t="n"/>
      <c r="O357" s="44" t="n"/>
    </row>
    <row r="358">
      <c r="A358" s="43" t="n"/>
      <c r="C358" s="44" t="n"/>
      <c r="D358" s="44" t="n"/>
      <c r="L358" s="45" t="n"/>
      <c r="O358" s="44" t="n"/>
    </row>
    <row r="359">
      <c r="A359" s="43" t="n"/>
      <c r="C359" s="44" t="n"/>
      <c r="D359" s="44" t="n"/>
      <c r="L359" s="45" t="n"/>
      <c r="O359" s="44" t="n"/>
    </row>
    <row r="360">
      <c r="A360" s="43" t="n"/>
      <c r="C360" s="44" t="n"/>
      <c r="D360" s="44" t="n"/>
      <c r="L360" s="45" t="n"/>
      <c r="O360" s="44" t="n"/>
    </row>
    <row r="361">
      <c r="A361" s="43" t="n"/>
      <c r="C361" s="44" t="n"/>
      <c r="D361" s="44" t="n"/>
      <c r="L361" s="45" t="n"/>
      <c r="O361" s="44" t="n"/>
    </row>
    <row r="362">
      <c r="A362" s="43" t="n"/>
      <c r="C362" s="44" t="n"/>
      <c r="D362" s="44" t="n"/>
      <c r="L362" s="45" t="n"/>
      <c r="O362" s="44" t="n"/>
    </row>
    <row r="363">
      <c r="A363" s="43" t="n"/>
      <c r="C363" s="44" t="n"/>
      <c r="D363" s="44" t="n"/>
      <c r="L363" s="45" t="n"/>
      <c r="O363" s="44" t="n"/>
    </row>
    <row r="364">
      <c r="A364" s="43" t="n"/>
      <c r="C364" s="44" t="n"/>
      <c r="D364" s="44" t="n"/>
      <c r="L364" s="45" t="n"/>
      <c r="O364" s="44" t="n"/>
    </row>
    <row r="365">
      <c r="A365" s="43" t="n"/>
      <c r="C365" s="44" t="n"/>
      <c r="D365" s="44" t="n"/>
      <c r="L365" s="45" t="n"/>
      <c r="O365" s="44" t="n"/>
    </row>
    <row r="366">
      <c r="A366" s="43" t="n"/>
      <c r="C366" s="44" t="n"/>
      <c r="D366" s="44" t="n"/>
      <c r="L366" s="45" t="n"/>
      <c r="O366" s="44" t="n"/>
    </row>
    <row r="367">
      <c r="A367" s="43" t="n"/>
      <c r="C367" s="44" t="n"/>
      <c r="D367" s="44" t="n"/>
      <c r="L367" s="45" t="n"/>
      <c r="O367" s="44" t="n"/>
    </row>
    <row r="368">
      <c r="A368" s="43" t="n"/>
      <c r="C368" s="44" t="n"/>
      <c r="D368" s="44" t="n"/>
      <c r="L368" s="45" t="n"/>
      <c r="O368" s="44" t="n"/>
    </row>
    <row r="369">
      <c r="A369" s="43" t="n"/>
      <c r="C369" s="44" t="n"/>
      <c r="D369" s="44" t="n"/>
      <c r="L369" s="45" t="n"/>
      <c r="O369" s="44" t="n"/>
    </row>
    <row r="370">
      <c r="A370" s="43" t="n"/>
      <c r="C370" s="44" t="n"/>
      <c r="D370" s="44" t="n"/>
      <c r="L370" s="45" t="n"/>
      <c r="O370" s="44" t="n"/>
    </row>
    <row r="371">
      <c r="A371" s="43" t="n"/>
      <c r="C371" s="44" t="n"/>
      <c r="D371" s="44" t="n"/>
      <c r="L371" s="45" t="n"/>
      <c r="O371" s="44" t="n"/>
    </row>
    <row r="372">
      <c r="A372" s="43" t="n"/>
      <c r="C372" s="44" t="n"/>
      <c r="D372" s="44" t="n"/>
      <c r="L372" s="45" t="n"/>
      <c r="O372" s="44" t="n"/>
    </row>
    <row r="373">
      <c r="A373" s="43" t="n"/>
      <c r="C373" s="44" t="n"/>
      <c r="D373" s="44" t="n"/>
      <c r="L373" s="45" t="n"/>
      <c r="O373" s="44" t="n"/>
    </row>
    <row r="374">
      <c r="A374" s="43" t="n"/>
      <c r="C374" s="44" t="n"/>
      <c r="D374" s="44" t="n"/>
      <c r="L374" s="45" t="n"/>
      <c r="O374" s="44" t="n"/>
    </row>
    <row r="375">
      <c r="A375" s="43" t="n"/>
      <c r="C375" s="44" t="n"/>
      <c r="D375" s="44" t="n"/>
      <c r="L375" s="45" t="n"/>
      <c r="O375" s="44" t="n"/>
    </row>
    <row r="376">
      <c r="A376" s="43" t="n"/>
      <c r="C376" s="44" t="n"/>
      <c r="D376" s="44" t="n"/>
      <c r="L376" s="45" t="n"/>
      <c r="O376" s="44" t="n"/>
    </row>
    <row r="377">
      <c r="A377" s="43" t="n"/>
      <c r="C377" s="44" t="n"/>
      <c r="D377" s="44" t="n"/>
      <c r="L377" s="45" t="n"/>
      <c r="O377" s="44" t="n"/>
    </row>
    <row r="378">
      <c r="A378" s="43" t="n"/>
      <c r="C378" s="44" t="n"/>
      <c r="D378" s="44" t="n"/>
      <c r="L378" s="45" t="n"/>
      <c r="O378" s="44" t="n"/>
    </row>
    <row r="379">
      <c r="A379" s="43" t="n"/>
      <c r="C379" s="44" t="n"/>
      <c r="D379" s="44" t="n"/>
      <c r="L379" s="45" t="n"/>
      <c r="O379" s="44" t="n"/>
    </row>
    <row r="380">
      <c r="A380" s="43" t="n"/>
      <c r="C380" s="44" t="n"/>
      <c r="D380" s="44" t="n"/>
      <c r="L380" s="45" t="n"/>
      <c r="O380" s="44" t="n"/>
    </row>
    <row r="381">
      <c r="A381" s="43" t="n"/>
      <c r="C381" s="44" t="n"/>
      <c r="D381" s="44" t="n"/>
      <c r="L381" s="45" t="n"/>
      <c r="O381" s="44" t="n"/>
    </row>
    <row r="382">
      <c r="A382" s="43" t="n"/>
      <c r="C382" s="44" t="n"/>
      <c r="D382" s="44" t="n"/>
      <c r="L382" s="45" t="n"/>
      <c r="O382" s="44" t="n"/>
    </row>
    <row r="383">
      <c r="A383" s="43" t="n"/>
      <c r="C383" s="44" t="n"/>
      <c r="D383" s="44" t="n"/>
      <c r="L383" s="45" t="n"/>
      <c r="O383" s="44" t="n"/>
    </row>
    <row r="384">
      <c r="A384" s="43" t="n"/>
      <c r="C384" s="44" t="n"/>
      <c r="D384" s="44" t="n"/>
      <c r="L384" s="45" t="n"/>
      <c r="O384" s="44" t="n"/>
    </row>
    <row r="385">
      <c r="A385" s="43" t="n"/>
      <c r="C385" s="44" t="n"/>
      <c r="D385" s="44" t="n"/>
      <c r="L385" s="45" t="n"/>
      <c r="O385" s="44" t="n"/>
    </row>
    <row r="386">
      <c r="A386" s="43" t="n"/>
      <c r="C386" s="44" t="n"/>
      <c r="D386" s="44" t="n"/>
      <c r="L386" s="45" t="n"/>
      <c r="O386" s="44" t="n"/>
    </row>
    <row r="387">
      <c r="A387" s="43" t="n"/>
      <c r="C387" s="44" t="n"/>
      <c r="D387" s="44" t="n"/>
      <c r="L387" s="45" t="n"/>
      <c r="O387" s="44" t="n"/>
    </row>
    <row r="388">
      <c r="A388" s="43" t="n"/>
      <c r="C388" s="44" t="n"/>
      <c r="D388" s="44" t="n"/>
      <c r="L388" s="45" t="n"/>
      <c r="O388" s="44" t="n"/>
    </row>
    <row r="389">
      <c r="A389" s="43" t="n"/>
      <c r="C389" s="44" t="n"/>
      <c r="D389" s="44" t="n"/>
      <c r="L389" s="45" t="n"/>
      <c r="O389" s="44" t="n"/>
    </row>
    <row r="390">
      <c r="A390" s="43" t="n"/>
      <c r="C390" s="44" t="n"/>
      <c r="D390" s="44" t="n"/>
      <c r="L390" s="45" t="n"/>
      <c r="O390" s="44" t="n"/>
    </row>
    <row r="391">
      <c r="A391" s="43" t="n"/>
      <c r="C391" s="44" t="n"/>
      <c r="D391" s="44" t="n"/>
      <c r="L391" s="45" t="n"/>
      <c r="O391" s="44" t="n"/>
    </row>
    <row r="392">
      <c r="A392" s="43" t="n"/>
      <c r="C392" s="44" t="n"/>
      <c r="D392" s="44" t="n"/>
      <c r="L392" s="45" t="n"/>
      <c r="O392" s="44" t="n"/>
    </row>
    <row r="393">
      <c r="A393" s="43" t="n"/>
      <c r="C393" s="44" t="n"/>
      <c r="D393" s="44" t="n"/>
      <c r="L393" s="45" t="n"/>
      <c r="O393" s="44" t="n"/>
    </row>
    <row r="394">
      <c r="A394" s="43" t="n"/>
      <c r="C394" s="44" t="n"/>
      <c r="D394" s="44" t="n"/>
      <c r="L394" s="45" t="n"/>
      <c r="O394" s="44" t="n"/>
    </row>
    <row r="395">
      <c r="A395" s="43" t="n"/>
      <c r="C395" s="44" t="n"/>
      <c r="D395" s="44" t="n"/>
      <c r="L395" s="45" t="n"/>
      <c r="O395" s="44" t="n"/>
    </row>
    <row r="396">
      <c r="A396" s="43" t="n"/>
      <c r="C396" s="44" t="n"/>
      <c r="D396" s="44" t="n"/>
      <c r="L396" s="45" t="n"/>
      <c r="O396" s="44" t="n"/>
    </row>
    <row r="397">
      <c r="A397" s="43" t="n"/>
      <c r="C397" s="44" t="n"/>
      <c r="D397" s="44" t="n"/>
      <c r="L397" s="45" t="n"/>
      <c r="O397" s="44" t="n"/>
    </row>
    <row r="398">
      <c r="A398" s="43" t="n"/>
      <c r="C398" s="44" t="n"/>
      <c r="D398" s="44" t="n"/>
      <c r="L398" s="45" t="n"/>
      <c r="O398" s="44" t="n"/>
    </row>
    <row r="399">
      <c r="A399" s="43" t="n"/>
      <c r="C399" s="44" t="n"/>
      <c r="D399" s="44" t="n"/>
      <c r="L399" s="45" t="n"/>
      <c r="O399" s="44" t="n"/>
    </row>
    <row r="400">
      <c r="A400" s="43" t="n"/>
      <c r="C400" s="44" t="n"/>
      <c r="D400" s="44" t="n"/>
      <c r="L400" s="45" t="n"/>
      <c r="O400" s="44" t="n"/>
    </row>
    <row r="401">
      <c r="A401" s="43" t="n"/>
      <c r="C401" s="44" t="n"/>
      <c r="D401" s="44" t="n"/>
      <c r="L401" s="45" t="n"/>
      <c r="O401" s="44" t="n"/>
    </row>
    <row r="402">
      <c r="A402" s="43" t="n"/>
      <c r="C402" s="44" t="n"/>
      <c r="D402" s="44" t="n"/>
      <c r="L402" s="45" t="n"/>
      <c r="O402" s="44" t="n"/>
    </row>
    <row r="403">
      <c r="A403" s="43" t="n"/>
      <c r="C403" s="44" t="n"/>
      <c r="D403" s="44" t="n"/>
      <c r="L403" s="45" t="n"/>
      <c r="O403" s="44" t="n"/>
    </row>
    <row r="404">
      <c r="A404" s="43" t="n"/>
      <c r="C404" s="44" t="n"/>
      <c r="D404" s="44" t="n"/>
      <c r="L404" s="45" t="n"/>
      <c r="O404" s="44" t="n"/>
    </row>
    <row r="405">
      <c r="A405" s="43" t="n"/>
      <c r="C405" s="44" t="n"/>
      <c r="D405" s="44" t="n"/>
      <c r="L405" s="45" t="n"/>
      <c r="O405" s="44" t="n"/>
    </row>
    <row r="406">
      <c r="A406" s="43" t="n"/>
      <c r="C406" s="44" t="n"/>
      <c r="D406" s="44" t="n"/>
      <c r="L406" s="45" t="n"/>
      <c r="O406" s="44" t="n"/>
    </row>
    <row r="407">
      <c r="A407" s="43" t="n"/>
      <c r="C407" s="44" t="n"/>
      <c r="D407" s="44" t="n"/>
      <c r="L407" s="45" t="n"/>
      <c r="O407" s="44" t="n"/>
    </row>
    <row r="408">
      <c r="A408" s="43" t="n"/>
      <c r="C408" s="44" t="n"/>
      <c r="D408" s="44" t="n"/>
      <c r="L408" s="45" t="n"/>
      <c r="O408" s="44" t="n"/>
    </row>
    <row r="409">
      <c r="A409" s="43" t="n"/>
      <c r="C409" s="44" t="n"/>
      <c r="D409" s="44" t="n"/>
      <c r="L409" s="45" t="n"/>
      <c r="O409" s="44" t="n"/>
    </row>
    <row r="410">
      <c r="A410" s="43" t="n"/>
      <c r="C410" s="44" t="n"/>
      <c r="D410" s="44" t="n"/>
      <c r="L410" s="45" t="n"/>
      <c r="O410" s="44" t="n"/>
    </row>
    <row r="411">
      <c r="A411" s="43" t="n"/>
      <c r="C411" s="44" t="n"/>
      <c r="D411" s="44" t="n"/>
      <c r="L411" s="45" t="n"/>
      <c r="O411" s="44" t="n"/>
    </row>
    <row r="412">
      <c r="A412" s="43" t="n"/>
      <c r="C412" s="44" t="n"/>
      <c r="D412" s="44" t="n"/>
      <c r="L412" s="45" t="n"/>
      <c r="O412" s="44" t="n"/>
    </row>
    <row r="413">
      <c r="A413" s="43" t="n"/>
      <c r="C413" s="44" t="n"/>
      <c r="D413" s="44" t="n"/>
      <c r="L413" s="45" t="n"/>
      <c r="O413" s="44" t="n"/>
    </row>
    <row r="414">
      <c r="A414" s="43" t="n"/>
      <c r="C414" s="44" t="n"/>
      <c r="D414" s="44" t="n"/>
      <c r="L414" s="45" t="n"/>
      <c r="O414" s="44" t="n"/>
    </row>
    <row r="415">
      <c r="A415" s="43" t="n"/>
      <c r="C415" s="44" t="n"/>
      <c r="D415" s="44" t="n"/>
      <c r="L415" s="45" t="n"/>
      <c r="O415" s="44" t="n"/>
    </row>
    <row r="416">
      <c r="A416" s="43" t="n"/>
      <c r="C416" s="44" t="n"/>
      <c r="D416" s="44" t="n"/>
      <c r="L416" s="45" t="n"/>
      <c r="O416" s="44" t="n"/>
    </row>
    <row r="417">
      <c r="A417" s="43" t="n"/>
      <c r="C417" s="44" t="n"/>
      <c r="D417" s="44" t="n"/>
      <c r="L417" s="45" t="n"/>
      <c r="O417" s="44" t="n"/>
    </row>
    <row r="418">
      <c r="A418" s="43" t="n"/>
      <c r="C418" s="44" t="n"/>
      <c r="D418" s="44" t="n"/>
      <c r="L418" s="45" t="n"/>
      <c r="O418" s="44" t="n"/>
    </row>
    <row r="419">
      <c r="A419" s="43" t="n"/>
      <c r="C419" s="44" t="n"/>
      <c r="D419" s="44" t="n"/>
      <c r="L419" s="45" t="n"/>
      <c r="O419" s="44" t="n"/>
    </row>
    <row r="420">
      <c r="A420" s="43" t="n"/>
      <c r="C420" s="44" t="n"/>
      <c r="D420" s="44" t="n"/>
      <c r="L420" s="45" t="n"/>
      <c r="O420" s="44" t="n"/>
    </row>
    <row r="421">
      <c r="A421" s="43" t="n"/>
      <c r="C421" s="44" t="n"/>
      <c r="D421" s="44" t="n"/>
      <c r="L421" s="45" t="n"/>
      <c r="O421" s="44" t="n"/>
    </row>
    <row r="422">
      <c r="A422" s="43" t="n"/>
      <c r="C422" s="44" t="n"/>
      <c r="D422" s="44" t="n"/>
      <c r="L422" s="45" t="n"/>
      <c r="O422" s="44" t="n"/>
    </row>
    <row r="423">
      <c r="A423" s="43" t="n"/>
      <c r="C423" s="44" t="n"/>
      <c r="D423" s="44" t="n"/>
      <c r="L423" s="45" t="n"/>
      <c r="O423" s="44" t="n"/>
    </row>
    <row r="424">
      <c r="A424" s="43" t="n"/>
      <c r="C424" s="44" t="n"/>
      <c r="D424" s="44" t="n"/>
      <c r="L424" s="45" t="n"/>
      <c r="O424" s="44" t="n"/>
    </row>
    <row r="425">
      <c r="A425" s="43" t="n"/>
      <c r="C425" s="44" t="n"/>
      <c r="D425" s="44" t="n"/>
      <c r="L425" s="45" t="n"/>
      <c r="O425" s="44" t="n"/>
    </row>
    <row r="426">
      <c r="A426" s="43" t="n"/>
      <c r="C426" s="44" t="n"/>
      <c r="D426" s="44" t="n"/>
      <c r="L426" s="45" t="n"/>
      <c r="O426" s="44" t="n"/>
    </row>
    <row r="427">
      <c r="A427" s="43" t="n"/>
      <c r="C427" s="44" t="n"/>
      <c r="D427" s="44" t="n"/>
      <c r="L427" s="45" t="n"/>
      <c r="O427" s="44" t="n"/>
    </row>
    <row r="428">
      <c r="A428" s="43" t="n"/>
      <c r="C428" s="44" t="n"/>
      <c r="D428" s="44" t="n"/>
      <c r="L428" s="45" t="n"/>
      <c r="O428" s="44" t="n"/>
    </row>
    <row r="429">
      <c r="A429" s="43" t="n"/>
      <c r="C429" s="44" t="n"/>
      <c r="D429" s="44" t="n"/>
      <c r="L429" s="45" t="n"/>
      <c r="O429" s="44" t="n"/>
    </row>
    <row r="430">
      <c r="A430" s="43" t="n"/>
      <c r="C430" s="44" t="n"/>
      <c r="D430" s="44" t="n"/>
      <c r="L430" s="45" t="n"/>
      <c r="O430" s="44" t="n"/>
    </row>
    <row r="431">
      <c r="A431" s="43" t="n"/>
      <c r="C431" s="44" t="n"/>
      <c r="D431" s="44" t="n"/>
      <c r="L431" s="45" t="n"/>
      <c r="O431" s="44" t="n"/>
    </row>
    <row r="432">
      <c r="A432" s="43" t="n"/>
      <c r="C432" s="44" t="n"/>
      <c r="D432" s="44" t="n"/>
      <c r="L432" s="45" t="n"/>
      <c r="O432" s="44" t="n"/>
    </row>
    <row r="433">
      <c r="A433" s="43" t="n"/>
      <c r="C433" s="44" t="n"/>
      <c r="D433" s="44" t="n"/>
      <c r="L433" s="45" t="n"/>
      <c r="O433" s="44" t="n"/>
    </row>
    <row r="434">
      <c r="A434" s="43" t="n"/>
      <c r="C434" s="44" t="n"/>
      <c r="D434" s="44" t="n"/>
      <c r="L434" s="45" t="n"/>
      <c r="O434" s="44" t="n"/>
    </row>
    <row r="435">
      <c r="A435" s="43" t="n"/>
      <c r="C435" s="44" t="n"/>
      <c r="D435" s="44" t="n"/>
      <c r="L435" s="45" t="n"/>
      <c r="O435" s="44" t="n"/>
    </row>
    <row r="436">
      <c r="A436" s="43" t="n"/>
      <c r="C436" s="44" t="n"/>
      <c r="D436" s="44" t="n"/>
      <c r="L436" s="45" t="n"/>
      <c r="O436" s="44" t="n"/>
    </row>
    <row r="437">
      <c r="A437" s="43" t="n"/>
      <c r="C437" s="44" t="n"/>
      <c r="D437" s="44" t="n"/>
      <c r="L437" s="45" t="n"/>
      <c r="O437" s="44" t="n"/>
    </row>
    <row r="438">
      <c r="A438" s="43" t="n"/>
      <c r="C438" s="44" t="n"/>
      <c r="D438" s="44" t="n"/>
      <c r="L438" s="45" t="n"/>
      <c r="O438" s="44" t="n"/>
    </row>
    <row r="439">
      <c r="A439" s="43" t="n"/>
      <c r="C439" s="44" t="n"/>
      <c r="D439" s="44" t="n"/>
      <c r="L439" s="45" t="n"/>
      <c r="O439" s="44" t="n"/>
    </row>
    <row r="440">
      <c r="A440" s="43" t="n"/>
      <c r="C440" s="44" t="n"/>
      <c r="D440" s="44" t="n"/>
      <c r="L440" s="45" t="n"/>
      <c r="O440" s="44" t="n"/>
    </row>
    <row r="441">
      <c r="A441" s="43" t="n"/>
      <c r="C441" s="44" t="n"/>
      <c r="D441" s="44" t="n"/>
      <c r="L441" s="45" t="n"/>
      <c r="O441" s="44" t="n"/>
    </row>
    <row r="442">
      <c r="A442" s="43" t="n"/>
      <c r="C442" s="44" t="n"/>
      <c r="D442" s="44" t="n"/>
      <c r="L442" s="45" t="n"/>
      <c r="O442" s="44" t="n"/>
    </row>
    <row r="443">
      <c r="A443" s="43" t="n"/>
      <c r="C443" s="44" t="n"/>
      <c r="D443" s="44" t="n"/>
      <c r="L443" s="45" t="n"/>
      <c r="O443" s="44" t="n"/>
    </row>
    <row r="444">
      <c r="A444" s="43" t="n"/>
      <c r="C444" s="44" t="n"/>
      <c r="D444" s="44" t="n"/>
      <c r="L444" s="45" t="n"/>
      <c r="O444" s="44" t="n"/>
    </row>
    <row r="445">
      <c r="A445" s="43" t="n"/>
      <c r="C445" s="44" t="n"/>
      <c r="D445" s="44" t="n"/>
      <c r="L445" s="45" t="n"/>
      <c r="O445" s="44" t="n"/>
    </row>
    <row r="446">
      <c r="A446" s="43" t="n"/>
      <c r="C446" s="44" t="n"/>
      <c r="D446" s="44" t="n"/>
      <c r="L446" s="45" t="n"/>
      <c r="O446" s="44" t="n"/>
    </row>
    <row r="447">
      <c r="A447" s="43" t="n"/>
      <c r="C447" s="44" t="n"/>
      <c r="D447" s="44" t="n"/>
      <c r="L447" s="45" t="n"/>
      <c r="O447" s="44" t="n"/>
    </row>
    <row r="448">
      <c r="A448" s="43" t="n"/>
      <c r="C448" s="44" t="n"/>
      <c r="D448" s="44" t="n"/>
      <c r="L448" s="45" t="n"/>
      <c r="O448" s="44" t="n"/>
    </row>
    <row r="449">
      <c r="A449" s="43" t="n"/>
      <c r="C449" s="44" t="n"/>
      <c r="D449" s="44" t="n"/>
      <c r="L449" s="45" t="n"/>
      <c r="O449" s="44" t="n"/>
    </row>
    <row r="450">
      <c r="A450" s="43" t="n"/>
      <c r="C450" s="44" t="n"/>
      <c r="D450" s="44" t="n"/>
      <c r="L450" s="45" t="n"/>
      <c r="O450" s="44" t="n"/>
    </row>
    <row r="451">
      <c r="A451" s="43" t="n"/>
      <c r="C451" s="44" t="n"/>
      <c r="D451" s="44" t="n"/>
      <c r="L451" s="45" t="n"/>
      <c r="O451" s="44" t="n"/>
    </row>
    <row r="452">
      <c r="A452" s="43" t="n"/>
      <c r="C452" s="44" t="n"/>
      <c r="D452" s="44" t="n"/>
      <c r="L452" s="45" t="n"/>
      <c r="O452" s="44" t="n"/>
    </row>
    <row r="453">
      <c r="A453" s="43" t="n"/>
      <c r="C453" s="44" t="n"/>
      <c r="D453" s="44" t="n"/>
      <c r="L453" s="45" t="n"/>
      <c r="O453" s="44" t="n"/>
    </row>
    <row r="454">
      <c r="A454" s="43" t="n"/>
      <c r="C454" s="44" t="n"/>
      <c r="D454" s="44" t="n"/>
      <c r="L454" s="45" t="n"/>
      <c r="O454" s="44" t="n"/>
    </row>
    <row r="455">
      <c r="A455" s="43" t="n"/>
      <c r="C455" s="44" t="n"/>
      <c r="D455" s="44" t="n"/>
      <c r="L455" s="45" t="n"/>
      <c r="O455" s="44" t="n"/>
    </row>
    <row r="456">
      <c r="A456" s="43" t="n"/>
      <c r="C456" s="44" t="n"/>
      <c r="D456" s="44" t="n"/>
      <c r="L456" s="45" t="n"/>
      <c r="O456" s="44" t="n"/>
    </row>
    <row r="457">
      <c r="A457" s="43" t="n"/>
      <c r="C457" s="44" t="n"/>
      <c r="D457" s="44" t="n"/>
      <c r="L457" s="45" t="n"/>
      <c r="O457" s="44" t="n"/>
    </row>
    <row r="458">
      <c r="A458" s="43" t="n"/>
      <c r="C458" s="44" t="n"/>
      <c r="D458" s="44" t="n"/>
      <c r="L458" s="45" t="n"/>
      <c r="O458" s="44" t="n"/>
    </row>
    <row r="459">
      <c r="A459" s="43" t="n"/>
      <c r="C459" s="44" t="n"/>
      <c r="D459" s="44" t="n"/>
      <c r="L459" s="45" t="n"/>
      <c r="O459" s="44" t="n"/>
    </row>
    <row r="460">
      <c r="A460" s="43" t="n"/>
      <c r="C460" s="44" t="n"/>
      <c r="D460" s="44" t="n"/>
      <c r="L460" s="45" t="n"/>
      <c r="O460" s="44" t="n"/>
    </row>
    <row r="461">
      <c r="A461" s="43" t="n"/>
      <c r="C461" s="44" t="n"/>
      <c r="D461" s="44" t="n"/>
      <c r="L461" s="45" t="n"/>
      <c r="O461" s="44" t="n"/>
    </row>
    <row r="462">
      <c r="A462" s="43" t="n"/>
      <c r="C462" s="44" t="n"/>
      <c r="D462" s="44" t="n"/>
      <c r="L462" s="45" t="n"/>
      <c r="O462" s="44" t="n"/>
    </row>
    <row r="463">
      <c r="A463" s="43" t="n"/>
      <c r="C463" s="44" t="n"/>
      <c r="D463" s="44" t="n"/>
      <c r="L463" s="45" t="n"/>
      <c r="O463" s="44" t="n"/>
    </row>
    <row r="464">
      <c r="A464" s="43" t="n"/>
      <c r="C464" s="44" t="n"/>
      <c r="D464" s="44" t="n"/>
      <c r="L464" s="45" t="n"/>
      <c r="O464" s="44" t="n"/>
    </row>
    <row r="465">
      <c r="A465" s="43" t="n"/>
      <c r="C465" s="44" t="n"/>
      <c r="D465" s="44" t="n"/>
      <c r="L465" s="45" t="n"/>
      <c r="O465" s="44" t="n"/>
    </row>
    <row r="466">
      <c r="A466" s="43" t="n"/>
      <c r="C466" s="44" t="n"/>
      <c r="D466" s="44" t="n"/>
      <c r="L466" s="45" t="n"/>
      <c r="O466" s="44" t="n"/>
    </row>
    <row r="467">
      <c r="A467" s="43" t="n"/>
      <c r="C467" s="44" t="n"/>
      <c r="D467" s="44" t="n"/>
      <c r="L467" s="45" t="n"/>
      <c r="O467" s="44" t="n"/>
    </row>
    <row r="468">
      <c r="A468" s="43" t="n"/>
      <c r="C468" s="44" t="n"/>
      <c r="D468" s="44" t="n"/>
      <c r="L468" s="45" t="n"/>
      <c r="O468" s="44" t="n"/>
    </row>
    <row r="469">
      <c r="A469" s="43" t="n"/>
      <c r="C469" s="44" t="n"/>
      <c r="D469" s="44" t="n"/>
      <c r="L469" s="45" t="n"/>
      <c r="O469" s="44" t="n"/>
    </row>
    <row r="470">
      <c r="A470" s="43" t="n"/>
      <c r="C470" s="44" t="n"/>
      <c r="D470" s="44" t="n"/>
      <c r="L470" s="45" t="n"/>
      <c r="O470" s="44" t="n"/>
    </row>
    <row r="471">
      <c r="A471" s="43" t="n"/>
      <c r="C471" s="44" t="n"/>
      <c r="D471" s="44" t="n"/>
      <c r="L471" s="45" t="n"/>
      <c r="O471" s="44" t="n"/>
    </row>
    <row r="472">
      <c r="A472" s="43" t="n"/>
      <c r="C472" s="44" t="n"/>
      <c r="D472" s="44" t="n"/>
      <c r="L472" s="45" t="n"/>
      <c r="O472" s="44" t="n"/>
    </row>
    <row r="473">
      <c r="A473" s="43" t="n"/>
      <c r="C473" s="44" t="n"/>
      <c r="D473" s="44" t="n"/>
      <c r="L473" s="45" t="n"/>
      <c r="O473" s="44" t="n"/>
    </row>
    <row r="474">
      <c r="A474" s="43" t="n"/>
      <c r="C474" s="44" t="n"/>
      <c r="D474" s="44" t="n"/>
      <c r="L474" s="45" t="n"/>
      <c r="O474" s="44" t="n"/>
    </row>
    <row r="475">
      <c r="A475" s="43" t="n"/>
      <c r="C475" s="44" t="n"/>
      <c r="D475" s="44" t="n"/>
      <c r="L475" s="45" t="n"/>
      <c r="O475" s="44" t="n"/>
    </row>
    <row r="476">
      <c r="A476" s="43" t="n"/>
      <c r="C476" s="44" t="n"/>
      <c r="D476" s="44" t="n"/>
      <c r="L476" s="45" t="n"/>
      <c r="O476" s="44" t="n"/>
    </row>
    <row r="477">
      <c r="A477" s="43" t="n"/>
      <c r="C477" s="44" t="n"/>
      <c r="D477" s="44" t="n"/>
      <c r="L477" s="45" t="n"/>
      <c r="O477" s="44" t="n"/>
    </row>
    <row r="478">
      <c r="A478" s="43" t="n"/>
      <c r="C478" s="44" t="n"/>
      <c r="D478" s="44" t="n"/>
      <c r="L478" s="45" t="n"/>
      <c r="O478" s="44" t="n"/>
    </row>
    <row r="479">
      <c r="A479" s="43" t="n"/>
      <c r="C479" s="44" t="n"/>
      <c r="D479" s="44" t="n"/>
      <c r="L479" s="45" t="n"/>
      <c r="O479" s="44" t="n"/>
    </row>
    <row r="480">
      <c r="A480" s="43" t="n"/>
      <c r="C480" s="44" t="n"/>
      <c r="D480" s="44" t="n"/>
      <c r="L480" s="45" t="n"/>
      <c r="O480" s="44" t="n"/>
    </row>
    <row r="481">
      <c r="A481" s="43" t="n"/>
      <c r="C481" s="44" t="n"/>
      <c r="D481" s="44" t="n"/>
      <c r="L481" s="45" t="n"/>
      <c r="O481" s="44" t="n"/>
    </row>
    <row r="482">
      <c r="A482" s="43" t="n"/>
      <c r="C482" s="44" t="n"/>
      <c r="D482" s="44" t="n"/>
      <c r="L482" s="45" t="n"/>
      <c r="O482" s="44" t="n"/>
    </row>
    <row r="483">
      <c r="A483" s="43" t="n"/>
      <c r="C483" s="44" t="n"/>
      <c r="D483" s="44" t="n"/>
      <c r="L483" s="45" t="n"/>
      <c r="O483" s="44" t="n"/>
    </row>
    <row r="484">
      <c r="A484" s="43" t="n"/>
      <c r="C484" s="44" t="n"/>
      <c r="D484" s="44" t="n"/>
      <c r="L484" s="45" t="n"/>
      <c r="O484" s="44" t="n"/>
    </row>
    <row r="485">
      <c r="A485" s="43" t="n"/>
      <c r="C485" s="44" t="n"/>
      <c r="D485" s="44" t="n"/>
      <c r="L485" s="45" t="n"/>
      <c r="O485" s="44" t="n"/>
    </row>
    <row r="486">
      <c r="A486" s="43" t="n"/>
      <c r="C486" s="44" t="n"/>
      <c r="D486" s="44" t="n"/>
      <c r="L486" s="45" t="n"/>
      <c r="O486" s="44" t="n"/>
    </row>
    <row r="487">
      <c r="A487" s="43" t="n"/>
      <c r="C487" s="44" t="n"/>
      <c r="D487" s="44" t="n"/>
      <c r="L487" s="45" t="n"/>
      <c r="O487" s="44" t="n"/>
    </row>
    <row r="488">
      <c r="A488" s="43" t="n"/>
      <c r="C488" s="44" t="n"/>
      <c r="D488" s="44" t="n"/>
      <c r="L488" s="45" t="n"/>
      <c r="O488" s="44" t="n"/>
    </row>
    <row r="489">
      <c r="A489" s="43" t="n"/>
      <c r="C489" s="44" t="n"/>
      <c r="D489" s="44" t="n"/>
      <c r="L489" s="45" t="n"/>
      <c r="O489" s="44" t="n"/>
    </row>
    <row r="490">
      <c r="A490" s="43" t="n"/>
      <c r="C490" s="44" t="n"/>
      <c r="D490" s="44" t="n"/>
      <c r="L490" s="45" t="n"/>
      <c r="O490" s="44" t="n"/>
    </row>
    <row r="491">
      <c r="A491" s="43" t="n"/>
      <c r="C491" s="44" t="n"/>
      <c r="D491" s="44" t="n"/>
      <c r="L491" s="45" t="n"/>
      <c r="O491" s="44" t="n"/>
    </row>
    <row r="492">
      <c r="A492" s="43" t="n"/>
      <c r="C492" s="44" t="n"/>
      <c r="D492" s="44" t="n"/>
      <c r="L492" s="45" t="n"/>
      <c r="O492" s="44" t="n"/>
    </row>
    <row r="493">
      <c r="A493" s="43" t="n"/>
      <c r="C493" s="44" t="n"/>
      <c r="D493" s="44" t="n"/>
      <c r="L493" s="45" t="n"/>
      <c r="O493" s="44" t="n"/>
    </row>
    <row r="494">
      <c r="A494" s="43" t="n"/>
      <c r="C494" s="44" t="n"/>
      <c r="D494" s="44" t="n"/>
      <c r="L494" s="45" t="n"/>
      <c r="O494" s="44" t="n"/>
    </row>
    <row r="495">
      <c r="A495" s="43" t="n"/>
      <c r="C495" s="44" t="n"/>
      <c r="D495" s="44" t="n"/>
      <c r="L495" s="45" t="n"/>
      <c r="O495" s="44" t="n"/>
    </row>
    <row r="496">
      <c r="A496" s="43" t="n"/>
      <c r="C496" s="44" t="n"/>
      <c r="D496" s="44" t="n"/>
      <c r="L496" s="45" t="n"/>
      <c r="O496" s="44" t="n"/>
    </row>
    <row r="497">
      <c r="A497" s="43" t="n"/>
      <c r="C497" s="44" t="n"/>
      <c r="D497" s="44" t="n"/>
      <c r="L497" s="45" t="n"/>
      <c r="O497" s="44" t="n"/>
    </row>
    <row r="498">
      <c r="A498" s="43" t="n"/>
      <c r="C498" s="44" t="n"/>
      <c r="D498" s="44" t="n"/>
      <c r="L498" s="45" t="n"/>
      <c r="O498" s="44" t="n"/>
    </row>
    <row r="499">
      <c r="A499" s="43" t="n"/>
      <c r="C499" s="44" t="n"/>
      <c r="D499" s="44" t="n"/>
      <c r="L499" s="45" t="n"/>
      <c r="O499" s="44" t="n"/>
    </row>
    <row r="500">
      <c r="A500" s="43" t="n"/>
      <c r="C500" s="44" t="n"/>
      <c r="D500" s="44" t="n"/>
      <c r="L500" s="45" t="n"/>
      <c r="O500" s="44" t="n"/>
    </row>
    <row r="501">
      <c r="A501" s="43" t="n"/>
      <c r="C501" s="44" t="n"/>
      <c r="D501" s="44" t="n"/>
      <c r="L501" s="45" t="n"/>
      <c r="O501" s="44" t="n"/>
    </row>
    <row r="502">
      <c r="A502" s="43" t="n"/>
      <c r="C502" s="44" t="n"/>
      <c r="D502" s="44" t="n"/>
      <c r="L502" s="45" t="n"/>
      <c r="O502" s="44" t="n"/>
    </row>
    <row r="503">
      <c r="A503" s="43" t="n"/>
      <c r="C503" s="44" t="n"/>
      <c r="D503" s="44" t="n"/>
      <c r="L503" s="45" t="n"/>
      <c r="O503" s="44" t="n"/>
    </row>
    <row r="504">
      <c r="A504" s="43" t="n"/>
      <c r="C504" s="44" t="n"/>
      <c r="D504" s="44" t="n"/>
      <c r="L504" s="45" t="n"/>
      <c r="O504" s="44" t="n"/>
    </row>
  </sheetData>
  <autoFilter ref="A3:X504"/>
  <conditionalFormatting sqref="F2">
    <cfRule type="cellIs" priority="1" operator="lessThan" dxfId="0">
      <formula>0</formula>
    </cfRule>
    <cfRule type="cellIs" priority="2" operator="greaterThanOrEqual" dxfId="1">
      <formula>0</formula>
    </cfRule>
  </conditionalFormatting>
  <conditionalFormatting sqref="H2">
    <cfRule type="cellIs" priority="3" operator="lessThan" dxfId="0">
      <formula>0.9</formula>
    </cfRule>
    <cfRule type="cellIs" priority="4" operator="greaterThanOrEqual" dxfId="1">
      <formula>1</formula>
    </cfRule>
  </conditionalFormatting>
  <conditionalFormatting sqref="R2">
    <cfRule type="cellIs" priority="5" operator="lessThan" dxfId="0">
      <formula>P2</formula>
    </cfRule>
  </conditionalFormatting>
  <dataValidations count="10">
    <dataValidation sqref="B5:B504" showDropDown="0" showInputMessage="0" showErrorMessage="0" allowBlank="1" type="list">
      <formula1>'選択肢マスター'!$A$2:$A$3</formula1>
    </dataValidation>
    <dataValidation sqref="E5:E504" showDropDown="0" showInputMessage="0" showErrorMessage="0" allowBlank="1" type="list">
      <formula1>'選択肢マスター'!$B$2:$B$23</formula1>
    </dataValidation>
    <dataValidation sqref="M5:M504" showDropDown="0" showInputMessage="0" showErrorMessage="0" allowBlank="1" type="list">
      <formula1>'選択肢マスター'!$C$2:$C$16</formula1>
    </dataValidation>
    <dataValidation sqref="N5:N504" showDropDown="0" showInputMessage="0" showErrorMessage="0" allowBlank="1" type="list">
      <formula1>'選択肢マスター'!$D$2:$D$7</formula1>
    </dataValidation>
    <dataValidation sqref="P5:P504" showDropDown="0" showInputMessage="0" showErrorMessage="0" allowBlank="1" type="list">
      <formula1>'選択肢マスター'!$E$2:$E$5</formula1>
    </dataValidation>
    <dataValidation sqref="Q5:Q504" showDropDown="0" showInputMessage="0" showErrorMessage="0" allowBlank="1" type="list">
      <formula1>'選択肢マスター'!$F$2:$F$5</formula1>
    </dataValidation>
    <dataValidation sqref="S5:S504" showDropDown="0" showInputMessage="0" showErrorMessage="0" allowBlank="1" type="list">
      <formula1>'選択肢マスター'!$G$2:$G$8</formula1>
    </dataValidation>
    <dataValidation sqref="T5:T504" showDropDown="0" showInputMessage="0" showErrorMessage="0" allowBlank="1" type="list">
      <formula1>'選択肢マスター'!$J$2:$J$3</formula1>
    </dataValidation>
    <dataValidation sqref="U5:U504" showDropDown="0" showInputMessage="0" showErrorMessage="0" allowBlank="1" type="list">
      <formula1>'選択肢マスター'!$H$2:$H$5</formula1>
    </dataValidation>
    <dataValidation sqref="V5:V504" showDropDown="0" showInputMessage="0" showErrorMessage="0" allowBlank="1" type="list">
      <formula1>'選択肢マスター'!$I$2:$I$5</formula1>
    </dataValidation>
  </dataValidations>
  <pageMargins left="0.75" right="0.75" top="1" bottom="1" header="0.5" footer="0.5"/>
</worksheet>
</file>

<file path=xl/worksheets/sheet12.xml><?xml version="1.0" encoding="utf-8"?>
<worksheet xmlns="http://schemas.openxmlformats.org/spreadsheetml/2006/main">
  <sheetPr>
    <tabColor rgb="002E75B6"/>
    <outlinePr summaryBelow="1" summaryRight="1"/>
    <pageSetUpPr/>
  </sheetPr>
  <dimension ref="A1:X504"/>
  <sheetViews>
    <sheetView workbookViewId="0">
      <pane ySplit="4" topLeftCell="A5" activePane="bottomLeft" state="frozen"/>
      <selection pane="bottomLeft" activeCell="A1" sqref="A1"/>
    </sheetView>
  </sheetViews>
  <sheetFormatPr baseColWidth="8" defaultRowHeight="15"/>
  <cols>
    <col width="9" customWidth="1" min="1" max="1"/>
    <col width="11" customWidth="1" min="2" max="2"/>
    <col width="12" customWidth="1" min="3" max="3"/>
    <col width="12" customWidth="1" min="4" max="4"/>
    <col width="17" customWidth="1" min="5" max="5"/>
    <col width="20" customWidth="1" min="6" max="6"/>
    <col width="14" customWidth="1" min="7" max="7"/>
    <col width="16" customWidth="1" min="8" max="8"/>
    <col width="14" customWidth="1" min="9" max="9"/>
    <col width="11" customWidth="1" min="10" max="10"/>
    <col width="30" customWidth="1" min="11" max="11"/>
    <col width="12" customWidth="1" min="12" max="12"/>
    <col width="20" customWidth="1" min="13" max="13"/>
    <col width="12" customWidth="1" min="14" max="14"/>
    <col width="14" customWidth="1" min="15" max="15"/>
    <col width="12" customWidth="1" min="16" max="16"/>
    <col width="12" customWidth="1" min="17" max="17"/>
    <col width="34" customWidth="1" min="18" max="18"/>
    <col width="14" customWidth="1" min="19" max="19"/>
    <col width="11" customWidth="1" min="20" max="20"/>
    <col width="11" customWidth="1" min="21" max="21"/>
    <col width="12" customWidth="1" min="22" max="22"/>
    <col width="24" customWidth="1" min="23" max="23"/>
    <col width="10" customWidth="1" min="24" max="24"/>
  </cols>
  <sheetData>
    <row r="1" ht="18" customHeight="1">
      <c r="A1" s="8" t="inlineStr">
        <is>
          <t>◆ 10月の売上・顧客。入力は 5 行目から。2行目＝今月の目標、4行目＝自動集計（数式・触らない）</t>
        </is>
      </c>
    </row>
    <row r="2" ht="20" customHeight="1">
      <c r="A2" s="24" t="inlineStr">
        <is>
          <t>今月目標(売上)</t>
        </is>
      </c>
      <c r="B2" s="25" t="n">
        <v>2320000</v>
      </c>
      <c r="C2" s="24" t="inlineStr">
        <is>
          <t>売上 現在</t>
        </is>
      </c>
      <c r="D2" s="25">
        <f>$L$4</f>
        <v/>
      </c>
      <c r="E2" s="24" t="inlineStr">
        <is>
          <t>過不足</t>
        </is>
      </c>
      <c r="F2" s="25">
        <f>D2-B2</f>
        <v/>
      </c>
      <c r="G2" s="24" t="inlineStr">
        <is>
          <t>達成率</t>
        </is>
      </c>
      <c r="H2" s="26">
        <f>IFERROR(D2/B2,0)</f>
        <v/>
      </c>
      <c r="I2" s="24" t="inlineStr">
        <is>
          <t>必要件数</t>
        </is>
      </c>
      <c r="J2" s="27" t="n">
        <v>60</v>
      </c>
      <c r="K2" s="24" t="inlineStr">
        <is>
          <t>件数 現在</t>
        </is>
      </c>
      <c r="L2" s="27">
        <f>$E$4</f>
        <v/>
      </c>
      <c r="M2" s="24" t="inlineStr">
        <is>
          <t>残り件数</t>
        </is>
      </c>
      <c r="N2" s="27">
        <f>J2-L2</f>
        <v/>
      </c>
      <c r="O2" s="24" t="inlineStr">
        <is>
          <t>④ネット新規 目標</t>
        </is>
      </c>
      <c r="P2" s="27" t="n">
        <v>16</v>
      </c>
      <c r="Q2" s="24" t="inlineStr">
        <is>
          <t>④ 現在</t>
        </is>
      </c>
      <c r="R2" s="27">
        <f>$R$4</f>
        <v/>
      </c>
    </row>
    <row r="3" ht="30" customHeight="1">
      <c r="A3" s="3" t="inlineStr">
        <is>
          <t>通し番号</t>
        </is>
      </c>
      <c r="B3" s="3" t="inlineStr">
        <is>
          <t>売上種類</t>
        </is>
      </c>
      <c r="C3" s="3" t="inlineStr">
        <is>
          <t>受注日</t>
        </is>
      </c>
      <c r="D3" s="3" t="inlineStr">
        <is>
          <t>施工日付</t>
        </is>
      </c>
      <c r="E3" s="3" t="inlineStr">
        <is>
          <t>流入経路</t>
        </is>
      </c>
      <c r="F3" s="3" t="inlineStr">
        <is>
          <t>流入元の識別子(?src=)</t>
        </is>
      </c>
      <c r="G3" s="3" t="inlineStr">
        <is>
          <t>紹介者（顧客ID）</t>
        </is>
      </c>
      <c r="H3" s="3" t="inlineStr">
        <is>
          <t>氏名</t>
        </is>
      </c>
      <c r="I3" s="3" t="inlineStr">
        <is>
          <t>TEL(-無し)</t>
        </is>
      </c>
      <c r="J3" s="3" t="inlineStr">
        <is>
          <t>郵便番号(-無し)</t>
        </is>
      </c>
      <c r="K3" s="3" t="inlineStr">
        <is>
          <t>住所</t>
        </is>
      </c>
      <c r="L3" s="3" t="inlineStr">
        <is>
          <t>売上（税込）</t>
        </is>
      </c>
      <c r="M3" s="3" t="inlineStr">
        <is>
          <t>実施メニュー</t>
        </is>
      </c>
      <c r="N3" s="3" t="inlineStr">
        <is>
          <t>施工担当</t>
        </is>
      </c>
      <c r="O3" s="3" t="inlineStr">
        <is>
          <t>フォローコール日</t>
        </is>
      </c>
      <c r="P3" s="3" t="inlineStr">
        <is>
          <t>早期予約提案</t>
        </is>
      </c>
      <c r="Q3" s="3" t="inlineStr">
        <is>
          <t>フォローコール</t>
        </is>
      </c>
      <c r="R3" s="3" t="inlineStr">
        <is>
          <t>備考(お客様の声)</t>
        </is>
      </c>
      <c r="S3" s="3" t="inlineStr">
        <is>
          <t>入金経路</t>
        </is>
      </c>
      <c r="T3" s="3" t="inlineStr">
        <is>
          <t>入金額照合</t>
        </is>
      </c>
      <c r="U3" s="3" t="inlineStr">
        <is>
          <t>ＯＨ打診</t>
        </is>
      </c>
      <c r="V3" s="3" t="inlineStr">
        <is>
          <t>本舗ロイ区分</t>
        </is>
      </c>
      <c r="W3" s="3" t="inlineStr">
        <is>
          <t>お客様周辺/環境情報</t>
        </is>
      </c>
      <c r="X3" s="3" t="inlineStr">
        <is>
          <t>カウント用</t>
        </is>
      </c>
    </row>
    <row r="4" ht="20" customHeight="1">
      <c r="A4" s="28">
        <f>"▼自動集計"</f>
        <v/>
      </c>
      <c r="B4" s="29">
        <f>COUNTIFS($B$5:$B$504,"One Hitter")</f>
        <v/>
      </c>
      <c r="C4" s="30">
        <f>IFERROR(SUMPRODUCT(($C$5:$C$504&lt;&gt;"")*($D$5:$D$504&lt;&gt;"")*($D$5:$D$504-$C$5:$C$504))/SUMPRODUCT(($C$5:$C$504&lt;&gt;"")*($D$5:$D$504&lt;&gt;"")),0)</f>
        <v/>
      </c>
      <c r="D4" s="31">
        <f>COUNTIFS($B$5:$B$504,"本舗")</f>
        <v/>
      </c>
      <c r="E4" s="32">
        <f>COUNTA($D$5:$D$504)</f>
        <v/>
      </c>
      <c r="F4" s="33">
        <f>IFERROR(SUM($L$5:$L$504)/COUNTA($D$5:$D$504),0)</f>
        <v/>
      </c>
      <c r="G4" s="34">
        <f>COUNTA($G$5:$G$504)</f>
        <v/>
      </c>
      <c r="H4" s="35">
        <f>IFERROR(SUMIFS($L$5:$L$504,$B$5:$B$504,"One Hitter")/COUNTIFS($B$5:$B$504,"One Hitter"),0)</f>
        <v/>
      </c>
      <c r="I4" s="36">
        <f>IFERROR(SUMIFS($L$5:$L$504,$B$5:$B$504,"本舗")/COUNTIFS($B$5:$B$504,"本舗"),0)</f>
        <v/>
      </c>
      <c r="J4" s="37">
        <f>SUMIFS($L$5:$L$504,$B$5:$B$504,"One Hitter")</f>
        <v/>
      </c>
      <c r="K4" s="38">
        <f>SUMIFS($L$5:$L$504,$B$5:$B$504,"本舗")</f>
        <v/>
      </c>
      <c r="L4" s="39">
        <f>SUM($L$5:$L$504)</f>
        <v/>
      </c>
      <c r="M4" s="40" t="n"/>
      <c r="N4" s="40" t="n"/>
      <c r="O4" s="40" t="n"/>
      <c r="P4" s="40" t="n"/>
      <c r="Q4" s="40" t="n"/>
      <c r="R4" s="41">
        <f>COUNTIFS($E$5:$E$504,"HP")+COUNTIFS($E$5:$E$504,"LP")+COUNTIFS($E$5:$E$504,"SNS")+COUNTIFS($E$5:$E$504,"GBP(地図検索)")+COUNTIFS($E$5:$E$504,"公式LINE")+COUNTIFS($E$5:$E$504,"アフィリエイト")+COUNTIFS($E$5:$E$504,"LINE/SMS再販")+COUNTIFS($E$5:$E$504,"SMS")+COUNTIFS($E$5:$E$504,"広告")</f>
        <v/>
      </c>
      <c r="S4" s="42">
        <f>SUMIFS($L$5:$L$504,$E$5:$E$504,"HP")+SUMIFS($L$5:$L$504,$E$5:$E$504,"LP")+SUMIFS($L$5:$L$504,$E$5:$E$504,"SNS")+SUMIFS($L$5:$L$504,$E$5:$E$504,"GBP(地図検索)")+SUMIFS($L$5:$L$504,$E$5:$E$504,"公式LINE")+SUMIFS($L$5:$L$504,$E$5:$E$504,"アフィリエイト")+SUMIFS($L$5:$L$504,$E$5:$E$504,"LINE/SMS再販")+SUMIFS($L$5:$L$504,$E$5:$E$504,"SMS")+SUMIFS($L$5:$L$504,$E$5:$E$504,"広告")</f>
        <v/>
      </c>
      <c r="T4" s="40" t="n"/>
      <c r="U4" s="40" t="n"/>
      <c r="V4" s="40" t="n"/>
      <c r="W4" s="40" t="n"/>
      <c r="X4" s="40" t="n"/>
    </row>
    <row r="5">
      <c r="A5" s="43" t="n"/>
      <c r="C5" s="44" t="n"/>
      <c r="D5" s="44" t="n"/>
      <c r="L5" s="45" t="n"/>
      <c r="O5" s="44" t="n"/>
    </row>
    <row r="6">
      <c r="A6" s="43" t="n"/>
      <c r="C6" s="44" t="n"/>
      <c r="D6" s="44" t="n"/>
      <c r="L6" s="45" t="n"/>
      <c r="O6" s="44" t="n"/>
    </row>
    <row r="7">
      <c r="A7" s="43" t="n"/>
      <c r="C7" s="44" t="n"/>
      <c r="D7" s="44" t="n"/>
      <c r="L7" s="45" t="n"/>
      <c r="O7" s="44" t="n"/>
    </row>
    <row r="8">
      <c r="A8" s="43" t="n"/>
      <c r="C8" s="44" t="n"/>
      <c r="D8" s="44" t="n"/>
      <c r="L8" s="45" t="n"/>
      <c r="O8" s="44" t="n"/>
    </row>
    <row r="9">
      <c r="A9" s="43" t="n"/>
      <c r="C9" s="44" t="n"/>
      <c r="D9" s="44" t="n"/>
      <c r="L9" s="45" t="n"/>
      <c r="O9" s="44" t="n"/>
    </row>
    <row r="10">
      <c r="A10" s="43" t="n"/>
      <c r="C10" s="44" t="n"/>
      <c r="D10" s="44" t="n"/>
      <c r="L10" s="45" t="n"/>
      <c r="O10" s="44" t="n"/>
    </row>
    <row r="11">
      <c r="A11" s="43" t="n"/>
      <c r="C11" s="44" t="n"/>
      <c r="D11" s="44" t="n"/>
      <c r="L11" s="45" t="n"/>
      <c r="O11" s="44" t="n"/>
    </row>
    <row r="12">
      <c r="A12" s="43" t="n"/>
      <c r="C12" s="44" t="n"/>
      <c r="D12" s="44" t="n"/>
      <c r="L12" s="45" t="n"/>
      <c r="O12" s="44" t="n"/>
    </row>
    <row r="13">
      <c r="A13" s="43" t="n"/>
      <c r="C13" s="44" t="n"/>
      <c r="D13" s="44" t="n"/>
      <c r="L13" s="45" t="n"/>
      <c r="O13" s="44" t="n"/>
    </row>
    <row r="14">
      <c r="A14" s="43" t="n"/>
      <c r="C14" s="44" t="n"/>
      <c r="D14" s="44" t="n"/>
      <c r="L14" s="45" t="n"/>
      <c r="O14" s="44" t="n"/>
    </row>
    <row r="15">
      <c r="A15" s="43" t="n"/>
      <c r="C15" s="44" t="n"/>
      <c r="D15" s="44" t="n"/>
      <c r="L15" s="45" t="n"/>
      <c r="O15" s="44" t="n"/>
    </row>
    <row r="16">
      <c r="A16" s="43" t="n"/>
      <c r="C16" s="44" t="n"/>
      <c r="D16" s="44" t="n"/>
      <c r="L16" s="45" t="n"/>
      <c r="O16" s="44" t="n"/>
    </row>
    <row r="17">
      <c r="A17" s="43" t="n"/>
      <c r="C17" s="44" t="n"/>
      <c r="D17" s="44" t="n"/>
      <c r="L17" s="45" t="n"/>
      <c r="O17" s="44" t="n"/>
    </row>
    <row r="18">
      <c r="A18" s="43" t="n"/>
      <c r="C18" s="44" t="n"/>
      <c r="D18" s="44" t="n"/>
      <c r="L18" s="45" t="n"/>
      <c r="O18" s="44" t="n"/>
    </row>
    <row r="19">
      <c r="A19" s="43" t="n"/>
      <c r="C19" s="44" t="n"/>
      <c r="D19" s="44" t="n"/>
      <c r="L19" s="45" t="n"/>
      <c r="O19" s="44" t="n"/>
    </row>
    <row r="20">
      <c r="A20" s="43" t="n"/>
      <c r="C20" s="44" t="n"/>
      <c r="D20" s="44" t="n"/>
      <c r="L20" s="45" t="n"/>
      <c r="O20" s="44" t="n"/>
    </row>
    <row r="21">
      <c r="A21" s="43" t="n"/>
      <c r="C21" s="44" t="n"/>
      <c r="D21" s="44" t="n"/>
      <c r="L21" s="45" t="n"/>
      <c r="O21" s="44" t="n"/>
    </row>
    <row r="22">
      <c r="A22" s="43" t="n"/>
      <c r="C22" s="44" t="n"/>
      <c r="D22" s="44" t="n"/>
      <c r="L22" s="45" t="n"/>
      <c r="O22" s="44" t="n"/>
    </row>
    <row r="23">
      <c r="A23" s="43" t="n"/>
      <c r="C23" s="44" t="n"/>
      <c r="D23" s="44" t="n"/>
      <c r="L23" s="45" t="n"/>
      <c r="O23" s="44" t="n"/>
    </row>
    <row r="24">
      <c r="A24" s="43" t="n"/>
      <c r="C24" s="44" t="n"/>
      <c r="D24" s="44" t="n"/>
      <c r="L24" s="45" t="n"/>
      <c r="O24" s="44" t="n"/>
    </row>
    <row r="25">
      <c r="A25" s="43" t="n"/>
      <c r="C25" s="44" t="n"/>
      <c r="D25" s="44" t="n"/>
      <c r="L25" s="45" t="n"/>
      <c r="O25" s="44" t="n"/>
    </row>
    <row r="26">
      <c r="A26" s="43" t="n"/>
      <c r="C26" s="44" t="n"/>
      <c r="D26" s="44" t="n"/>
      <c r="L26" s="45" t="n"/>
      <c r="O26" s="44" t="n"/>
    </row>
    <row r="27">
      <c r="A27" s="43" t="n"/>
      <c r="C27" s="44" t="n"/>
      <c r="D27" s="44" t="n"/>
      <c r="L27" s="45" t="n"/>
      <c r="O27" s="44" t="n"/>
    </row>
    <row r="28">
      <c r="A28" s="43" t="n"/>
      <c r="C28" s="44" t="n"/>
      <c r="D28" s="44" t="n"/>
      <c r="L28" s="45" t="n"/>
      <c r="O28" s="44" t="n"/>
    </row>
    <row r="29">
      <c r="A29" s="43" t="n"/>
      <c r="C29" s="44" t="n"/>
      <c r="D29" s="44" t="n"/>
      <c r="L29" s="45" t="n"/>
      <c r="O29" s="44" t="n"/>
    </row>
    <row r="30">
      <c r="A30" s="43" t="n"/>
      <c r="C30" s="44" t="n"/>
      <c r="D30" s="44" t="n"/>
      <c r="L30" s="45" t="n"/>
      <c r="O30" s="44" t="n"/>
    </row>
    <row r="31">
      <c r="A31" s="43" t="n"/>
      <c r="C31" s="44" t="n"/>
      <c r="D31" s="44" t="n"/>
      <c r="L31" s="45" t="n"/>
      <c r="O31" s="44" t="n"/>
    </row>
    <row r="32">
      <c r="A32" s="43" t="n"/>
      <c r="C32" s="44" t="n"/>
      <c r="D32" s="44" t="n"/>
      <c r="L32" s="45" t="n"/>
      <c r="O32" s="44" t="n"/>
    </row>
    <row r="33">
      <c r="A33" s="43" t="n"/>
      <c r="C33" s="44" t="n"/>
      <c r="D33" s="44" t="n"/>
      <c r="L33" s="45" t="n"/>
      <c r="O33" s="44" t="n"/>
    </row>
    <row r="34">
      <c r="A34" s="43" t="n"/>
      <c r="C34" s="44" t="n"/>
      <c r="D34" s="44" t="n"/>
      <c r="L34" s="45" t="n"/>
      <c r="O34" s="44" t="n"/>
    </row>
    <row r="35">
      <c r="A35" s="43" t="n"/>
      <c r="C35" s="44" t="n"/>
      <c r="D35" s="44" t="n"/>
      <c r="L35" s="45" t="n"/>
      <c r="O35" s="44" t="n"/>
    </row>
    <row r="36">
      <c r="A36" s="43" t="n"/>
      <c r="C36" s="44" t="n"/>
      <c r="D36" s="44" t="n"/>
      <c r="L36" s="45" t="n"/>
      <c r="O36" s="44" t="n"/>
    </row>
    <row r="37">
      <c r="A37" s="43" t="n"/>
      <c r="C37" s="44" t="n"/>
      <c r="D37" s="44" t="n"/>
      <c r="L37" s="45" t="n"/>
      <c r="O37" s="44" t="n"/>
    </row>
    <row r="38">
      <c r="A38" s="43" t="n"/>
      <c r="C38" s="44" t="n"/>
      <c r="D38" s="44" t="n"/>
      <c r="L38" s="45" t="n"/>
      <c r="O38" s="44" t="n"/>
    </row>
    <row r="39">
      <c r="A39" s="43" t="n"/>
      <c r="C39" s="44" t="n"/>
      <c r="D39" s="44" t="n"/>
      <c r="L39" s="45" t="n"/>
      <c r="O39" s="44" t="n"/>
    </row>
    <row r="40">
      <c r="A40" s="43" t="n"/>
      <c r="C40" s="44" t="n"/>
      <c r="D40" s="44" t="n"/>
      <c r="L40" s="45" t="n"/>
      <c r="O40" s="44" t="n"/>
    </row>
    <row r="41">
      <c r="A41" s="43" t="n"/>
      <c r="C41" s="44" t="n"/>
      <c r="D41" s="44" t="n"/>
      <c r="L41" s="45" t="n"/>
      <c r="O41" s="44" t="n"/>
    </row>
    <row r="42">
      <c r="A42" s="43" t="n"/>
      <c r="C42" s="44" t="n"/>
      <c r="D42" s="44" t="n"/>
      <c r="L42" s="45" t="n"/>
      <c r="O42" s="44" t="n"/>
    </row>
    <row r="43">
      <c r="A43" s="43" t="n"/>
      <c r="C43" s="44" t="n"/>
      <c r="D43" s="44" t="n"/>
      <c r="L43" s="45" t="n"/>
      <c r="O43" s="44" t="n"/>
    </row>
    <row r="44">
      <c r="A44" s="43" t="n"/>
      <c r="C44" s="44" t="n"/>
      <c r="D44" s="44" t="n"/>
      <c r="L44" s="45" t="n"/>
      <c r="O44" s="44" t="n"/>
    </row>
    <row r="45">
      <c r="A45" s="43" t="n"/>
      <c r="C45" s="44" t="n"/>
      <c r="D45" s="44" t="n"/>
      <c r="L45" s="45" t="n"/>
      <c r="O45" s="44" t="n"/>
    </row>
    <row r="46">
      <c r="A46" s="43" t="n"/>
      <c r="C46" s="44" t="n"/>
      <c r="D46" s="44" t="n"/>
      <c r="L46" s="45" t="n"/>
      <c r="O46" s="44" t="n"/>
    </row>
    <row r="47">
      <c r="A47" s="43" t="n"/>
      <c r="C47" s="44" t="n"/>
      <c r="D47" s="44" t="n"/>
      <c r="L47" s="45" t="n"/>
      <c r="O47" s="44" t="n"/>
    </row>
    <row r="48">
      <c r="A48" s="43" t="n"/>
      <c r="C48" s="44" t="n"/>
      <c r="D48" s="44" t="n"/>
      <c r="L48" s="45" t="n"/>
      <c r="O48" s="44" t="n"/>
    </row>
    <row r="49">
      <c r="A49" s="43" t="n"/>
      <c r="C49" s="44" t="n"/>
      <c r="D49" s="44" t="n"/>
      <c r="L49" s="45" t="n"/>
      <c r="O49" s="44" t="n"/>
    </row>
    <row r="50">
      <c r="A50" s="43" t="n"/>
      <c r="C50" s="44" t="n"/>
      <c r="D50" s="44" t="n"/>
      <c r="L50" s="45" t="n"/>
      <c r="O50" s="44" t="n"/>
    </row>
    <row r="51">
      <c r="A51" s="43" t="n"/>
      <c r="C51" s="44" t="n"/>
      <c r="D51" s="44" t="n"/>
      <c r="L51" s="45" t="n"/>
      <c r="O51" s="44" t="n"/>
    </row>
    <row r="52">
      <c r="A52" s="43" t="n"/>
      <c r="C52" s="44" t="n"/>
      <c r="D52" s="44" t="n"/>
      <c r="L52" s="45" t="n"/>
      <c r="O52" s="44" t="n"/>
    </row>
    <row r="53">
      <c r="A53" s="43" t="n"/>
      <c r="C53" s="44" t="n"/>
      <c r="D53" s="44" t="n"/>
      <c r="L53" s="45" t="n"/>
      <c r="O53" s="44" t="n"/>
    </row>
    <row r="54">
      <c r="A54" s="43" t="n"/>
      <c r="C54" s="44" t="n"/>
      <c r="D54" s="44" t="n"/>
      <c r="L54" s="45" t="n"/>
      <c r="O54" s="44" t="n"/>
    </row>
    <row r="55">
      <c r="A55" s="43" t="n"/>
      <c r="C55" s="44" t="n"/>
      <c r="D55" s="44" t="n"/>
      <c r="L55" s="45" t="n"/>
      <c r="O55" s="44" t="n"/>
    </row>
    <row r="56">
      <c r="A56" s="43" t="n"/>
      <c r="C56" s="44" t="n"/>
      <c r="D56" s="44" t="n"/>
      <c r="L56" s="45" t="n"/>
      <c r="O56" s="44" t="n"/>
    </row>
    <row r="57">
      <c r="A57" s="43" t="n"/>
      <c r="C57" s="44" t="n"/>
      <c r="D57" s="44" t="n"/>
      <c r="L57" s="45" t="n"/>
      <c r="O57" s="44" t="n"/>
    </row>
    <row r="58">
      <c r="A58" s="43" t="n"/>
      <c r="C58" s="44" t="n"/>
      <c r="D58" s="44" t="n"/>
      <c r="L58" s="45" t="n"/>
      <c r="O58" s="44" t="n"/>
    </row>
    <row r="59">
      <c r="A59" s="43" t="n"/>
      <c r="C59" s="44" t="n"/>
      <c r="D59" s="44" t="n"/>
      <c r="L59" s="45" t="n"/>
      <c r="O59" s="44" t="n"/>
    </row>
    <row r="60">
      <c r="A60" s="43" t="n"/>
      <c r="C60" s="44" t="n"/>
      <c r="D60" s="44" t="n"/>
      <c r="L60" s="45" t="n"/>
      <c r="O60" s="44" t="n"/>
    </row>
    <row r="61">
      <c r="A61" s="43" t="n"/>
      <c r="C61" s="44" t="n"/>
      <c r="D61" s="44" t="n"/>
      <c r="L61" s="45" t="n"/>
      <c r="O61" s="44" t="n"/>
    </row>
    <row r="62">
      <c r="A62" s="43" t="n"/>
      <c r="C62" s="44" t="n"/>
      <c r="D62" s="44" t="n"/>
      <c r="L62" s="45" t="n"/>
      <c r="O62" s="44" t="n"/>
    </row>
    <row r="63">
      <c r="A63" s="43" t="n"/>
      <c r="C63" s="44" t="n"/>
      <c r="D63" s="44" t="n"/>
      <c r="L63" s="45" t="n"/>
      <c r="O63" s="44" t="n"/>
    </row>
    <row r="64">
      <c r="A64" s="43" t="n"/>
      <c r="C64" s="44" t="n"/>
      <c r="D64" s="44" t="n"/>
      <c r="L64" s="45" t="n"/>
      <c r="O64" s="44" t="n"/>
    </row>
    <row r="65">
      <c r="A65" s="43" t="n"/>
      <c r="C65" s="44" t="n"/>
      <c r="D65" s="44" t="n"/>
      <c r="L65" s="45" t="n"/>
      <c r="O65" s="44" t="n"/>
    </row>
    <row r="66">
      <c r="A66" s="43" t="n"/>
      <c r="C66" s="44" t="n"/>
      <c r="D66" s="44" t="n"/>
      <c r="L66" s="45" t="n"/>
      <c r="O66" s="44" t="n"/>
    </row>
    <row r="67">
      <c r="A67" s="43" t="n"/>
      <c r="C67" s="44" t="n"/>
      <c r="D67" s="44" t="n"/>
      <c r="L67" s="45" t="n"/>
      <c r="O67" s="44" t="n"/>
    </row>
    <row r="68">
      <c r="A68" s="43" t="n"/>
      <c r="C68" s="44" t="n"/>
      <c r="D68" s="44" t="n"/>
      <c r="L68" s="45" t="n"/>
      <c r="O68" s="44" t="n"/>
    </row>
    <row r="69">
      <c r="A69" s="43" t="n"/>
      <c r="C69" s="44" t="n"/>
      <c r="D69" s="44" t="n"/>
      <c r="L69" s="45" t="n"/>
      <c r="O69" s="44" t="n"/>
    </row>
    <row r="70">
      <c r="A70" s="43" t="n"/>
      <c r="C70" s="44" t="n"/>
      <c r="D70" s="44" t="n"/>
      <c r="L70" s="45" t="n"/>
      <c r="O70" s="44" t="n"/>
    </row>
    <row r="71">
      <c r="A71" s="43" t="n"/>
      <c r="C71" s="44" t="n"/>
      <c r="D71" s="44" t="n"/>
      <c r="L71" s="45" t="n"/>
      <c r="O71" s="44" t="n"/>
    </row>
    <row r="72">
      <c r="A72" s="43" t="n"/>
      <c r="C72" s="44" t="n"/>
      <c r="D72" s="44" t="n"/>
      <c r="L72" s="45" t="n"/>
      <c r="O72" s="44" t="n"/>
    </row>
    <row r="73">
      <c r="A73" s="43" t="n"/>
      <c r="C73" s="44" t="n"/>
      <c r="D73" s="44" t="n"/>
      <c r="L73" s="45" t="n"/>
      <c r="O73" s="44" t="n"/>
    </row>
    <row r="74">
      <c r="A74" s="43" t="n"/>
      <c r="C74" s="44" t="n"/>
      <c r="D74" s="44" t="n"/>
      <c r="L74" s="45" t="n"/>
      <c r="O74" s="44" t="n"/>
    </row>
    <row r="75">
      <c r="A75" s="43" t="n"/>
      <c r="C75" s="44" t="n"/>
      <c r="D75" s="44" t="n"/>
      <c r="L75" s="45" t="n"/>
      <c r="O75" s="44" t="n"/>
    </row>
    <row r="76">
      <c r="A76" s="43" t="n"/>
      <c r="C76" s="44" t="n"/>
      <c r="D76" s="44" t="n"/>
      <c r="L76" s="45" t="n"/>
      <c r="O76" s="44" t="n"/>
    </row>
    <row r="77">
      <c r="A77" s="43" t="n"/>
      <c r="C77" s="44" t="n"/>
      <c r="D77" s="44" t="n"/>
      <c r="L77" s="45" t="n"/>
      <c r="O77" s="44" t="n"/>
    </row>
    <row r="78">
      <c r="A78" s="43" t="n"/>
      <c r="C78" s="44" t="n"/>
      <c r="D78" s="44" t="n"/>
      <c r="L78" s="45" t="n"/>
      <c r="O78" s="44" t="n"/>
    </row>
    <row r="79">
      <c r="A79" s="43" t="n"/>
      <c r="C79" s="44" t="n"/>
      <c r="D79" s="44" t="n"/>
      <c r="L79" s="45" t="n"/>
      <c r="O79" s="44" t="n"/>
    </row>
    <row r="80">
      <c r="A80" s="43" t="n"/>
      <c r="C80" s="44" t="n"/>
      <c r="D80" s="44" t="n"/>
      <c r="L80" s="45" t="n"/>
      <c r="O80" s="44" t="n"/>
    </row>
    <row r="81">
      <c r="A81" s="43" t="n"/>
      <c r="C81" s="44" t="n"/>
      <c r="D81" s="44" t="n"/>
      <c r="L81" s="45" t="n"/>
      <c r="O81" s="44" t="n"/>
    </row>
    <row r="82">
      <c r="A82" s="43" t="n"/>
      <c r="C82" s="44" t="n"/>
      <c r="D82" s="44" t="n"/>
      <c r="L82" s="45" t="n"/>
      <c r="O82" s="44" t="n"/>
    </row>
    <row r="83">
      <c r="A83" s="43" t="n"/>
      <c r="C83" s="44" t="n"/>
      <c r="D83" s="44" t="n"/>
      <c r="L83" s="45" t="n"/>
      <c r="O83" s="44" t="n"/>
    </row>
    <row r="84">
      <c r="A84" s="43" t="n"/>
      <c r="C84" s="44" t="n"/>
      <c r="D84" s="44" t="n"/>
      <c r="L84" s="45" t="n"/>
      <c r="O84" s="44" t="n"/>
    </row>
    <row r="85">
      <c r="A85" s="43" t="n"/>
      <c r="C85" s="44" t="n"/>
      <c r="D85" s="44" t="n"/>
      <c r="L85" s="45" t="n"/>
      <c r="O85" s="44" t="n"/>
    </row>
    <row r="86">
      <c r="A86" s="43" t="n"/>
      <c r="C86" s="44" t="n"/>
      <c r="D86" s="44" t="n"/>
      <c r="L86" s="45" t="n"/>
      <c r="O86" s="44" t="n"/>
    </row>
    <row r="87">
      <c r="A87" s="43" t="n"/>
      <c r="C87" s="44" t="n"/>
      <c r="D87" s="44" t="n"/>
      <c r="L87" s="45" t="n"/>
      <c r="O87" s="44" t="n"/>
    </row>
    <row r="88">
      <c r="A88" s="43" t="n"/>
      <c r="C88" s="44" t="n"/>
      <c r="D88" s="44" t="n"/>
      <c r="L88" s="45" t="n"/>
      <c r="O88" s="44" t="n"/>
    </row>
    <row r="89">
      <c r="A89" s="43" t="n"/>
      <c r="C89" s="44" t="n"/>
      <c r="D89" s="44" t="n"/>
      <c r="L89" s="45" t="n"/>
      <c r="O89" s="44" t="n"/>
    </row>
    <row r="90">
      <c r="A90" s="43" t="n"/>
      <c r="C90" s="44" t="n"/>
      <c r="D90" s="44" t="n"/>
      <c r="L90" s="45" t="n"/>
      <c r="O90" s="44" t="n"/>
    </row>
    <row r="91">
      <c r="A91" s="43" t="n"/>
      <c r="C91" s="44" t="n"/>
      <c r="D91" s="44" t="n"/>
      <c r="L91" s="45" t="n"/>
      <c r="O91" s="44" t="n"/>
    </row>
    <row r="92">
      <c r="A92" s="43" t="n"/>
      <c r="C92" s="44" t="n"/>
      <c r="D92" s="44" t="n"/>
      <c r="L92" s="45" t="n"/>
      <c r="O92" s="44" t="n"/>
    </row>
    <row r="93">
      <c r="A93" s="43" t="n"/>
      <c r="C93" s="44" t="n"/>
      <c r="D93" s="44" t="n"/>
      <c r="L93" s="45" t="n"/>
      <c r="O93" s="44" t="n"/>
    </row>
    <row r="94">
      <c r="A94" s="43" t="n"/>
      <c r="C94" s="44" t="n"/>
      <c r="D94" s="44" t="n"/>
      <c r="L94" s="45" t="n"/>
      <c r="O94" s="44" t="n"/>
    </row>
    <row r="95">
      <c r="A95" s="43" t="n"/>
      <c r="C95" s="44" t="n"/>
      <c r="D95" s="44" t="n"/>
      <c r="L95" s="45" t="n"/>
      <c r="O95" s="44" t="n"/>
    </row>
    <row r="96">
      <c r="A96" s="43" t="n"/>
      <c r="C96" s="44" t="n"/>
      <c r="D96" s="44" t="n"/>
      <c r="L96" s="45" t="n"/>
      <c r="O96" s="44" t="n"/>
    </row>
    <row r="97">
      <c r="A97" s="43" t="n"/>
      <c r="C97" s="44" t="n"/>
      <c r="D97" s="44" t="n"/>
      <c r="L97" s="45" t="n"/>
      <c r="O97" s="44" t="n"/>
    </row>
    <row r="98">
      <c r="A98" s="43" t="n"/>
      <c r="C98" s="44" t="n"/>
      <c r="D98" s="44" t="n"/>
      <c r="L98" s="45" t="n"/>
      <c r="O98" s="44" t="n"/>
    </row>
    <row r="99">
      <c r="A99" s="43" t="n"/>
      <c r="C99" s="44" t="n"/>
      <c r="D99" s="44" t="n"/>
      <c r="L99" s="45" t="n"/>
      <c r="O99" s="44" t="n"/>
    </row>
    <row r="100">
      <c r="A100" s="43" t="n"/>
      <c r="C100" s="44" t="n"/>
      <c r="D100" s="44" t="n"/>
      <c r="L100" s="45" t="n"/>
      <c r="O100" s="44" t="n"/>
    </row>
    <row r="101">
      <c r="A101" s="43" t="n"/>
      <c r="C101" s="44" t="n"/>
      <c r="D101" s="44" t="n"/>
      <c r="L101" s="45" t="n"/>
      <c r="O101" s="44" t="n"/>
    </row>
    <row r="102">
      <c r="A102" s="43" t="n"/>
      <c r="C102" s="44" t="n"/>
      <c r="D102" s="44" t="n"/>
      <c r="L102" s="45" t="n"/>
      <c r="O102" s="44" t="n"/>
    </row>
    <row r="103">
      <c r="A103" s="43" t="n"/>
      <c r="C103" s="44" t="n"/>
      <c r="D103" s="44" t="n"/>
      <c r="L103" s="45" t="n"/>
      <c r="O103" s="44" t="n"/>
    </row>
    <row r="104">
      <c r="A104" s="43" t="n"/>
      <c r="C104" s="44" t="n"/>
      <c r="D104" s="44" t="n"/>
      <c r="L104" s="45" t="n"/>
      <c r="O104" s="44" t="n"/>
    </row>
    <row r="105">
      <c r="A105" s="43" t="n"/>
      <c r="C105" s="44" t="n"/>
      <c r="D105" s="44" t="n"/>
      <c r="L105" s="45" t="n"/>
      <c r="O105" s="44" t="n"/>
    </row>
    <row r="106">
      <c r="A106" s="43" t="n"/>
      <c r="C106" s="44" t="n"/>
      <c r="D106" s="44" t="n"/>
      <c r="L106" s="45" t="n"/>
      <c r="O106" s="44" t="n"/>
    </row>
    <row r="107">
      <c r="A107" s="43" t="n"/>
      <c r="C107" s="44" t="n"/>
      <c r="D107" s="44" t="n"/>
      <c r="L107" s="45" t="n"/>
      <c r="O107" s="44" t="n"/>
    </row>
    <row r="108">
      <c r="A108" s="43" t="n"/>
      <c r="C108" s="44" t="n"/>
      <c r="D108" s="44" t="n"/>
      <c r="L108" s="45" t="n"/>
      <c r="O108" s="44" t="n"/>
    </row>
    <row r="109">
      <c r="A109" s="43" t="n"/>
      <c r="C109" s="44" t="n"/>
      <c r="D109" s="44" t="n"/>
      <c r="L109" s="45" t="n"/>
      <c r="O109" s="44" t="n"/>
    </row>
    <row r="110">
      <c r="A110" s="43" t="n"/>
      <c r="C110" s="44" t="n"/>
      <c r="D110" s="44" t="n"/>
      <c r="L110" s="45" t="n"/>
      <c r="O110" s="44" t="n"/>
    </row>
    <row r="111">
      <c r="A111" s="43" t="n"/>
      <c r="C111" s="44" t="n"/>
      <c r="D111" s="44" t="n"/>
      <c r="L111" s="45" t="n"/>
      <c r="O111" s="44" t="n"/>
    </row>
    <row r="112">
      <c r="A112" s="43" t="n"/>
      <c r="C112" s="44" t="n"/>
      <c r="D112" s="44" t="n"/>
      <c r="L112" s="45" t="n"/>
      <c r="O112" s="44" t="n"/>
    </row>
    <row r="113">
      <c r="A113" s="43" t="n"/>
      <c r="C113" s="44" t="n"/>
      <c r="D113" s="44" t="n"/>
      <c r="L113" s="45" t="n"/>
      <c r="O113" s="44" t="n"/>
    </row>
    <row r="114">
      <c r="A114" s="43" t="n"/>
      <c r="C114" s="44" t="n"/>
      <c r="D114" s="44" t="n"/>
      <c r="L114" s="45" t="n"/>
      <c r="O114" s="44" t="n"/>
    </row>
    <row r="115">
      <c r="A115" s="43" t="n"/>
      <c r="C115" s="44" t="n"/>
      <c r="D115" s="44" t="n"/>
      <c r="L115" s="45" t="n"/>
      <c r="O115" s="44" t="n"/>
    </row>
    <row r="116">
      <c r="A116" s="43" t="n"/>
      <c r="C116" s="44" t="n"/>
      <c r="D116" s="44" t="n"/>
      <c r="L116" s="45" t="n"/>
      <c r="O116" s="44" t="n"/>
    </row>
    <row r="117">
      <c r="A117" s="43" t="n"/>
      <c r="C117" s="44" t="n"/>
      <c r="D117" s="44" t="n"/>
      <c r="L117" s="45" t="n"/>
      <c r="O117" s="44" t="n"/>
    </row>
    <row r="118">
      <c r="A118" s="43" t="n"/>
      <c r="C118" s="44" t="n"/>
      <c r="D118" s="44" t="n"/>
      <c r="L118" s="45" t="n"/>
      <c r="O118" s="44" t="n"/>
    </row>
    <row r="119">
      <c r="A119" s="43" t="n"/>
      <c r="C119" s="44" t="n"/>
      <c r="D119" s="44" t="n"/>
      <c r="L119" s="45" t="n"/>
      <c r="O119" s="44" t="n"/>
    </row>
    <row r="120">
      <c r="A120" s="43" t="n"/>
      <c r="C120" s="44" t="n"/>
      <c r="D120" s="44" t="n"/>
      <c r="L120" s="45" t="n"/>
      <c r="O120" s="44" t="n"/>
    </row>
    <row r="121">
      <c r="A121" s="43" t="n"/>
      <c r="C121" s="44" t="n"/>
      <c r="D121" s="44" t="n"/>
      <c r="L121" s="45" t="n"/>
      <c r="O121" s="44" t="n"/>
    </row>
    <row r="122">
      <c r="A122" s="43" t="n"/>
      <c r="C122" s="44" t="n"/>
      <c r="D122" s="44" t="n"/>
      <c r="L122" s="45" t="n"/>
      <c r="O122" s="44" t="n"/>
    </row>
    <row r="123">
      <c r="A123" s="43" t="n"/>
      <c r="C123" s="44" t="n"/>
      <c r="D123" s="44" t="n"/>
      <c r="L123" s="45" t="n"/>
      <c r="O123" s="44" t="n"/>
    </row>
    <row r="124">
      <c r="A124" s="43" t="n"/>
      <c r="C124" s="44" t="n"/>
      <c r="D124" s="44" t="n"/>
      <c r="L124" s="45" t="n"/>
      <c r="O124" s="44" t="n"/>
    </row>
    <row r="125">
      <c r="A125" s="43" t="n"/>
      <c r="C125" s="44" t="n"/>
      <c r="D125" s="44" t="n"/>
      <c r="L125" s="45" t="n"/>
      <c r="O125" s="44" t="n"/>
    </row>
    <row r="126">
      <c r="A126" s="43" t="n"/>
      <c r="C126" s="44" t="n"/>
      <c r="D126" s="44" t="n"/>
      <c r="L126" s="45" t="n"/>
      <c r="O126" s="44" t="n"/>
    </row>
    <row r="127">
      <c r="A127" s="43" t="n"/>
      <c r="C127" s="44" t="n"/>
      <c r="D127" s="44" t="n"/>
      <c r="L127" s="45" t="n"/>
      <c r="O127" s="44" t="n"/>
    </row>
    <row r="128">
      <c r="A128" s="43" t="n"/>
      <c r="C128" s="44" t="n"/>
      <c r="D128" s="44" t="n"/>
      <c r="L128" s="45" t="n"/>
      <c r="O128" s="44" t="n"/>
    </row>
    <row r="129">
      <c r="A129" s="43" t="n"/>
      <c r="C129" s="44" t="n"/>
      <c r="D129" s="44" t="n"/>
      <c r="L129" s="45" t="n"/>
      <c r="O129" s="44" t="n"/>
    </row>
    <row r="130">
      <c r="A130" s="43" t="n"/>
      <c r="C130" s="44" t="n"/>
      <c r="D130" s="44" t="n"/>
      <c r="L130" s="45" t="n"/>
      <c r="O130" s="44" t="n"/>
    </row>
    <row r="131">
      <c r="A131" s="43" t="n"/>
      <c r="C131" s="44" t="n"/>
      <c r="D131" s="44" t="n"/>
      <c r="L131" s="45" t="n"/>
      <c r="O131" s="44" t="n"/>
    </row>
    <row r="132">
      <c r="A132" s="43" t="n"/>
      <c r="C132" s="44" t="n"/>
      <c r="D132" s="44" t="n"/>
      <c r="L132" s="45" t="n"/>
      <c r="O132" s="44" t="n"/>
    </row>
    <row r="133">
      <c r="A133" s="43" t="n"/>
      <c r="C133" s="44" t="n"/>
      <c r="D133" s="44" t="n"/>
      <c r="L133" s="45" t="n"/>
      <c r="O133" s="44" t="n"/>
    </row>
    <row r="134">
      <c r="A134" s="43" t="n"/>
      <c r="C134" s="44" t="n"/>
      <c r="D134" s="44" t="n"/>
      <c r="L134" s="45" t="n"/>
      <c r="O134" s="44" t="n"/>
    </row>
    <row r="135">
      <c r="A135" s="43" t="n"/>
      <c r="C135" s="44" t="n"/>
      <c r="D135" s="44" t="n"/>
      <c r="L135" s="45" t="n"/>
      <c r="O135" s="44" t="n"/>
    </row>
    <row r="136">
      <c r="A136" s="43" t="n"/>
      <c r="C136" s="44" t="n"/>
      <c r="D136" s="44" t="n"/>
      <c r="L136" s="45" t="n"/>
      <c r="O136" s="44" t="n"/>
    </row>
    <row r="137">
      <c r="A137" s="43" t="n"/>
      <c r="C137" s="44" t="n"/>
      <c r="D137" s="44" t="n"/>
      <c r="L137" s="45" t="n"/>
      <c r="O137" s="44" t="n"/>
    </row>
    <row r="138">
      <c r="A138" s="43" t="n"/>
      <c r="C138" s="44" t="n"/>
      <c r="D138" s="44" t="n"/>
      <c r="L138" s="45" t="n"/>
      <c r="O138" s="44" t="n"/>
    </row>
    <row r="139">
      <c r="A139" s="43" t="n"/>
      <c r="C139" s="44" t="n"/>
      <c r="D139" s="44" t="n"/>
      <c r="L139" s="45" t="n"/>
      <c r="O139" s="44" t="n"/>
    </row>
    <row r="140">
      <c r="A140" s="43" t="n"/>
      <c r="C140" s="44" t="n"/>
      <c r="D140" s="44" t="n"/>
      <c r="L140" s="45" t="n"/>
      <c r="O140" s="44" t="n"/>
    </row>
    <row r="141">
      <c r="A141" s="43" t="n"/>
      <c r="C141" s="44" t="n"/>
      <c r="D141" s="44" t="n"/>
      <c r="L141" s="45" t="n"/>
      <c r="O141" s="44" t="n"/>
    </row>
    <row r="142">
      <c r="A142" s="43" t="n"/>
      <c r="C142" s="44" t="n"/>
      <c r="D142" s="44" t="n"/>
      <c r="L142" s="45" t="n"/>
      <c r="O142" s="44" t="n"/>
    </row>
    <row r="143">
      <c r="A143" s="43" t="n"/>
      <c r="C143" s="44" t="n"/>
      <c r="D143" s="44" t="n"/>
      <c r="L143" s="45" t="n"/>
      <c r="O143" s="44" t="n"/>
    </row>
    <row r="144">
      <c r="A144" s="43" t="n"/>
      <c r="C144" s="44" t="n"/>
      <c r="D144" s="44" t="n"/>
      <c r="L144" s="45" t="n"/>
      <c r="O144" s="44" t="n"/>
    </row>
    <row r="145">
      <c r="A145" s="43" t="n"/>
      <c r="C145" s="44" t="n"/>
      <c r="D145" s="44" t="n"/>
      <c r="L145" s="45" t="n"/>
      <c r="O145" s="44" t="n"/>
    </row>
    <row r="146">
      <c r="A146" s="43" t="n"/>
      <c r="C146" s="44" t="n"/>
      <c r="D146" s="44" t="n"/>
      <c r="L146" s="45" t="n"/>
      <c r="O146" s="44" t="n"/>
    </row>
    <row r="147">
      <c r="A147" s="43" t="n"/>
      <c r="C147" s="44" t="n"/>
      <c r="D147" s="44" t="n"/>
      <c r="L147" s="45" t="n"/>
      <c r="O147" s="44" t="n"/>
    </row>
    <row r="148">
      <c r="A148" s="43" t="n"/>
      <c r="C148" s="44" t="n"/>
      <c r="D148" s="44" t="n"/>
      <c r="L148" s="45" t="n"/>
      <c r="O148" s="44" t="n"/>
    </row>
    <row r="149">
      <c r="A149" s="43" t="n"/>
      <c r="C149" s="44" t="n"/>
      <c r="D149" s="44" t="n"/>
      <c r="L149" s="45" t="n"/>
      <c r="O149" s="44" t="n"/>
    </row>
    <row r="150">
      <c r="A150" s="43" t="n"/>
      <c r="C150" s="44" t="n"/>
      <c r="D150" s="44" t="n"/>
      <c r="L150" s="45" t="n"/>
      <c r="O150" s="44" t="n"/>
    </row>
    <row r="151">
      <c r="A151" s="43" t="n"/>
      <c r="C151" s="44" t="n"/>
      <c r="D151" s="44" t="n"/>
      <c r="L151" s="45" t="n"/>
      <c r="O151" s="44" t="n"/>
    </row>
    <row r="152">
      <c r="A152" s="43" t="n"/>
      <c r="C152" s="44" t="n"/>
      <c r="D152" s="44" t="n"/>
      <c r="L152" s="45" t="n"/>
      <c r="O152" s="44" t="n"/>
    </row>
    <row r="153">
      <c r="A153" s="43" t="n"/>
      <c r="C153" s="44" t="n"/>
      <c r="D153" s="44" t="n"/>
      <c r="L153" s="45" t="n"/>
      <c r="O153" s="44" t="n"/>
    </row>
    <row r="154">
      <c r="A154" s="43" t="n"/>
      <c r="C154" s="44" t="n"/>
      <c r="D154" s="44" t="n"/>
      <c r="L154" s="45" t="n"/>
      <c r="O154" s="44" t="n"/>
    </row>
    <row r="155">
      <c r="A155" s="43" t="n"/>
      <c r="C155" s="44" t="n"/>
      <c r="D155" s="44" t="n"/>
      <c r="L155" s="45" t="n"/>
      <c r="O155" s="44" t="n"/>
    </row>
    <row r="156">
      <c r="A156" s="43" t="n"/>
      <c r="C156" s="44" t="n"/>
      <c r="D156" s="44" t="n"/>
      <c r="L156" s="45" t="n"/>
      <c r="O156" s="44" t="n"/>
    </row>
    <row r="157">
      <c r="A157" s="43" t="n"/>
      <c r="C157" s="44" t="n"/>
      <c r="D157" s="44" t="n"/>
      <c r="L157" s="45" t="n"/>
      <c r="O157" s="44" t="n"/>
    </row>
    <row r="158">
      <c r="A158" s="43" t="n"/>
      <c r="C158" s="44" t="n"/>
      <c r="D158" s="44" t="n"/>
      <c r="L158" s="45" t="n"/>
      <c r="O158" s="44" t="n"/>
    </row>
    <row r="159">
      <c r="A159" s="43" t="n"/>
      <c r="C159" s="44" t="n"/>
      <c r="D159" s="44" t="n"/>
      <c r="L159" s="45" t="n"/>
      <c r="O159" s="44" t="n"/>
    </row>
    <row r="160">
      <c r="A160" s="43" t="n"/>
      <c r="C160" s="44" t="n"/>
      <c r="D160" s="44" t="n"/>
      <c r="L160" s="45" t="n"/>
      <c r="O160" s="44" t="n"/>
    </row>
    <row r="161">
      <c r="A161" s="43" t="n"/>
      <c r="C161" s="44" t="n"/>
      <c r="D161" s="44" t="n"/>
      <c r="L161" s="45" t="n"/>
      <c r="O161" s="44" t="n"/>
    </row>
    <row r="162">
      <c r="A162" s="43" t="n"/>
      <c r="C162" s="44" t="n"/>
      <c r="D162" s="44" t="n"/>
      <c r="L162" s="45" t="n"/>
      <c r="O162" s="44" t="n"/>
    </row>
    <row r="163">
      <c r="A163" s="43" t="n"/>
      <c r="C163" s="44" t="n"/>
      <c r="D163" s="44" t="n"/>
      <c r="L163" s="45" t="n"/>
      <c r="O163" s="44" t="n"/>
    </row>
    <row r="164">
      <c r="A164" s="43" t="n"/>
      <c r="C164" s="44" t="n"/>
      <c r="D164" s="44" t="n"/>
      <c r="L164" s="45" t="n"/>
      <c r="O164" s="44" t="n"/>
    </row>
    <row r="165">
      <c r="A165" s="43" t="n"/>
      <c r="C165" s="44" t="n"/>
      <c r="D165" s="44" t="n"/>
      <c r="L165" s="45" t="n"/>
      <c r="O165" s="44" t="n"/>
    </row>
    <row r="166">
      <c r="A166" s="43" t="n"/>
      <c r="C166" s="44" t="n"/>
      <c r="D166" s="44" t="n"/>
      <c r="L166" s="45" t="n"/>
      <c r="O166" s="44" t="n"/>
    </row>
    <row r="167">
      <c r="A167" s="43" t="n"/>
      <c r="C167" s="44" t="n"/>
      <c r="D167" s="44" t="n"/>
      <c r="L167" s="45" t="n"/>
      <c r="O167" s="44" t="n"/>
    </row>
    <row r="168">
      <c r="A168" s="43" t="n"/>
      <c r="C168" s="44" t="n"/>
      <c r="D168" s="44" t="n"/>
      <c r="L168" s="45" t="n"/>
      <c r="O168" s="44" t="n"/>
    </row>
    <row r="169">
      <c r="A169" s="43" t="n"/>
      <c r="C169" s="44" t="n"/>
      <c r="D169" s="44" t="n"/>
      <c r="L169" s="45" t="n"/>
      <c r="O169" s="44" t="n"/>
    </row>
    <row r="170">
      <c r="A170" s="43" t="n"/>
      <c r="C170" s="44" t="n"/>
      <c r="D170" s="44" t="n"/>
      <c r="L170" s="45" t="n"/>
      <c r="O170" s="44" t="n"/>
    </row>
    <row r="171">
      <c r="A171" s="43" t="n"/>
      <c r="C171" s="44" t="n"/>
      <c r="D171" s="44" t="n"/>
      <c r="L171" s="45" t="n"/>
      <c r="O171" s="44" t="n"/>
    </row>
    <row r="172">
      <c r="A172" s="43" t="n"/>
      <c r="C172" s="44" t="n"/>
      <c r="D172" s="44" t="n"/>
      <c r="L172" s="45" t="n"/>
      <c r="O172" s="44" t="n"/>
    </row>
    <row r="173">
      <c r="A173" s="43" t="n"/>
      <c r="C173" s="44" t="n"/>
      <c r="D173" s="44" t="n"/>
      <c r="L173" s="45" t="n"/>
      <c r="O173" s="44" t="n"/>
    </row>
    <row r="174">
      <c r="A174" s="43" t="n"/>
      <c r="C174" s="44" t="n"/>
      <c r="D174" s="44" t="n"/>
      <c r="L174" s="45" t="n"/>
      <c r="O174" s="44" t="n"/>
    </row>
    <row r="175">
      <c r="A175" s="43" t="n"/>
      <c r="C175" s="44" t="n"/>
      <c r="D175" s="44" t="n"/>
      <c r="L175" s="45" t="n"/>
      <c r="O175" s="44" t="n"/>
    </row>
    <row r="176">
      <c r="A176" s="43" t="n"/>
      <c r="C176" s="44" t="n"/>
      <c r="D176" s="44" t="n"/>
      <c r="L176" s="45" t="n"/>
      <c r="O176" s="44" t="n"/>
    </row>
    <row r="177">
      <c r="A177" s="43" t="n"/>
      <c r="C177" s="44" t="n"/>
      <c r="D177" s="44" t="n"/>
      <c r="L177" s="45" t="n"/>
      <c r="O177" s="44" t="n"/>
    </row>
    <row r="178">
      <c r="A178" s="43" t="n"/>
      <c r="C178" s="44" t="n"/>
      <c r="D178" s="44" t="n"/>
      <c r="L178" s="45" t="n"/>
      <c r="O178" s="44" t="n"/>
    </row>
    <row r="179">
      <c r="A179" s="43" t="n"/>
      <c r="C179" s="44" t="n"/>
      <c r="D179" s="44" t="n"/>
      <c r="L179" s="45" t="n"/>
      <c r="O179" s="44" t="n"/>
    </row>
    <row r="180">
      <c r="A180" s="43" t="n"/>
      <c r="C180" s="44" t="n"/>
      <c r="D180" s="44" t="n"/>
      <c r="L180" s="45" t="n"/>
      <c r="O180" s="44" t="n"/>
    </row>
    <row r="181">
      <c r="A181" s="43" t="n"/>
      <c r="C181" s="44" t="n"/>
      <c r="D181" s="44" t="n"/>
      <c r="L181" s="45" t="n"/>
      <c r="O181" s="44" t="n"/>
    </row>
    <row r="182">
      <c r="A182" s="43" t="n"/>
      <c r="C182" s="44" t="n"/>
      <c r="D182" s="44" t="n"/>
      <c r="L182" s="45" t="n"/>
      <c r="O182" s="44" t="n"/>
    </row>
    <row r="183">
      <c r="A183" s="43" t="n"/>
      <c r="C183" s="44" t="n"/>
      <c r="D183" s="44" t="n"/>
      <c r="L183" s="45" t="n"/>
      <c r="O183" s="44" t="n"/>
    </row>
    <row r="184">
      <c r="A184" s="43" t="n"/>
      <c r="C184" s="44" t="n"/>
      <c r="D184" s="44" t="n"/>
      <c r="L184" s="45" t="n"/>
      <c r="O184" s="44" t="n"/>
    </row>
    <row r="185">
      <c r="A185" s="43" t="n"/>
      <c r="C185" s="44" t="n"/>
      <c r="D185" s="44" t="n"/>
      <c r="L185" s="45" t="n"/>
      <c r="O185" s="44" t="n"/>
    </row>
    <row r="186">
      <c r="A186" s="43" t="n"/>
      <c r="C186" s="44" t="n"/>
      <c r="D186" s="44" t="n"/>
      <c r="L186" s="45" t="n"/>
      <c r="O186" s="44" t="n"/>
    </row>
    <row r="187">
      <c r="A187" s="43" t="n"/>
      <c r="C187" s="44" t="n"/>
      <c r="D187" s="44" t="n"/>
      <c r="L187" s="45" t="n"/>
      <c r="O187" s="44" t="n"/>
    </row>
    <row r="188">
      <c r="A188" s="43" t="n"/>
      <c r="C188" s="44" t="n"/>
      <c r="D188" s="44" t="n"/>
      <c r="L188" s="45" t="n"/>
      <c r="O188" s="44" t="n"/>
    </row>
    <row r="189">
      <c r="A189" s="43" t="n"/>
      <c r="C189" s="44" t="n"/>
      <c r="D189" s="44" t="n"/>
      <c r="L189" s="45" t="n"/>
      <c r="O189" s="44" t="n"/>
    </row>
    <row r="190">
      <c r="A190" s="43" t="n"/>
      <c r="C190" s="44" t="n"/>
      <c r="D190" s="44" t="n"/>
      <c r="L190" s="45" t="n"/>
      <c r="O190" s="44" t="n"/>
    </row>
    <row r="191">
      <c r="A191" s="43" t="n"/>
      <c r="C191" s="44" t="n"/>
      <c r="D191" s="44" t="n"/>
      <c r="L191" s="45" t="n"/>
      <c r="O191" s="44" t="n"/>
    </row>
    <row r="192">
      <c r="A192" s="43" t="n"/>
      <c r="C192" s="44" t="n"/>
      <c r="D192" s="44" t="n"/>
      <c r="L192" s="45" t="n"/>
      <c r="O192" s="44" t="n"/>
    </row>
    <row r="193">
      <c r="A193" s="43" t="n"/>
      <c r="C193" s="44" t="n"/>
      <c r="D193" s="44" t="n"/>
      <c r="L193" s="45" t="n"/>
      <c r="O193" s="44" t="n"/>
    </row>
    <row r="194">
      <c r="A194" s="43" t="n"/>
      <c r="C194" s="44" t="n"/>
      <c r="D194" s="44" t="n"/>
      <c r="L194" s="45" t="n"/>
      <c r="O194" s="44" t="n"/>
    </row>
    <row r="195">
      <c r="A195" s="43" t="n"/>
      <c r="C195" s="44" t="n"/>
      <c r="D195" s="44" t="n"/>
      <c r="L195" s="45" t="n"/>
      <c r="O195" s="44" t="n"/>
    </row>
    <row r="196">
      <c r="A196" s="43" t="n"/>
      <c r="C196" s="44" t="n"/>
      <c r="D196" s="44" t="n"/>
      <c r="L196" s="45" t="n"/>
      <c r="O196" s="44" t="n"/>
    </row>
    <row r="197">
      <c r="A197" s="43" t="n"/>
      <c r="C197" s="44" t="n"/>
      <c r="D197" s="44" t="n"/>
      <c r="L197" s="45" t="n"/>
      <c r="O197" s="44" t="n"/>
    </row>
    <row r="198">
      <c r="A198" s="43" t="n"/>
      <c r="C198" s="44" t="n"/>
      <c r="D198" s="44" t="n"/>
      <c r="L198" s="45" t="n"/>
      <c r="O198" s="44" t="n"/>
    </row>
    <row r="199">
      <c r="A199" s="43" t="n"/>
      <c r="C199" s="44" t="n"/>
      <c r="D199" s="44" t="n"/>
      <c r="L199" s="45" t="n"/>
      <c r="O199" s="44" t="n"/>
    </row>
    <row r="200">
      <c r="A200" s="43" t="n"/>
      <c r="C200" s="44" t="n"/>
      <c r="D200" s="44" t="n"/>
      <c r="L200" s="45" t="n"/>
      <c r="O200" s="44" t="n"/>
    </row>
    <row r="201">
      <c r="A201" s="43" t="n"/>
      <c r="C201" s="44" t="n"/>
      <c r="D201" s="44" t="n"/>
      <c r="L201" s="45" t="n"/>
      <c r="O201" s="44" t="n"/>
    </row>
    <row r="202">
      <c r="A202" s="43" t="n"/>
      <c r="C202" s="44" t="n"/>
      <c r="D202" s="44" t="n"/>
      <c r="L202" s="45" t="n"/>
      <c r="O202" s="44" t="n"/>
    </row>
    <row r="203">
      <c r="A203" s="43" t="n"/>
      <c r="C203" s="44" t="n"/>
      <c r="D203" s="44" t="n"/>
      <c r="L203" s="45" t="n"/>
      <c r="O203" s="44" t="n"/>
    </row>
    <row r="204">
      <c r="A204" s="43" t="n"/>
      <c r="C204" s="44" t="n"/>
      <c r="D204" s="44" t="n"/>
      <c r="L204" s="45" t="n"/>
      <c r="O204" s="44" t="n"/>
    </row>
    <row r="205">
      <c r="A205" s="43" t="n"/>
      <c r="C205" s="44" t="n"/>
      <c r="D205" s="44" t="n"/>
      <c r="L205" s="45" t="n"/>
      <c r="O205" s="44" t="n"/>
    </row>
    <row r="206">
      <c r="A206" s="43" t="n"/>
      <c r="C206" s="44" t="n"/>
      <c r="D206" s="44" t="n"/>
      <c r="L206" s="45" t="n"/>
      <c r="O206" s="44" t="n"/>
    </row>
    <row r="207">
      <c r="A207" s="43" t="n"/>
      <c r="C207" s="44" t="n"/>
      <c r="D207" s="44" t="n"/>
      <c r="L207" s="45" t="n"/>
      <c r="O207" s="44" t="n"/>
    </row>
    <row r="208">
      <c r="A208" s="43" t="n"/>
      <c r="C208" s="44" t="n"/>
      <c r="D208" s="44" t="n"/>
      <c r="L208" s="45" t="n"/>
      <c r="O208" s="44" t="n"/>
    </row>
    <row r="209">
      <c r="A209" s="43" t="n"/>
      <c r="C209" s="44" t="n"/>
      <c r="D209" s="44" t="n"/>
      <c r="L209" s="45" t="n"/>
      <c r="O209" s="44" t="n"/>
    </row>
    <row r="210">
      <c r="A210" s="43" t="n"/>
      <c r="C210" s="44" t="n"/>
      <c r="D210" s="44" t="n"/>
      <c r="L210" s="45" t="n"/>
      <c r="O210" s="44" t="n"/>
    </row>
    <row r="211">
      <c r="A211" s="43" t="n"/>
      <c r="C211" s="44" t="n"/>
      <c r="D211" s="44" t="n"/>
      <c r="L211" s="45" t="n"/>
      <c r="O211" s="44" t="n"/>
    </row>
    <row r="212">
      <c r="A212" s="43" t="n"/>
      <c r="C212" s="44" t="n"/>
      <c r="D212" s="44" t="n"/>
      <c r="L212" s="45" t="n"/>
      <c r="O212" s="44" t="n"/>
    </row>
    <row r="213">
      <c r="A213" s="43" t="n"/>
      <c r="C213" s="44" t="n"/>
      <c r="D213" s="44" t="n"/>
      <c r="L213" s="45" t="n"/>
      <c r="O213" s="44" t="n"/>
    </row>
    <row r="214">
      <c r="A214" s="43" t="n"/>
      <c r="C214" s="44" t="n"/>
      <c r="D214" s="44" t="n"/>
      <c r="L214" s="45" t="n"/>
      <c r="O214" s="44" t="n"/>
    </row>
    <row r="215">
      <c r="A215" s="43" t="n"/>
      <c r="C215" s="44" t="n"/>
      <c r="D215" s="44" t="n"/>
      <c r="L215" s="45" t="n"/>
      <c r="O215" s="44" t="n"/>
    </row>
    <row r="216">
      <c r="A216" s="43" t="n"/>
      <c r="C216" s="44" t="n"/>
      <c r="D216" s="44" t="n"/>
      <c r="L216" s="45" t="n"/>
      <c r="O216" s="44" t="n"/>
    </row>
    <row r="217">
      <c r="A217" s="43" t="n"/>
      <c r="C217" s="44" t="n"/>
      <c r="D217" s="44" t="n"/>
      <c r="L217" s="45" t="n"/>
      <c r="O217" s="44" t="n"/>
    </row>
    <row r="218">
      <c r="A218" s="43" t="n"/>
      <c r="C218" s="44" t="n"/>
      <c r="D218" s="44" t="n"/>
      <c r="L218" s="45" t="n"/>
      <c r="O218" s="44" t="n"/>
    </row>
    <row r="219">
      <c r="A219" s="43" t="n"/>
      <c r="C219" s="44" t="n"/>
      <c r="D219" s="44" t="n"/>
      <c r="L219" s="45" t="n"/>
      <c r="O219" s="44" t="n"/>
    </row>
    <row r="220">
      <c r="A220" s="43" t="n"/>
      <c r="C220" s="44" t="n"/>
      <c r="D220" s="44" t="n"/>
      <c r="L220" s="45" t="n"/>
      <c r="O220" s="44" t="n"/>
    </row>
    <row r="221">
      <c r="A221" s="43" t="n"/>
      <c r="C221" s="44" t="n"/>
      <c r="D221" s="44" t="n"/>
      <c r="L221" s="45" t="n"/>
      <c r="O221" s="44" t="n"/>
    </row>
    <row r="222">
      <c r="A222" s="43" t="n"/>
      <c r="C222" s="44" t="n"/>
      <c r="D222" s="44" t="n"/>
      <c r="L222" s="45" t="n"/>
      <c r="O222" s="44" t="n"/>
    </row>
    <row r="223">
      <c r="A223" s="43" t="n"/>
      <c r="C223" s="44" t="n"/>
      <c r="D223" s="44" t="n"/>
      <c r="L223" s="45" t="n"/>
      <c r="O223" s="44" t="n"/>
    </row>
    <row r="224">
      <c r="A224" s="43" t="n"/>
      <c r="C224" s="44" t="n"/>
      <c r="D224" s="44" t="n"/>
      <c r="L224" s="45" t="n"/>
      <c r="O224" s="44" t="n"/>
    </row>
    <row r="225">
      <c r="A225" s="43" t="n"/>
      <c r="C225" s="44" t="n"/>
      <c r="D225" s="44" t="n"/>
      <c r="L225" s="45" t="n"/>
      <c r="O225" s="44" t="n"/>
    </row>
    <row r="226">
      <c r="A226" s="43" t="n"/>
      <c r="C226" s="44" t="n"/>
      <c r="D226" s="44" t="n"/>
      <c r="L226" s="45" t="n"/>
      <c r="O226" s="44" t="n"/>
    </row>
    <row r="227">
      <c r="A227" s="43" t="n"/>
      <c r="C227" s="44" t="n"/>
      <c r="D227" s="44" t="n"/>
      <c r="L227" s="45" t="n"/>
      <c r="O227" s="44" t="n"/>
    </row>
    <row r="228">
      <c r="A228" s="43" t="n"/>
      <c r="C228" s="44" t="n"/>
      <c r="D228" s="44" t="n"/>
      <c r="L228" s="45" t="n"/>
      <c r="O228" s="44" t="n"/>
    </row>
    <row r="229">
      <c r="A229" s="43" t="n"/>
      <c r="C229" s="44" t="n"/>
      <c r="D229" s="44" t="n"/>
      <c r="L229" s="45" t="n"/>
      <c r="O229" s="44" t="n"/>
    </row>
    <row r="230">
      <c r="A230" s="43" t="n"/>
      <c r="C230" s="44" t="n"/>
      <c r="D230" s="44" t="n"/>
      <c r="L230" s="45" t="n"/>
      <c r="O230" s="44" t="n"/>
    </row>
    <row r="231">
      <c r="A231" s="43" t="n"/>
      <c r="C231" s="44" t="n"/>
      <c r="D231" s="44" t="n"/>
      <c r="L231" s="45" t="n"/>
      <c r="O231" s="44" t="n"/>
    </row>
    <row r="232">
      <c r="A232" s="43" t="n"/>
      <c r="C232" s="44" t="n"/>
      <c r="D232" s="44" t="n"/>
      <c r="L232" s="45" t="n"/>
      <c r="O232" s="44" t="n"/>
    </row>
    <row r="233">
      <c r="A233" s="43" t="n"/>
      <c r="C233" s="44" t="n"/>
      <c r="D233" s="44" t="n"/>
      <c r="L233" s="45" t="n"/>
      <c r="O233" s="44" t="n"/>
    </row>
    <row r="234">
      <c r="A234" s="43" t="n"/>
      <c r="C234" s="44" t="n"/>
      <c r="D234" s="44" t="n"/>
      <c r="L234" s="45" t="n"/>
      <c r="O234" s="44" t="n"/>
    </row>
    <row r="235">
      <c r="A235" s="43" t="n"/>
      <c r="C235" s="44" t="n"/>
      <c r="D235" s="44" t="n"/>
      <c r="L235" s="45" t="n"/>
      <c r="O235" s="44" t="n"/>
    </row>
    <row r="236">
      <c r="A236" s="43" t="n"/>
      <c r="C236" s="44" t="n"/>
      <c r="D236" s="44" t="n"/>
      <c r="L236" s="45" t="n"/>
      <c r="O236" s="44" t="n"/>
    </row>
    <row r="237">
      <c r="A237" s="43" t="n"/>
      <c r="C237" s="44" t="n"/>
      <c r="D237" s="44" t="n"/>
      <c r="L237" s="45" t="n"/>
      <c r="O237" s="44" t="n"/>
    </row>
    <row r="238">
      <c r="A238" s="43" t="n"/>
      <c r="C238" s="44" t="n"/>
      <c r="D238" s="44" t="n"/>
      <c r="L238" s="45" t="n"/>
      <c r="O238" s="44" t="n"/>
    </row>
    <row r="239">
      <c r="A239" s="43" t="n"/>
      <c r="C239" s="44" t="n"/>
      <c r="D239" s="44" t="n"/>
      <c r="L239" s="45" t="n"/>
      <c r="O239" s="44" t="n"/>
    </row>
    <row r="240">
      <c r="A240" s="43" t="n"/>
      <c r="C240" s="44" t="n"/>
      <c r="D240" s="44" t="n"/>
      <c r="L240" s="45" t="n"/>
      <c r="O240" s="44" t="n"/>
    </row>
    <row r="241">
      <c r="A241" s="43" t="n"/>
      <c r="C241" s="44" t="n"/>
      <c r="D241" s="44" t="n"/>
      <c r="L241" s="45" t="n"/>
      <c r="O241" s="44" t="n"/>
    </row>
    <row r="242">
      <c r="A242" s="43" t="n"/>
      <c r="C242" s="44" t="n"/>
      <c r="D242" s="44" t="n"/>
      <c r="L242" s="45" t="n"/>
      <c r="O242" s="44" t="n"/>
    </row>
    <row r="243">
      <c r="A243" s="43" t="n"/>
      <c r="C243" s="44" t="n"/>
      <c r="D243" s="44" t="n"/>
      <c r="L243" s="45" t="n"/>
      <c r="O243" s="44" t="n"/>
    </row>
    <row r="244">
      <c r="A244" s="43" t="n"/>
      <c r="C244" s="44" t="n"/>
      <c r="D244" s="44" t="n"/>
      <c r="L244" s="45" t="n"/>
      <c r="O244" s="44" t="n"/>
    </row>
    <row r="245">
      <c r="A245" s="43" t="n"/>
      <c r="C245" s="44" t="n"/>
      <c r="D245" s="44" t="n"/>
      <c r="L245" s="45" t="n"/>
      <c r="O245" s="44" t="n"/>
    </row>
    <row r="246">
      <c r="A246" s="43" t="n"/>
      <c r="C246" s="44" t="n"/>
      <c r="D246" s="44" t="n"/>
      <c r="L246" s="45" t="n"/>
      <c r="O246" s="44" t="n"/>
    </row>
    <row r="247">
      <c r="A247" s="43" t="n"/>
      <c r="C247" s="44" t="n"/>
      <c r="D247" s="44" t="n"/>
      <c r="L247" s="45" t="n"/>
      <c r="O247" s="44" t="n"/>
    </row>
    <row r="248">
      <c r="A248" s="43" t="n"/>
      <c r="C248" s="44" t="n"/>
      <c r="D248" s="44" t="n"/>
      <c r="L248" s="45" t="n"/>
      <c r="O248" s="44" t="n"/>
    </row>
    <row r="249">
      <c r="A249" s="43" t="n"/>
      <c r="C249" s="44" t="n"/>
      <c r="D249" s="44" t="n"/>
      <c r="L249" s="45" t="n"/>
      <c r="O249" s="44" t="n"/>
    </row>
    <row r="250">
      <c r="A250" s="43" t="n"/>
      <c r="C250" s="44" t="n"/>
      <c r="D250" s="44" t="n"/>
      <c r="L250" s="45" t="n"/>
      <c r="O250" s="44" t="n"/>
    </row>
    <row r="251">
      <c r="A251" s="43" t="n"/>
      <c r="C251" s="44" t="n"/>
      <c r="D251" s="44" t="n"/>
      <c r="L251" s="45" t="n"/>
      <c r="O251" s="44" t="n"/>
    </row>
    <row r="252">
      <c r="A252" s="43" t="n"/>
      <c r="C252" s="44" t="n"/>
      <c r="D252" s="44" t="n"/>
      <c r="L252" s="45" t="n"/>
      <c r="O252" s="44" t="n"/>
    </row>
    <row r="253">
      <c r="A253" s="43" t="n"/>
      <c r="C253" s="44" t="n"/>
      <c r="D253" s="44" t="n"/>
      <c r="L253" s="45" t="n"/>
      <c r="O253" s="44" t="n"/>
    </row>
    <row r="254">
      <c r="A254" s="43" t="n"/>
      <c r="C254" s="44" t="n"/>
      <c r="D254" s="44" t="n"/>
      <c r="L254" s="45" t="n"/>
      <c r="O254" s="44" t="n"/>
    </row>
    <row r="255">
      <c r="A255" s="43" t="n"/>
      <c r="C255" s="44" t="n"/>
      <c r="D255" s="44" t="n"/>
      <c r="L255" s="45" t="n"/>
      <c r="O255" s="44" t="n"/>
    </row>
    <row r="256">
      <c r="A256" s="43" t="n"/>
      <c r="C256" s="44" t="n"/>
      <c r="D256" s="44" t="n"/>
      <c r="L256" s="45" t="n"/>
      <c r="O256" s="44" t="n"/>
    </row>
    <row r="257">
      <c r="A257" s="43" t="n"/>
      <c r="C257" s="44" t="n"/>
      <c r="D257" s="44" t="n"/>
      <c r="L257" s="45" t="n"/>
      <c r="O257" s="44" t="n"/>
    </row>
    <row r="258">
      <c r="A258" s="43" t="n"/>
      <c r="C258" s="44" t="n"/>
      <c r="D258" s="44" t="n"/>
      <c r="L258" s="45" t="n"/>
      <c r="O258" s="44" t="n"/>
    </row>
    <row r="259">
      <c r="A259" s="43" t="n"/>
      <c r="C259" s="44" t="n"/>
      <c r="D259" s="44" t="n"/>
      <c r="L259" s="45" t="n"/>
      <c r="O259" s="44" t="n"/>
    </row>
    <row r="260">
      <c r="A260" s="43" t="n"/>
      <c r="C260" s="44" t="n"/>
      <c r="D260" s="44" t="n"/>
      <c r="L260" s="45" t="n"/>
      <c r="O260" s="44" t="n"/>
    </row>
    <row r="261">
      <c r="A261" s="43" t="n"/>
      <c r="C261" s="44" t="n"/>
      <c r="D261" s="44" t="n"/>
      <c r="L261" s="45" t="n"/>
      <c r="O261" s="44" t="n"/>
    </row>
    <row r="262">
      <c r="A262" s="43" t="n"/>
      <c r="C262" s="44" t="n"/>
      <c r="D262" s="44" t="n"/>
      <c r="L262" s="45" t="n"/>
      <c r="O262" s="44" t="n"/>
    </row>
    <row r="263">
      <c r="A263" s="43" t="n"/>
      <c r="C263" s="44" t="n"/>
      <c r="D263" s="44" t="n"/>
      <c r="L263" s="45" t="n"/>
      <c r="O263" s="44" t="n"/>
    </row>
    <row r="264">
      <c r="A264" s="43" t="n"/>
      <c r="C264" s="44" t="n"/>
      <c r="D264" s="44" t="n"/>
      <c r="L264" s="45" t="n"/>
      <c r="O264" s="44" t="n"/>
    </row>
    <row r="265">
      <c r="A265" s="43" t="n"/>
      <c r="C265" s="44" t="n"/>
      <c r="D265" s="44" t="n"/>
      <c r="L265" s="45" t="n"/>
      <c r="O265" s="44" t="n"/>
    </row>
    <row r="266">
      <c r="A266" s="43" t="n"/>
      <c r="C266" s="44" t="n"/>
      <c r="D266" s="44" t="n"/>
      <c r="L266" s="45" t="n"/>
      <c r="O266" s="44" t="n"/>
    </row>
    <row r="267">
      <c r="A267" s="43" t="n"/>
      <c r="C267" s="44" t="n"/>
      <c r="D267" s="44" t="n"/>
      <c r="L267" s="45" t="n"/>
      <c r="O267" s="44" t="n"/>
    </row>
    <row r="268">
      <c r="A268" s="43" t="n"/>
      <c r="C268" s="44" t="n"/>
      <c r="D268" s="44" t="n"/>
      <c r="L268" s="45" t="n"/>
      <c r="O268" s="44" t="n"/>
    </row>
    <row r="269">
      <c r="A269" s="43" t="n"/>
      <c r="C269" s="44" t="n"/>
      <c r="D269" s="44" t="n"/>
      <c r="L269" s="45" t="n"/>
      <c r="O269" s="44" t="n"/>
    </row>
    <row r="270">
      <c r="A270" s="43" t="n"/>
      <c r="C270" s="44" t="n"/>
      <c r="D270" s="44" t="n"/>
      <c r="L270" s="45" t="n"/>
      <c r="O270" s="44" t="n"/>
    </row>
    <row r="271">
      <c r="A271" s="43" t="n"/>
      <c r="C271" s="44" t="n"/>
      <c r="D271" s="44" t="n"/>
      <c r="L271" s="45" t="n"/>
      <c r="O271" s="44" t="n"/>
    </row>
    <row r="272">
      <c r="A272" s="43" t="n"/>
      <c r="C272" s="44" t="n"/>
      <c r="D272" s="44" t="n"/>
      <c r="L272" s="45" t="n"/>
      <c r="O272" s="44" t="n"/>
    </row>
    <row r="273">
      <c r="A273" s="43" t="n"/>
      <c r="C273" s="44" t="n"/>
      <c r="D273" s="44" t="n"/>
      <c r="L273" s="45" t="n"/>
      <c r="O273" s="44" t="n"/>
    </row>
    <row r="274">
      <c r="A274" s="43" t="n"/>
      <c r="C274" s="44" t="n"/>
      <c r="D274" s="44" t="n"/>
      <c r="L274" s="45" t="n"/>
      <c r="O274" s="44" t="n"/>
    </row>
    <row r="275">
      <c r="A275" s="43" t="n"/>
      <c r="C275" s="44" t="n"/>
      <c r="D275" s="44" t="n"/>
      <c r="L275" s="45" t="n"/>
      <c r="O275" s="44" t="n"/>
    </row>
    <row r="276">
      <c r="A276" s="43" t="n"/>
      <c r="C276" s="44" t="n"/>
      <c r="D276" s="44" t="n"/>
      <c r="L276" s="45" t="n"/>
      <c r="O276" s="44" t="n"/>
    </row>
    <row r="277">
      <c r="A277" s="43" t="n"/>
      <c r="C277" s="44" t="n"/>
      <c r="D277" s="44" t="n"/>
      <c r="L277" s="45" t="n"/>
      <c r="O277" s="44" t="n"/>
    </row>
    <row r="278">
      <c r="A278" s="43" t="n"/>
      <c r="C278" s="44" t="n"/>
      <c r="D278" s="44" t="n"/>
      <c r="L278" s="45" t="n"/>
      <c r="O278" s="44" t="n"/>
    </row>
    <row r="279">
      <c r="A279" s="43" t="n"/>
      <c r="C279" s="44" t="n"/>
      <c r="D279" s="44" t="n"/>
      <c r="L279" s="45" t="n"/>
      <c r="O279" s="44" t="n"/>
    </row>
    <row r="280">
      <c r="A280" s="43" t="n"/>
      <c r="C280" s="44" t="n"/>
      <c r="D280" s="44" t="n"/>
      <c r="L280" s="45" t="n"/>
      <c r="O280" s="44" t="n"/>
    </row>
    <row r="281">
      <c r="A281" s="43" t="n"/>
      <c r="C281" s="44" t="n"/>
      <c r="D281" s="44" t="n"/>
      <c r="L281" s="45" t="n"/>
      <c r="O281" s="44" t="n"/>
    </row>
    <row r="282">
      <c r="A282" s="43" t="n"/>
      <c r="C282" s="44" t="n"/>
      <c r="D282" s="44" t="n"/>
      <c r="L282" s="45" t="n"/>
      <c r="O282" s="44" t="n"/>
    </row>
    <row r="283">
      <c r="A283" s="43" t="n"/>
      <c r="C283" s="44" t="n"/>
      <c r="D283" s="44" t="n"/>
      <c r="L283" s="45" t="n"/>
      <c r="O283" s="44" t="n"/>
    </row>
    <row r="284">
      <c r="A284" s="43" t="n"/>
      <c r="C284" s="44" t="n"/>
      <c r="D284" s="44" t="n"/>
      <c r="L284" s="45" t="n"/>
      <c r="O284" s="44" t="n"/>
    </row>
    <row r="285">
      <c r="A285" s="43" t="n"/>
      <c r="C285" s="44" t="n"/>
      <c r="D285" s="44" t="n"/>
      <c r="L285" s="45" t="n"/>
      <c r="O285" s="44" t="n"/>
    </row>
    <row r="286">
      <c r="A286" s="43" t="n"/>
      <c r="C286" s="44" t="n"/>
      <c r="D286" s="44" t="n"/>
      <c r="L286" s="45" t="n"/>
      <c r="O286" s="44" t="n"/>
    </row>
    <row r="287">
      <c r="A287" s="43" t="n"/>
      <c r="C287" s="44" t="n"/>
      <c r="D287" s="44" t="n"/>
      <c r="L287" s="45" t="n"/>
      <c r="O287" s="44" t="n"/>
    </row>
    <row r="288">
      <c r="A288" s="43" t="n"/>
      <c r="C288" s="44" t="n"/>
      <c r="D288" s="44" t="n"/>
      <c r="L288" s="45" t="n"/>
      <c r="O288" s="44" t="n"/>
    </row>
    <row r="289">
      <c r="A289" s="43" t="n"/>
      <c r="C289" s="44" t="n"/>
      <c r="D289" s="44" t="n"/>
      <c r="L289" s="45" t="n"/>
      <c r="O289" s="44" t="n"/>
    </row>
    <row r="290">
      <c r="A290" s="43" t="n"/>
      <c r="C290" s="44" t="n"/>
      <c r="D290" s="44" t="n"/>
      <c r="L290" s="45" t="n"/>
      <c r="O290" s="44" t="n"/>
    </row>
    <row r="291">
      <c r="A291" s="43" t="n"/>
      <c r="C291" s="44" t="n"/>
      <c r="D291" s="44" t="n"/>
      <c r="L291" s="45" t="n"/>
      <c r="O291" s="44" t="n"/>
    </row>
    <row r="292">
      <c r="A292" s="43" t="n"/>
      <c r="C292" s="44" t="n"/>
      <c r="D292" s="44" t="n"/>
      <c r="L292" s="45" t="n"/>
      <c r="O292" s="44" t="n"/>
    </row>
    <row r="293">
      <c r="A293" s="43" t="n"/>
      <c r="C293" s="44" t="n"/>
      <c r="D293" s="44" t="n"/>
      <c r="L293" s="45" t="n"/>
      <c r="O293" s="44" t="n"/>
    </row>
    <row r="294">
      <c r="A294" s="43" t="n"/>
      <c r="C294" s="44" t="n"/>
      <c r="D294" s="44" t="n"/>
      <c r="L294" s="45" t="n"/>
      <c r="O294" s="44" t="n"/>
    </row>
    <row r="295">
      <c r="A295" s="43" t="n"/>
      <c r="C295" s="44" t="n"/>
      <c r="D295" s="44" t="n"/>
      <c r="L295" s="45" t="n"/>
      <c r="O295" s="44" t="n"/>
    </row>
    <row r="296">
      <c r="A296" s="43" t="n"/>
      <c r="C296" s="44" t="n"/>
      <c r="D296" s="44" t="n"/>
      <c r="L296" s="45" t="n"/>
      <c r="O296" s="44" t="n"/>
    </row>
    <row r="297">
      <c r="A297" s="43" t="n"/>
      <c r="C297" s="44" t="n"/>
      <c r="D297" s="44" t="n"/>
      <c r="L297" s="45" t="n"/>
      <c r="O297" s="44" t="n"/>
    </row>
    <row r="298">
      <c r="A298" s="43" t="n"/>
      <c r="C298" s="44" t="n"/>
      <c r="D298" s="44" t="n"/>
      <c r="L298" s="45" t="n"/>
      <c r="O298" s="44" t="n"/>
    </row>
    <row r="299">
      <c r="A299" s="43" t="n"/>
      <c r="C299" s="44" t="n"/>
      <c r="D299" s="44" t="n"/>
      <c r="L299" s="45" t="n"/>
      <c r="O299" s="44" t="n"/>
    </row>
    <row r="300">
      <c r="A300" s="43" t="n"/>
      <c r="C300" s="44" t="n"/>
      <c r="D300" s="44" t="n"/>
      <c r="L300" s="45" t="n"/>
      <c r="O300" s="44" t="n"/>
    </row>
    <row r="301">
      <c r="A301" s="43" t="n"/>
      <c r="C301" s="44" t="n"/>
      <c r="D301" s="44" t="n"/>
      <c r="L301" s="45" t="n"/>
      <c r="O301" s="44" t="n"/>
    </row>
    <row r="302">
      <c r="A302" s="43" t="n"/>
      <c r="C302" s="44" t="n"/>
      <c r="D302" s="44" t="n"/>
      <c r="L302" s="45" t="n"/>
      <c r="O302" s="44" t="n"/>
    </row>
    <row r="303">
      <c r="A303" s="43" t="n"/>
      <c r="C303" s="44" t="n"/>
      <c r="D303" s="44" t="n"/>
      <c r="L303" s="45" t="n"/>
      <c r="O303" s="44" t="n"/>
    </row>
    <row r="304">
      <c r="A304" s="43" t="n"/>
      <c r="C304" s="44" t="n"/>
      <c r="D304" s="44" t="n"/>
      <c r="L304" s="45" t="n"/>
      <c r="O304" s="44" t="n"/>
    </row>
    <row r="305">
      <c r="A305" s="43" t="n"/>
      <c r="C305" s="44" t="n"/>
      <c r="D305" s="44" t="n"/>
      <c r="L305" s="45" t="n"/>
      <c r="O305" s="44" t="n"/>
    </row>
    <row r="306">
      <c r="A306" s="43" t="n"/>
      <c r="C306" s="44" t="n"/>
      <c r="D306" s="44" t="n"/>
      <c r="L306" s="45" t="n"/>
      <c r="O306" s="44" t="n"/>
    </row>
    <row r="307">
      <c r="A307" s="43" t="n"/>
      <c r="C307" s="44" t="n"/>
      <c r="D307" s="44" t="n"/>
      <c r="L307" s="45" t="n"/>
      <c r="O307" s="44" t="n"/>
    </row>
    <row r="308">
      <c r="A308" s="43" t="n"/>
      <c r="C308" s="44" t="n"/>
      <c r="D308" s="44" t="n"/>
      <c r="L308" s="45" t="n"/>
      <c r="O308" s="44" t="n"/>
    </row>
    <row r="309">
      <c r="A309" s="43" t="n"/>
      <c r="C309" s="44" t="n"/>
      <c r="D309" s="44" t="n"/>
      <c r="L309" s="45" t="n"/>
      <c r="O309" s="44" t="n"/>
    </row>
    <row r="310">
      <c r="A310" s="43" t="n"/>
      <c r="C310" s="44" t="n"/>
      <c r="D310" s="44" t="n"/>
      <c r="L310" s="45" t="n"/>
      <c r="O310" s="44" t="n"/>
    </row>
    <row r="311">
      <c r="A311" s="43" t="n"/>
      <c r="C311" s="44" t="n"/>
      <c r="D311" s="44" t="n"/>
      <c r="L311" s="45" t="n"/>
      <c r="O311" s="44" t="n"/>
    </row>
    <row r="312">
      <c r="A312" s="43" t="n"/>
      <c r="C312" s="44" t="n"/>
      <c r="D312" s="44" t="n"/>
      <c r="L312" s="45" t="n"/>
      <c r="O312" s="44" t="n"/>
    </row>
    <row r="313">
      <c r="A313" s="43" t="n"/>
      <c r="C313" s="44" t="n"/>
      <c r="D313" s="44" t="n"/>
      <c r="L313" s="45" t="n"/>
      <c r="O313" s="44" t="n"/>
    </row>
    <row r="314">
      <c r="A314" s="43" t="n"/>
      <c r="C314" s="44" t="n"/>
      <c r="D314" s="44" t="n"/>
      <c r="L314" s="45" t="n"/>
      <c r="O314" s="44" t="n"/>
    </row>
    <row r="315">
      <c r="A315" s="43" t="n"/>
      <c r="C315" s="44" t="n"/>
      <c r="D315" s="44" t="n"/>
      <c r="L315" s="45" t="n"/>
      <c r="O315" s="44" t="n"/>
    </row>
    <row r="316">
      <c r="A316" s="43" t="n"/>
      <c r="C316" s="44" t="n"/>
      <c r="D316" s="44" t="n"/>
      <c r="L316" s="45" t="n"/>
      <c r="O316" s="44" t="n"/>
    </row>
    <row r="317">
      <c r="A317" s="43" t="n"/>
      <c r="C317" s="44" t="n"/>
      <c r="D317" s="44" t="n"/>
      <c r="L317" s="45" t="n"/>
      <c r="O317" s="44" t="n"/>
    </row>
    <row r="318">
      <c r="A318" s="43" t="n"/>
      <c r="C318" s="44" t="n"/>
      <c r="D318" s="44" t="n"/>
      <c r="L318" s="45" t="n"/>
      <c r="O318" s="44" t="n"/>
    </row>
    <row r="319">
      <c r="A319" s="43" t="n"/>
      <c r="C319" s="44" t="n"/>
      <c r="D319" s="44" t="n"/>
      <c r="L319" s="45" t="n"/>
      <c r="O319" s="44" t="n"/>
    </row>
    <row r="320">
      <c r="A320" s="43" t="n"/>
      <c r="C320" s="44" t="n"/>
      <c r="D320" s="44" t="n"/>
      <c r="L320" s="45" t="n"/>
      <c r="O320" s="44" t="n"/>
    </row>
    <row r="321">
      <c r="A321" s="43" t="n"/>
      <c r="C321" s="44" t="n"/>
      <c r="D321" s="44" t="n"/>
      <c r="L321" s="45" t="n"/>
      <c r="O321" s="44" t="n"/>
    </row>
    <row r="322">
      <c r="A322" s="43" t="n"/>
      <c r="C322" s="44" t="n"/>
      <c r="D322" s="44" t="n"/>
      <c r="L322" s="45" t="n"/>
      <c r="O322" s="44" t="n"/>
    </row>
    <row r="323">
      <c r="A323" s="43" t="n"/>
      <c r="C323" s="44" t="n"/>
      <c r="D323" s="44" t="n"/>
      <c r="L323" s="45" t="n"/>
      <c r="O323" s="44" t="n"/>
    </row>
    <row r="324">
      <c r="A324" s="43" t="n"/>
      <c r="C324" s="44" t="n"/>
      <c r="D324" s="44" t="n"/>
      <c r="L324" s="45" t="n"/>
      <c r="O324" s="44" t="n"/>
    </row>
    <row r="325">
      <c r="A325" s="43" t="n"/>
      <c r="C325" s="44" t="n"/>
      <c r="D325" s="44" t="n"/>
      <c r="L325" s="45" t="n"/>
      <c r="O325" s="44" t="n"/>
    </row>
    <row r="326">
      <c r="A326" s="43" t="n"/>
      <c r="C326" s="44" t="n"/>
      <c r="D326" s="44" t="n"/>
      <c r="L326" s="45" t="n"/>
      <c r="O326" s="44" t="n"/>
    </row>
    <row r="327">
      <c r="A327" s="43" t="n"/>
      <c r="C327" s="44" t="n"/>
      <c r="D327" s="44" t="n"/>
      <c r="L327" s="45" t="n"/>
      <c r="O327" s="44" t="n"/>
    </row>
    <row r="328">
      <c r="A328" s="43" t="n"/>
      <c r="C328" s="44" t="n"/>
      <c r="D328" s="44" t="n"/>
      <c r="L328" s="45" t="n"/>
      <c r="O328" s="44" t="n"/>
    </row>
    <row r="329">
      <c r="A329" s="43" t="n"/>
      <c r="C329" s="44" t="n"/>
      <c r="D329" s="44" t="n"/>
      <c r="L329" s="45" t="n"/>
      <c r="O329" s="44" t="n"/>
    </row>
    <row r="330">
      <c r="A330" s="43" t="n"/>
      <c r="C330" s="44" t="n"/>
      <c r="D330" s="44" t="n"/>
      <c r="L330" s="45" t="n"/>
      <c r="O330" s="44" t="n"/>
    </row>
    <row r="331">
      <c r="A331" s="43" t="n"/>
      <c r="C331" s="44" t="n"/>
      <c r="D331" s="44" t="n"/>
      <c r="L331" s="45" t="n"/>
      <c r="O331" s="44" t="n"/>
    </row>
    <row r="332">
      <c r="A332" s="43" t="n"/>
      <c r="C332" s="44" t="n"/>
      <c r="D332" s="44" t="n"/>
      <c r="L332" s="45" t="n"/>
      <c r="O332" s="44" t="n"/>
    </row>
    <row r="333">
      <c r="A333" s="43" t="n"/>
      <c r="C333" s="44" t="n"/>
      <c r="D333" s="44" t="n"/>
      <c r="L333" s="45" t="n"/>
      <c r="O333" s="44" t="n"/>
    </row>
    <row r="334">
      <c r="A334" s="43" t="n"/>
      <c r="C334" s="44" t="n"/>
      <c r="D334" s="44" t="n"/>
      <c r="L334" s="45" t="n"/>
      <c r="O334" s="44" t="n"/>
    </row>
    <row r="335">
      <c r="A335" s="43" t="n"/>
      <c r="C335" s="44" t="n"/>
      <c r="D335" s="44" t="n"/>
      <c r="L335" s="45" t="n"/>
      <c r="O335" s="44" t="n"/>
    </row>
    <row r="336">
      <c r="A336" s="43" t="n"/>
      <c r="C336" s="44" t="n"/>
      <c r="D336" s="44" t="n"/>
      <c r="L336" s="45" t="n"/>
      <c r="O336" s="44" t="n"/>
    </row>
    <row r="337">
      <c r="A337" s="43" t="n"/>
      <c r="C337" s="44" t="n"/>
      <c r="D337" s="44" t="n"/>
      <c r="L337" s="45" t="n"/>
      <c r="O337" s="44" t="n"/>
    </row>
    <row r="338">
      <c r="A338" s="43" t="n"/>
      <c r="C338" s="44" t="n"/>
      <c r="D338" s="44" t="n"/>
      <c r="L338" s="45" t="n"/>
      <c r="O338" s="44" t="n"/>
    </row>
    <row r="339">
      <c r="A339" s="43" t="n"/>
      <c r="C339" s="44" t="n"/>
      <c r="D339" s="44" t="n"/>
      <c r="L339" s="45" t="n"/>
      <c r="O339" s="44" t="n"/>
    </row>
    <row r="340">
      <c r="A340" s="43" t="n"/>
      <c r="C340" s="44" t="n"/>
      <c r="D340" s="44" t="n"/>
      <c r="L340" s="45" t="n"/>
      <c r="O340" s="44" t="n"/>
    </row>
    <row r="341">
      <c r="A341" s="43" t="n"/>
      <c r="C341" s="44" t="n"/>
      <c r="D341" s="44" t="n"/>
      <c r="L341" s="45" t="n"/>
      <c r="O341" s="44" t="n"/>
    </row>
    <row r="342">
      <c r="A342" s="43" t="n"/>
      <c r="C342" s="44" t="n"/>
      <c r="D342" s="44" t="n"/>
      <c r="L342" s="45" t="n"/>
      <c r="O342" s="44" t="n"/>
    </row>
    <row r="343">
      <c r="A343" s="43" t="n"/>
      <c r="C343" s="44" t="n"/>
      <c r="D343" s="44" t="n"/>
      <c r="L343" s="45" t="n"/>
      <c r="O343" s="44" t="n"/>
    </row>
    <row r="344">
      <c r="A344" s="43" t="n"/>
      <c r="C344" s="44" t="n"/>
      <c r="D344" s="44" t="n"/>
      <c r="L344" s="45" t="n"/>
      <c r="O344" s="44" t="n"/>
    </row>
    <row r="345">
      <c r="A345" s="43" t="n"/>
      <c r="C345" s="44" t="n"/>
      <c r="D345" s="44" t="n"/>
      <c r="L345" s="45" t="n"/>
      <c r="O345" s="44" t="n"/>
    </row>
    <row r="346">
      <c r="A346" s="43" t="n"/>
      <c r="C346" s="44" t="n"/>
      <c r="D346" s="44" t="n"/>
      <c r="L346" s="45" t="n"/>
      <c r="O346" s="44" t="n"/>
    </row>
    <row r="347">
      <c r="A347" s="43" t="n"/>
      <c r="C347" s="44" t="n"/>
      <c r="D347" s="44" t="n"/>
      <c r="L347" s="45" t="n"/>
      <c r="O347" s="44" t="n"/>
    </row>
    <row r="348">
      <c r="A348" s="43" t="n"/>
      <c r="C348" s="44" t="n"/>
      <c r="D348" s="44" t="n"/>
      <c r="L348" s="45" t="n"/>
      <c r="O348" s="44" t="n"/>
    </row>
    <row r="349">
      <c r="A349" s="43" t="n"/>
      <c r="C349" s="44" t="n"/>
      <c r="D349" s="44" t="n"/>
      <c r="L349" s="45" t="n"/>
      <c r="O349" s="44" t="n"/>
    </row>
    <row r="350">
      <c r="A350" s="43" t="n"/>
      <c r="C350" s="44" t="n"/>
      <c r="D350" s="44" t="n"/>
      <c r="L350" s="45" t="n"/>
      <c r="O350" s="44" t="n"/>
    </row>
    <row r="351">
      <c r="A351" s="43" t="n"/>
      <c r="C351" s="44" t="n"/>
      <c r="D351" s="44" t="n"/>
      <c r="L351" s="45" t="n"/>
      <c r="O351" s="44" t="n"/>
    </row>
    <row r="352">
      <c r="A352" s="43" t="n"/>
      <c r="C352" s="44" t="n"/>
      <c r="D352" s="44" t="n"/>
      <c r="L352" s="45" t="n"/>
      <c r="O352" s="44" t="n"/>
    </row>
    <row r="353">
      <c r="A353" s="43" t="n"/>
      <c r="C353" s="44" t="n"/>
      <c r="D353" s="44" t="n"/>
      <c r="L353" s="45" t="n"/>
      <c r="O353" s="44" t="n"/>
    </row>
    <row r="354">
      <c r="A354" s="43" t="n"/>
      <c r="C354" s="44" t="n"/>
      <c r="D354" s="44" t="n"/>
      <c r="L354" s="45" t="n"/>
      <c r="O354" s="44" t="n"/>
    </row>
    <row r="355">
      <c r="A355" s="43" t="n"/>
      <c r="C355" s="44" t="n"/>
      <c r="D355" s="44" t="n"/>
      <c r="L355" s="45" t="n"/>
      <c r="O355" s="44" t="n"/>
    </row>
    <row r="356">
      <c r="A356" s="43" t="n"/>
      <c r="C356" s="44" t="n"/>
      <c r="D356" s="44" t="n"/>
      <c r="L356" s="45" t="n"/>
      <c r="O356" s="44" t="n"/>
    </row>
    <row r="357">
      <c r="A357" s="43" t="n"/>
      <c r="C357" s="44" t="n"/>
      <c r="D357" s="44" t="n"/>
      <c r="L357" s="45" t="n"/>
      <c r="O357" s="44" t="n"/>
    </row>
    <row r="358">
      <c r="A358" s="43" t="n"/>
      <c r="C358" s="44" t="n"/>
      <c r="D358" s="44" t="n"/>
      <c r="L358" s="45" t="n"/>
      <c r="O358" s="44" t="n"/>
    </row>
    <row r="359">
      <c r="A359" s="43" t="n"/>
      <c r="C359" s="44" t="n"/>
      <c r="D359" s="44" t="n"/>
      <c r="L359" s="45" t="n"/>
      <c r="O359" s="44" t="n"/>
    </row>
    <row r="360">
      <c r="A360" s="43" t="n"/>
      <c r="C360" s="44" t="n"/>
      <c r="D360" s="44" t="n"/>
      <c r="L360" s="45" t="n"/>
      <c r="O360" s="44" t="n"/>
    </row>
    <row r="361">
      <c r="A361" s="43" t="n"/>
      <c r="C361" s="44" t="n"/>
      <c r="D361" s="44" t="n"/>
      <c r="L361" s="45" t="n"/>
      <c r="O361" s="44" t="n"/>
    </row>
    <row r="362">
      <c r="A362" s="43" t="n"/>
      <c r="C362" s="44" t="n"/>
      <c r="D362" s="44" t="n"/>
      <c r="L362" s="45" t="n"/>
      <c r="O362" s="44" t="n"/>
    </row>
    <row r="363">
      <c r="A363" s="43" t="n"/>
      <c r="C363" s="44" t="n"/>
      <c r="D363" s="44" t="n"/>
      <c r="L363" s="45" t="n"/>
      <c r="O363" s="44" t="n"/>
    </row>
    <row r="364">
      <c r="A364" s="43" t="n"/>
      <c r="C364" s="44" t="n"/>
      <c r="D364" s="44" t="n"/>
      <c r="L364" s="45" t="n"/>
      <c r="O364" s="44" t="n"/>
    </row>
    <row r="365">
      <c r="A365" s="43" t="n"/>
      <c r="C365" s="44" t="n"/>
      <c r="D365" s="44" t="n"/>
      <c r="L365" s="45" t="n"/>
      <c r="O365" s="44" t="n"/>
    </row>
    <row r="366">
      <c r="A366" s="43" t="n"/>
      <c r="C366" s="44" t="n"/>
      <c r="D366" s="44" t="n"/>
      <c r="L366" s="45" t="n"/>
      <c r="O366" s="44" t="n"/>
    </row>
    <row r="367">
      <c r="A367" s="43" t="n"/>
      <c r="C367" s="44" t="n"/>
      <c r="D367" s="44" t="n"/>
      <c r="L367" s="45" t="n"/>
      <c r="O367" s="44" t="n"/>
    </row>
    <row r="368">
      <c r="A368" s="43" t="n"/>
      <c r="C368" s="44" t="n"/>
      <c r="D368" s="44" t="n"/>
      <c r="L368" s="45" t="n"/>
      <c r="O368" s="44" t="n"/>
    </row>
    <row r="369">
      <c r="A369" s="43" t="n"/>
      <c r="C369" s="44" t="n"/>
      <c r="D369" s="44" t="n"/>
      <c r="L369" s="45" t="n"/>
      <c r="O369" s="44" t="n"/>
    </row>
    <row r="370">
      <c r="A370" s="43" t="n"/>
      <c r="C370" s="44" t="n"/>
      <c r="D370" s="44" t="n"/>
      <c r="L370" s="45" t="n"/>
      <c r="O370" s="44" t="n"/>
    </row>
    <row r="371">
      <c r="A371" s="43" t="n"/>
      <c r="C371" s="44" t="n"/>
      <c r="D371" s="44" t="n"/>
      <c r="L371" s="45" t="n"/>
      <c r="O371" s="44" t="n"/>
    </row>
    <row r="372">
      <c r="A372" s="43" t="n"/>
      <c r="C372" s="44" t="n"/>
      <c r="D372" s="44" t="n"/>
      <c r="L372" s="45" t="n"/>
      <c r="O372" s="44" t="n"/>
    </row>
    <row r="373">
      <c r="A373" s="43" t="n"/>
      <c r="C373" s="44" t="n"/>
      <c r="D373" s="44" t="n"/>
      <c r="L373" s="45" t="n"/>
      <c r="O373" s="44" t="n"/>
    </row>
    <row r="374">
      <c r="A374" s="43" t="n"/>
      <c r="C374" s="44" t="n"/>
      <c r="D374" s="44" t="n"/>
      <c r="L374" s="45" t="n"/>
      <c r="O374" s="44" t="n"/>
    </row>
    <row r="375">
      <c r="A375" s="43" t="n"/>
      <c r="C375" s="44" t="n"/>
      <c r="D375" s="44" t="n"/>
      <c r="L375" s="45" t="n"/>
      <c r="O375" s="44" t="n"/>
    </row>
    <row r="376">
      <c r="A376" s="43" t="n"/>
      <c r="C376" s="44" t="n"/>
      <c r="D376" s="44" t="n"/>
      <c r="L376" s="45" t="n"/>
      <c r="O376" s="44" t="n"/>
    </row>
    <row r="377">
      <c r="A377" s="43" t="n"/>
      <c r="C377" s="44" t="n"/>
      <c r="D377" s="44" t="n"/>
      <c r="L377" s="45" t="n"/>
      <c r="O377" s="44" t="n"/>
    </row>
    <row r="378">
      <c r="A378" s="43" t="n"/>
      <c r="C378" s="44" t="n"/>
      <c r="D378" s="44" t="n"/>
      <c r="L378" s="45" t="n"/>
      <c r="O378" s="44" t="n"/>
    </row>
    <row r="379">
      <c r="A379" s="43" t="n"/>
      <c r="C379" s="44" t="n"/>
      <c r="D379" s="44" t="n"/>
      <c r="L379" s="45" t="n"/>
      <c r="O379" s="44" t="n"/>
    </row>
    <row r="380">
      <c r="A380" s="43" t="n"/>
      <c r="C380" s="44" t="n"/>
      <c r="D380" s="44" t="n"/>
      <c r="L380" s="45" t="n"/>
      <c r="O380" s="44" t="n"/>
    </row>
    <row r="381">
      <c r="A381" s="43" t="n"/>
      <c r="C381" s="44" t="n"/>
      <c r="D381" s="44" t="n"/>
      <c r="L381" s="45" t="n"/>
      <c r="O381" s="44" t="n"/>
    </row>
    <row r="382">
      <c r="A382" s="43" t="n"/>
      <c r="C382" s="44" t="n"/>
      <c r="D382" s="44" t="n"/>
      <c r="L382" s="45" t="n"/>
      <c r="O382" s="44" t="n"/>
    </row>
    <row r="383">
      <c r="A383" s="43" t="n"/>
      <c r="C383" s="44" t="n"/>
      <c r="D383" s="44" t="n"/>
      <c r="L383" s="45" t="n"/>
      <c r="O383" s="44" t="n"/>
    </row>
    <row r="384">
      <c r="A384" s="43" t="n"/>
      <c r="C384" s="44" t="n"/>
      <c r="D384" s="44" t="n"/>
      <c r="L384" s="45" t="n"/>
      <c r="O384" s="44" t="n"/>
    </row>
    <row r="385">
      <c r="A385" s="43" t="n"/>
      <c r="C385" s="44" t="n"/>
      <c r="D385" s="44" t="n"/>
      <c r="L385" s="45" t="n"/>
      <c r="O385" s="44" t="n"/>
    </row>
    <row r="386">
      <c r="A386" s="43" t="n"/>
      <c r="C386" s="44" t="n"/>
      <c r="D386" s="44" t="n"/>
      <c r="L386" s="45" t="n"/>
      <c r="O386" s="44" t="n"/>
    </row>
    <row r="387">
      <c r="A387" s="43" t="n"/>
      <c r="C387" s="44" t="n"/>
      <c r="D387" s="44" t="n"/>
      <c r="L387" s="45" t="n"/>
      <c r="O387" s="44" t="n"/>
    </row>
    <row r="388">
      <c r="A388" s="43" t="n"/>
      <c r="C388" s="44" t="n"/>
      <c r="D388" s="44" t="n"/>
      <c r="L388" s="45" t="n"/>
      <c r="O388" s="44" t="n"/>
    </row>
    <row r="389">
      <c r="A389" s="43" t="n"/>
      <c r="C389" s="44" t="n"/>
      <c r="D389" s="44" t="n"/>
      <c r="L389" s="45" t="n"/>
      <c r="O389" s="44" t="n"/>
    </row>
    <row r="390">
      <c r="A390" s="43" t="n"/>
      <c r="C390" s="44" t="n"/>
      <c r="D390" s="44" t="n"/>
      <c r="L390" s="45" t="n"/>
      <c r="O390" s="44" t="n"/>
    </row>
    <row r="391">
      <c r="A391" s="43" t="n"/>
      <c r="C391" s="44" t="n"/>
      <c r="D391" s="44" t="n"/>
      <c r="L391" s="45" t="n"/>
      <c r="O391" s="44" t="n"/>
    </row>
    <row r="392">
      <c r="A392" s="43" t="n"/>
      <c r="C392" s="44" t="n"/>
      <c r="D392" s="44" t="n"/>
      <c r="L392" s="45" t="n"/>
      <c r="O392" s="44" t="n"/>
    </row>
    <row r="393">
      <c r="A393" s="43" t="n"/>
      <c r="C393" s="44" t="n"/>
      <c r="D393" s="44" t="n"/>
      <c r="L393" s="45" t="n"/>
      <c r="O393" s="44" t="n"/>
    </row>
    <row r="394">
      <c r="A394" s="43" t="n"/>
      <c r="C394" s="44" t="n"/>
      <c r="D394" s="44" t="n"/>
      <c r="L394" s="45" t="n"/>
      <c r="O394" s="44" t="n"/>
    </row>
    <row r="395">
      <c r="A395" s="43" t="n"/>
      <c r="C395" s="44" t="n"/>
      <c r="D395" s="44" t="n"/>
      <c r="L395" s="45" t="n"/>
      <c r="O395" s="44" t="n"/>
    </row>
    <row r="396">
      <c r="A396" s="43" t="n"/>
      <c r="C396" s="44" t="n"/>
      <c r="D396" s="44" t="n"/>
      <c r="L396" s="45" t="n"/>
      <c r="O396" s="44" t="n"/>
    </row>
    <row r="397">
      <c r="A397" s="43" t="n"/>
      <c r="C397" s="44" t="n"/>
      <c r="D397" s="44" t="n"/>
      <c r="L397" s="45" t="n"/>
      <c r="O397" s="44" t="n"/>
    </row>
    <row r="398">
      <c r="A398" s="43" t="n"/>
      <c r="C398" s="44" t="n"/>
      <c r="D398" s="44" t="n"/>
      <c r="L398" s="45" t="n"/>
      <c r="O398" s="44" t="n"/>
    </row>
    <row r="399">
      <c r="A399" s="43" t="n"/>
      <c r="C399" s="44" t="n"/>
      <c r="D399" s="44" t="n"/>
      <c r="L399" s="45" t="n"/>
      <c r="O399" s="44" t="n"/>
    </row>
    <row r="400">
      <c r="A400" s="43" t="n"/>
      <c r="C400" s="44" t="n"/>
      <c r="D400" s="44" t="n"/>
      <c r="L400" s="45" t="n"/>
      <c r="O400" s="44" t="n"/>
    </row>
    <row r="401">
      <c r="A401" s="43" t="n"/>
      <c r="C401" s="44" t="n"/>
      <c r="D401" s="44" t="n"/>
      <c r="L401" s="45" t="n"/>
      <c r="O401" s="44" t="n"/>
    </row>
    <row r="402">
      <c r="A402" s="43" t="n"/>
      <c r="C402" s="44" t="n"/>
      <c r="D402" s="44" t="n"/>
      <c r="L402" s="45" t="n"/>
      <c r="O402" s="44" t="n"/>
    </row>
    <row r="403">
      <c r="A403" s="43" t="n"/>
      <c r="C403" s="44" t="n"/>
      <c r="D403" s="44" t="n"/>
      <c r="L403" s="45" t="n"/>
      <c r="O403" s="44" t="n"/>
    </row>
    <row r="404">
      <c r="A404" s="43" t="n"/>
      <c r="C404" s="44" t="n"/>
      <c r="D404" s="44" t="n"/>
      <c r="L404" s="45" t="n"/>
      <c r="O404" s="44" t="n"/>
    </row>
    <row r="405">
      <c r="A405" s="43" t="n"/>
      <c r="C405" s="44" t="n"/>
      <c r="D405" s="44" t="n"/>
      <c r="L405" s="45" t="n"/>
      <c r="O405" s="44" t="n"/>
    </row>
    <row r="406">
      <c r="A406" s="43" t="n"/>
      <c r="C406" s="44" t="n"/>
      <c r="D406" s="44" t="n"/>
      <c r="L406" s="45" t="n"/>
      <c r="O406" s="44" t="n"/>
    </row>
    <row r="407">
      <c r="A407" s="43" t="n"/>
      <c r="C407" s="44" t="n"/>
      <c r="D407" s="44" t="n"/>
      <c r="L407" s="45" t="n"/>
      <c r="O407" s="44" t="n"/>
    </row>
    <row r="408">
      <c r="A408" s="43" t="n"/>
      <c r="C408" s="44" t="n"/>
      <c r="D408" s="44" t="n"/>
      <c r="L408" s="45" t="n"/>
      <c r="O408" s="44" t="n"/>
    </row>
    <row r="409">
      <c r="A409" s="43" t="n"/>
      <c r="C409" s="44" t="n"/>
      <c r="D409" s="44" t="n"/>
      <c r="L409" s="45" t="n"/>
      <c r="O409" s="44" t="n"/>
    </row>
    <row r="410">
      <c r="A410" s="43" t="n"/>
      <c r="C410" s="44" t="n"/>
      <c r="D410" s="44" t="n"/>
      <c r="L410" s="45" t="n"/>
      <c r="O410" s="44" t="n"/>
    </row>
    <row r="411">
      <c r="A411" s="43" t="n"/>
      <c r="C411" s="44" t="n"/>
      <c r="D411" s="44" t="n"/>
      <c r="L411" s="45" t="n"/>
      <c r="O411" s="44" t="n"/>
    </row>
    <row r="412">
      <c r="A412" s="43" t="n"/>
      <c r="C412" s="44" t="n"/>
      <c r="D412" s="44" t="n"/>
      <c r="L412" s="45" t="n"/>
      <c r="O412" s="44" t="n"/>
    </row>
    <row r="413">
      <c r="A413" s="43" t="n"/>
      <c r="C413" s="44" t="n"/>
      <c r="D413" s="44" t="n"/>
      <c r="L413" s="45" t="n"/>
      <c r="O413" s="44" t="n"/>
    </row>
    <row r="414">
      <c r="A414" s="43" t="n"/>
      <c r="C414" s="44" t="n"/>
      <c r="D414" s="44" t="n"/>
      <c r="L414" s="45" t="n"/>
      <c r="O414" s="44" t="n"/>
    </row>
    <row r="415">
      <c r="A415" s="43" t="n"/>
      <c r="C415" s="44" t="n"/>
      <c r="D415" s="44" t="n"/>
      <c r="L415" s="45" t="n"/>
      <c r="O415" s="44" t="n"/>
    </row>
    <row r="416">
      <c r="A416" s="43" t="n"/>
      <c r="C416" s="44" t="n"/>
      <c r="D416" s="44" t="n"/>
      <c r="L416" s="45" t="n"/>
      <c r="O416" s="44" t="n"/>
    </row>
    <row r="417">
      <c r="A417" s="43" t="n"/>
      <c r="C417" s="44" t="n"/>
      <c r="D417" s="44" t="n"/>
      <c r="L417" s="45" t="n"/>
      <c r="O417" s="44" t="n"/>
    </row>
    <row r="418">
      <c r="A418" s="43" t="n"/>
      <c r="C418" s="44" t="n"/>
      <c r="D418" s="44" t="n"/>
      <c r="L418" s="45" t="n"/>
      <c r="O418" s="44" t="n"/>
    </row>
    <row r="419">
      <c r="A419" s="43" t="n"/>
      <c r="C419" s="44" t="n"/>
      <c r="D419" s="44" t="n"/>
      <c r="L419" s="45" t="n"/>
      <c r="O419" s="44" t="n"/>
    </row>
    <row r="420">
      <c r="A420" s="43" t="n"/>
      <c r="C420" s="44" t="n"/>
      <c r="D420" s="44" t="n"/>
      <c r="L420" s="45" t="n"/>
      <c r="O420" s="44" t="n"/>
    </row>
    <row r="421">
      <c r="A421" s="43" t="n"/>
      <c r="C421" s="44" t="n"/>
      <c r="D421" s="44" t="n"/>
      <c r="L421" s="45" t="n"/>
      <c r="O421" s="44" t="n"/>
    </row>
    <row r="422">
      <c r="A422" s="43" t="n"/>
      <c r="C422" s="44" t="n"/>
      <c r="D422" s="44" t="n"/>
      <c r="L422" s="45" t="n"/>
      <c r="O422" s="44" t="n"/>
    </row>
    <row r="423">
      <c r="A423" s="43" t="n"/>
      <c r="C423" s="44" t="n"/>
      <c r="D423" s="44" t="n"/>
      <c r="L423" s="45" t="n"/>
      <c r="O423" s="44" t="n"/>
    </row>
    <row r="424">
      <c r="A424" s="43" t="n"/>
      <c r="C424" s="44" t="n"/>
      <c r="D424" s="44" t="n"/>
      <c r="L424" s="45" t="n"/>
      <c r="O424" s="44" t="n"/>
    </row>
    <row r="425">
      <c r="A425" s="43" t="n"/>
      <c r="C425" s="44" t="n"/>
      <c r="D425" s="44" t="n"/>
      <c r="L425" s="45" t="n"/>
      <c r="O425" s="44" t="n"/>
    </row>
    <row r="426">
      <c r="A426" s="43" t="n"/>
      <c r="C426" s="44" t="n"/>
      <c r="D426" s="44" t="n"/>
      <c r="L426" s="45" t="n"/>
      <c r="O426" s="44" t="n"/>
    </row>
    <row r="427">
      <c r="A427" s="43" t="n"/>
      <c r="C427" s="44" t="n"/>
      <c r="D427" s="44" t="n"/>
      <c r="L427" s="45" t="n"/>
      <c r="O427" s="44" t="n"/>
    </row>
    <row r="428">
      <c r="A428" s="43" t="n"/>
      <c r="C428" s="44" t="n"/>
      <c r="D428" s="44" t="n"/>
      <c r="L428" s="45" t="n"/>
      <c r="O428" s="44" t="n"/>
    </row>
    <row r="429">
      <c r="A429" s="43" t="n"/>
      <c r="C429" s="44" t="n"/>
      <c r="D429" s="44" t="n"/>
      <c r="L429" s="45" t="n"/>
      <c r="O429" s="44" t="n"/>
    </row>
    <row r="430">
      <c r="A430" s="43" t="n"/>
      <c r="C430" s="44" t="n"/>
      <c r="D430" s="44" t="n"/>
      <c r="L430" s="45" t="n"/>
      <c r="O430" s="44" t="n"/>
    </row>
    <row r="431">
      <c r="A431" s="43" t="n"/>
      <c r="C431" s="44" t="n"/>
      <c r="D431" s="44" t="n"/>
      <c r="L431" s="45" t="n"/>
      <c r="O431" s="44" t="n"/>
    </row>
    <row r="432">
      <c r="A432" s="43" t="n"/>
      <c r="C432" s="44" t="n"/>
      <c r="D432" s="44" t="n"/>
      <c r="L432" s="45" t="n"/>
      <c r="O432" s="44" t="n"/>
    </row>
    <row r="433">
      <c r="A433" s="43" t="n"/>
      <c r="C433" s="44" t="n"/>
      <c r="D433" s="44" t="n"/>
      <c r="L433" s="45" t="n"/>
      <c r="O433" s="44" t="n"/>
    </row>
    <row r="434">
      <c r="A434" s="43" t="n"/>
      <c r="C434" s="44" t="n"/>
      <c r="D434" s="44" t="n"/>
      <c r="L434" s="45" t="n"/>
      <c r="O434" s="44" t="n"/>
    </row>
    <row r="435">
      <c r="A435" s="43" t="n"/>
      <c r="C435" s="44" t="n"/>
      <c r="D435" s="44" t="n"/>
      <c r="L435" s="45" t="n"/>
      <c r="O435" s="44" t="n"/>
    </row>
    <row r="436">
      <c r="A436" s="43" t="n"/>
      <c r="C436" s="44" t="n"/>
      <c r="D436" s="44" t="n"/>
      <c r="L436" s="45" t="n"/>
      <c r="O436" s="44" t="n"/>
    </row>
    <row r="437">
      <c r="A437" s="43" t="n"/>
      <c r="C437" s="44" t="n"/>
      <c r="D437" s="44" t="n"/>
      <c r="L437" s="45" t="n"/>
      <c r="O437" s="44" t="n"/>
    </row>
    <row r="438">
      <c r="A438" s="43" t="n"/>
      <c r="C438" s="44" t="n"/>
      <c r="D438" s="44" t="n"/>
      <c r="L438" s="45" t="n"/>
      <c r="O438" s="44" t="n"/>
    </row>
    <row r="439">
      <c r="A439" s="43" t="n"/>
      <c r="C439" s="44" t="n"/>
      <c r="D439" s="44" t="n"/>
      <c r="L439" s="45" t="n"/>
      <c r="O439" s="44" t="n"/>
    </row>
    <row r="440">
      <c r="A440" s="43" t="n"/>
      <c r="C440" s="44" t="n"/>
      <c r="D440" s="44" t="n"/>
      <c r="L440" s="45" t="n"/>
      <c r="O440" s="44" t="n"/>
    </row>
    <row r="441">
      <c r="A441" s="43" t="n"/>
      <c r="C441" s="44" t="n"/>
      <c r="D441" s="44" t="n"/>
      <c r="L441" s="45" t="n"/>
      <c r="O441" s="44" t="n"/>
    </row>
    <row r="442">
      <c r="A442" s="43" t="n"/>
      <c r="C442" s="44" t="n"/>
      <c r="D442" s="44" t="n"/>
      <c r="L442" s="45" t="n"/>
      <c r="O442" s="44" t="n"/>
    </row>
    <row r="443">
      <c r="A443" s="43" t="n"/>
      <c r="C443" s="44" t="n"/>
      <c r="D443" s="44" t="n"/>
      <c r="L443" s="45" t="n"/>
      <c r="O443" s="44" t="n"/>
    </row>
    <row r="444">
      <c r="A444" s="43" t="n"/>
      <c r="C444" s="44" t="n"/>
      <c r="D444" s="44" t="n"/>
      <c r="L444" s="45" t="n"/>
      <c r="O444" s="44" t="n"/>
    </row>
    <row r="445">
      <c r="A445" s="43" t="n"/>
      <c r="C445" s="44" t="n"/>
      <c r="D445" s="44" t="n"/>
      <c r="L445" s="45" t="n"/>
      <c r="O445" s="44" t="n"/>
    </row>
    <row r="446">
      <c r="A446" s="43" t="n"/>
      <c r="C446" s="44" t="n"/>
      <c r="D446" s="44" t="n"/>
      <c r="L446" s="45" t="n"/>
      <c r="O446" s="44" t="n"/>
    </row>
    <row r="447">
      <c r="A447" s="43" t="n"/>
      <c r="C447" s="44" t="n"/>
      <c r="D447" s="44" t="n"/>
      <c r="L447" s="45" t="n"/>
      <c r="O447" s="44" t="n"/>
    </row>
    <row r="448">
      <c r="A448" s="43" t="n"/>
      <c r="C448" s="44" t="n"/>
      <c r="D448" s="44" t="n"/>
      <c r="L448" s="45" t="n"/>
      <c r="O448" s="44" t="n"/>
    </row>
    <row r="449">
      <c r="A449" s="43" t="n"/>
      <c r="C449" s="44" t="n"/>
      <c r="D449" s="44" t="n"/>
      <c r="L449" s="45" t="n"/>
      <c r="O449" s="44" t="n"/>
    </row>
    <row r="450">
      <c r="A450" s="43" t="n"/>
      <c r="C450" s="44" t="n"/>
      <c r="D450" s="44" t="n"/>
      <c r="L450" s="45" t="n"/>
      <c r="O450" s="44" t="n"/>
    </row>
    <row r="451">
      <c r="A451" s="43" t="n"/>
      <c r="C451" s="44" t="n"/>
      <c r="D451" s="44" t="n"/>
      <c r="L451" s="45" t="n"/>
      <c r="O451" s="44" t="n"/>
    </row>
    <row r="452">
      <c r="A452" s="43" t="n"/>
      <c r="C452" s="44" t="n"/>
      <c r="D452" s="44" t="n"/>
      <c r="L452" s="45" t="n"/>
      <c r="O452" s="44" t="n"/>
    </row>
    <row r="453">
      <c r="A453" s="43" t="n"/>
      <c r="C453" s="44" t="n"/>
      <c r="D453" s="44" t="n"/>
      <c r="L453" s="45" t="n"/>
      <c r="O453" s="44" t="n"/>
    </row>
    <row r="454">
      <c r="A454" s="43" t="n"/>
      <c r="C454" s="44" t="n"/>
      <c r="D454" s="44" t="n"/>
      <c r="L454" s="45" t="n"/>
      <c r="O454" s="44" t="n"/>
    </row>
    <row r="455">
      <c r="A455" s="43" t="n"/>
      <c r="C455" s="44" t="n"/>
      <c r="D455" s="44" t="n"/>
      <c r="L455" s="45" t="n"/>
      <c r="O455" s="44" t="n"/>
    </row>
    <row r="456">
      <c r="A456" s="43" t="n"/>
      <c r="C456" s="44" t="n"/>
      <c r="D456" s="44" t="n"/>
      <c r="L456" s="45" t="n"/>
      <c r="O456" s="44" t="n"/>
    </row>
    <row r="457">
      <c r="A457" s="43" t="n"/>
      <c r="C457" s="44" t="n"/>
      <c r="D457" s="44" t="n"/>
      <c r="L457" s="45" t="n"/>
      <c r="O457" s="44" t="n"/>
    </row>
    <row r="458">
      <c r="A458" s="43" t="n"/>
      <c r="C458" s="44" t="n"/>
      <c r="D458" s="44" t="n"/>
      <c r="L458" s="45" t="n"/>
      <c r="O458" s="44" t="n"/>
    </row>
    <row r="459">
      <c r="A459" s="43" t="n"/>
      <c r="C459" s="44" t="n"/>
      <c r="D459" s="44" t="n"/>
      <c r="L459" s="45" t="n"/>
      <c r="O459" s="44" t="n"/>
    </row>
    <row r="460">
      <c r="A460" s="43" t="n"/>
      <c r="C460" s="44" t="n"/>
      <c r="D460" s="44" t="n"/>
      <c r="L460" s="45" t="n"/>
      <c r="O460" s="44" t="n"/>
    </row>
    <row r="461">
      <c r="A461" s="43" t="n"/>
      <c r="C461" s="44" t="n"/>
      <c r="D461" s="44" t="n"/>
      <c r="L461" s="45" t="n"/>
      <c r="O461" s="44" t="n"/>
    </row>
    <row r="462">
      <c r="A462" s="43" t="n"/>
      <c r="C462" s="44" t="n"/>
      <c r="D462" s="44" t="n"/>
      <c r="L462" s="45" t="n"/>
      <c r="O462" s="44" t="n"/>
    </row>
    <row r="463">
      <c r="A463" s="43" t="n"/>
      <c r="C463" s="44" t="n"/>
      <c r="D463" s="44" t="n"/>
      <c r="L463" s="45" t="n"/>
      <c r="O463" s="44" t="n"/>
    </row>
    <row r="464">
      <c r="A464" s="43" t="n"/>
      <c r="C464" s="44" t="n"/>
      <c r="D464" s="44" t="n"/>
      <c r="L464" s="45" t="n"/>
      <c r="O464" s="44" t="n"/>
    </row>
    <row r="465">
      <c r="A465" s="43" t="n"/>
      <c r="C465" s="44" t="n"/>
      <c r="D465" s="44" t="n"/>
      <c r="L465" s="45" t="n"/>
      <c r="O465" s="44" t="n"/>
    </row>
    <row r="466">
      <c r="A466" s="43" t="n"/>
      <c r="C466" s="44" t="n"/>
      <c r="D466" s="44" t="n"/>
      <c r="L466" s="45" t="n"/>
      <c r="O466" s="44" t="n"/>
    </row>
    <row r="467">
      <c r="A467" s="43" t="n"/>
      <c r="C467" s="44" t="n"/>
      <c r="D467" s="44" t="n"/>
      <c r="L467" s="45" t="n"/>
      <c r="O467" s="44" t="n"/>
    </row>
    <row r="468">
      <c r="A468" s="43" t="n"/>
      <c r="C468" s="44" t="n"/>
      <c r="D468" s="44" t="n"/>
      <c r="L468" s="45" t="n"/>
      <c r="O468" s="44" t="n"/>
    </row>
    <row r="469">
      <c r="A469" s="43" t="n"/>
      <c r="C469" s="44" t="n"/>
      <c r="D469" s="44" t="n"/>
      <c r="L469" s="45" t="n"/>
      <c r="O469" s="44" t="n"/>
    </row>
    <row r="470">
      <c r="A470" s="43" t="n"/>
      <c r="C470" s="44" t="n"/>
      <c r="D470" s="44" t="n"/>
      <c r="L470" s="45" t="n"/>
      <c r="O470" s="44" t="n"/>
    </row>
    <row r="471">
      <c r="A471" s="43" t="n"/>
      <c r="C471" s="44" t="n"/>
      <c r="D471" s="44" t="n"/>
      <c r="L471" s="45" t="n"/>
      <c r="O471" s="44" t="n"/>
    </row>
    <row r="472">
      <c r="A472" s="43" t="n"/>
      <c r="C472" s="44" t="n"/>
      <c r="D472" s="44" t="n"/>
      <c r="L472" s="45" t="n"/>
      <c r="O472" s="44" t="n"/>
    </row>
    <row r="473">
      <c r="A473" s="43" t="n"/>
      <c r="C473" s="44" t="n"/>
      <c r="D473" s="44" t="n"/>
      <c r="L473" s="45" t="n"/>
      <c r="O473" s="44" t="n"/>
    </row>
    <row r="474">
      <c r="A474" s="43" t="n"/>
      <c r="C474" s="44" t="n"/>
      <c r="D474" s="44" t="n"/>
      <c r="L474" s="45" t="n"/>
      <c r="O474" s="44" t="n"/>
    </row>
    <row r="475">
      <c r="A475" s="43" t="n"/>
      <c r="C475" s="44" t="n"/>
      <c r="D475" s="44" t="n"/>
      <c r="L475" s="45" t="n"/>
      <c r="O475" s="44" t="n"/>
    </row>
    <row r="476">
      <c r="A476" s="43" t="n"/>
      <c r="C476" s="44" t="n"/>
      <c r="D476" s="44" t="n"/>
      <c r="L476" s="45" t="n"/>
      <c r="O476" s="44" t="n"/>
    </row>
    <row r="477">
      <c r="A477" s="43" t="n"/>
      <c r="C477" s="44" t="n"/>
      <c r="D477" s="44" t="n"/>
      <c r="L477" s="45" t="n"/>
      <c r="O477" s="44" t="n"/>
    </row>
    <row r="478">
      <c r="A478" s="43" t="n"/>
      <c r="C478" s="44" t="n"/>
      <c r="D478" s="44" t="n"/>
      <c r="L478" s="45" t="n"/>
      <c r="O478" s="44" t="n"/>
    </row>
    <row r="479">
      <c r="A479" s="43" t="n"/>
      <c r="C479" s="44" t="n"/>
      <c r="D479" s="44" t="n"/>
      <c r="L479" s="45" t="n"/>
      <c r="O479" s="44" t="n"/>
    </row>
    <row r="480">
      <c r="A480" s="43" t="n"/>
      <c r="C480" s="44" t="n"/>
      <c r="D480" s="44" t="n"/>
      <c r="L480" s="45" t="n"/>
      <c r="O480" s="44" t="n"/>
    </row>
    <row r="481">
      <c r="A481" s="43" t="n"/>
      <c r="C481" s="44" t="n"/>
      <c r="D481" s="44" t="n"/>
      <c r="L481" s="45" t="n"/>
      <c r="O481" s="44" t="n"/>
    </row>
    <row r="482">
      <c r="A482" s="43" t="n"/>
      <c r="C482" s="44" t="n"/>
      <c r="D482" s="44" t="n"/>
      <c r="L482" s="45" t="n"/>
      <c r="O482" s="44" t="n"/>
    </row>
    <row r="483">
      <c r="A483" s="43" t="n"/>
      <c r="C483" s="44" t="n"/>
      <c r="D483" s="44" t="n"/>
      <c r="L483" s="45" t="n"/>
      <c r="O483" s="44" t="n"/>
    </row>
    <row r="484">
      <c r="A484" s="43" t="n"/>
      <c r="C484" s="44" t="n"/>
      <c r="D484" s="44" t="n"/>
      <c r="L484" s="45" t="n"/>
      <c r="O484" s="44" t="n"/>
    </row>
    <row r="485">
      <c r="A485" s="43" t="n"/>
      <c r="C485" s="44" t="n"/>
      <c r="D485" s="44" t="n"/>
      <c r="L485" s="45" t="n"/>
      <c r="O485" s="44" t="n"/>
    </row>
    <row r="486">
      <c r="A486" s="43" t="n"/>
      <c r="C486" s="44" t="n"/>
      <c r="D486" s="44" t="n"/>
      <c r="L486" s="45" t="n"/>
      <c r="O486" s="44" t="n"/>
    </row>
    <row r="487">
      <c r="A487" s="43" t="n"/>
      <c r="C487" s="44" t="n"/>
      <c r="D487" s="44" t="n"/>
      <c r="L487" s="45" t="n"/>
      <c r="O487" s="44" t="n"/>
    </row>
    <row r="488">
      <c r="A488" s="43" t="n"/>
      <c r="C488" s="44" t="n"/>
      <c r="D488" s="44" t="n"/>
      <c r="L488" s="45" t="n"/>
      <c r="O488" s="44" t="n"/>
    </row>
    <row r="489">
      <c r="A489" s="43" t="n"/>
      <c r="C489" s="44" t="n"/>
      <c r="D489" s="44" t="n"/>
      <c r="L489" s="45" t="n"/>
      <c r="O489" s="44" t="n"/>
    </row>
    <row r="490">
      <c r="A490" s="43" t="n"/>
      <c r="C490" s="44" t="n"/>
      <c r="D490" s="44" t="n"/>
      <c r="L490" s="45" t="n"/>
      <c r="O490" s="44" t="n"/>
    </row>
    <row r="491">
      <c r="A491" s="43" t="n"/>
      <c r="C491" s="44" t="n"/>
      <c r="D491" s="44" t="n"/>
      <c r="L491" s="45" t="n"/>
      <c r="O491" s="44" t="n"/>
    </row>
    <row r="492">
      <c r="A492" s="43" t="n"/>
      <c r="C492" s="44" t="n"/>
      <c r="D492" s="44" t="n"/>
      <c r="L492" s="45" t="n"/>
      <c r="O492" s="44" t="n"/>
    </row>
    <row r="493">
      <c r="A493" s="43" t="n"/>
      <c r="C493" s="44" t="n"/>
      <c r="D493" s="44" t="n"/>
      <c r="L493" s="45" t="n"/>
      <c r="O493" s="44" t="n"/>
    </row>
    <row r="494">
      <c r="A494" s="43" t="n"/>
      <c r="C494" s="44" t="n"/>
      <c r="D494" s="44" t="n"/>
      <c r="L494" s="45" t="n"/>
      <c r="O494" s="44" t="n"/>
    </row>
    <row r="495">
      <c r="A495" s="43" t="n"/>
      <c r="C495" s="44" t="n"/>
      <c r="D495" s="44" t="n"/>
      <c r="L495" s="45" t="n"/>
      <c r="O495" s="44" t="n"/>
    </row>
    <row r="496">
      <c r="A496" s="43" t="n"/>
      <c r="C496" s="44" t="n"/>
      <c r="D496" s="44" t="n"/>
      <c r="L496" s="45" t="n"/>
      <c r="O496" s="44" t="n"/>
    </row>
    <row r="497">
      <c r="A497" s="43" t="n"/>
      <c r="C497" s="44" t="n"/>
      <c r="D497" s="44" t="n"/>
      <c r="L497" s="45" t="n"/>
      <c r="O497" s="44" t="n"/>
    </row>
    <row r="498">
      <c r="A498" s="43" t="n"/>
      <c r="C498" s="44" t="n"/>
      <c r="D498" s="44" t="n"/>
      <c r="L498" s="45" t="n"/>
      <c r="O498" s="44" t="n"/>
    </row>
    <row r="499">
      <c r="A499" s="43" t="n"/>
      <c r="C499" s="44" t="n"/>
      <c r="D499" s="44" t="n"/>
      <c r="L499" s="45" t="n"/>
      <c r="O499" s="44" t="n"/>
    </row>
    <row r="500">
      <c r="A500" s="43" t="n"/>
      <c r="C500" s="44" t="n"/>
      <c r="D500" s="44" t="n"/>
      <c r="L500" s="45" t="n"/>
      <c r="O500" s="44" t="n"/>
    </row>
    <row r="501">
      <c r="A501" s="43" t="n"/>
      <c r="C501" s="44" t="n"/>
      <c r="D501" s="44" t="n"/>
      <c r="L501" s="45" t="n"/>
      <c r="O501" s="44" t="n"/>
    </row>
    <row r="502">
      <c r="A502" s="43" t="n"/>
      <c r="C502" s="44" t="n"/>
      <c r="D502" s="44" t="n"/>
      <c r="L502" s="45" t="n"/>
      <c r="O502" s="44" t="n"/>
    </row>
    <row r="503">
      <c r="A503" s="43" t="n"/>
      <c r="C503" s="44" t="n"/>
      <c r="D503" s="44" t="n"/>
      <c r="L503" s="45" t="n"/>
      <c r="O503" s="44" t="n"/>
    </row>
    <row r="504">
      <c r="A504" s="43" t="n"/>
      <c r="C504" s="44" t="n"/>
      <c r="D504" s="44" t="n"/>
      <c r="L504" s="45" t="n"/>
      <c r="O504" s="44" t="n"/>
    </row>
  </sheetData>
  <autoFilter ref="A3:X504"/>
  <conditionalFormatting sqref="F2">
    <cfRule type="cellIs" priority="1" operator="lessThan" dxfId="0">
      <formula>0</formula>
    </cfRule>
    <cfRule type="cellIs" priority="2" operator="greaterThanOrEqual" dxfId="1">
      <formula>0</formula>
    </cfRule>
  </conditionalFormatting>
  <conditionalFormatting sqref="H2">
    <cfRule type="cellIs" priority="3" operator="lessThan" dxfId="0">
      <formula>0.9</formula>
    </cfRule>
    <cfRule type="cellIs" priority="4" operator="greaterThanOrEqual" dxfId="1">
      <formula>1</formula>
    </cfRule>
  </conditionalFormatting>
  <conditionalFormatting sqref="R2">
    <cfRule type="cellIs" priority="5" operator="lessThan" dxfId="0">
      <formula>P2</formula>
    </cfRule>
  </conditionalFormatting>
  <dataValidations count="10">
    <dataValidation sqref="B5:B504" showDropDown="0" showInputMessage="0" showErrorMessage="0" allowBlank="1" type="list">
      <formula1>'選択肢マスター'!$A$2:$A$3</formula1>
    </dataValidation>
    <dataValidation sqref="E5:E504" showDropDown="0" showInputMessage="0" showErrorMessage="0" allowBlank="1" type="list">
      <formula1>'選択肢マスター'!$B$2:$B$23</formula1>
    </dataValidation>
    <dataValidation sqref="M5:M504" showDropDown="0" showInputMessage="0" showErrorMessage="0" allowBlank="1" type="list">
      <formula1>'選択肢マスター'!$C$2:$C$16</formula1>
    </dataValidation>
    <dataValidation sqref="N5:N504" showDropDown="0" showInputMessage="0" showErrorMessage="0" allowBlank="1" type="list">
      <formula1>'選択肢マスター'!$D$2:$D$7</formula1>
    </dataValidation>
    <dataValidation sqref="P5:P504" showDropDown="0" showInputMessage="0" showErrorMessage="0" allowBlank="1" type="list">
      <formula1>'選択肢マスター'!$E$2:$E$5</formula1>
    </dataValidation>
    <dataValidation sqref="Q5:Q504" showDropDown="0" showInputMessage="0" showErrorMessage="0" allowBlank="1" type="list">
      <formula1>'選択肢マスター'!$F$2:$F$5</formula1>
    </dataValidation>
    <dataValidation sqref="S5:S504" showDropDown="0" showInputMessage="0" showErrorMessage="0" allowBlank="1" type="list">
      <formula1>'選択肢マスター'!$G$2:$G$8</formula1>
    </dataValidation>
    <dataValidation sqref="T5:T504" showDropDown="0" showInputMessage="0" showErrorMessage="0" allowBlank="1" type="list">
      <formula1>'選択肢マスター'!$J$2:$J$3</formula1>
    </dataValidation>
    <dataValidation sqref="U5:U504" showDropDown="0" showInputMessage="0" showErrorMessage="0" allowBlank="1" type="list">
      <formula1>'選択肢マスター'!$H$2:$H$5</formula1>
    </dataValidation>
    <dataValidation sqref="V5:V504" showDropDown="0" showInputMessage="0" showErrorMessage="0" allowBlank="1" type="list">
      <formula1>'選択肢マスター'!$I$2:$I$5</formula1>
    </dataValidation>
  </dataValidations>
  <pageMargins left="0.75" right="0.75" top="1" bottom="1" header="0.5" footer="0.5"/>
</worksheet>
</file>

<file path=xl/worksheets/sheet13.xml><?xml version="1.0" encoding="utf-8"?>
<worksheet xmlns="http://schemas.openxmlformats.org/spreadsheetml/2006/main">
  <sheetPr>
    <tabColor rgb="002E75B6"/>
    <outlinePr summaryBelow="1" summaryRight="1"/>
    <pageSetUpPr/>
  </sheetPr>
  <dimension ref="A1:X504"/>
  <sheetViews>
    <sheetView workbookViewId="0">
      <pane ySplit="4" topLeftCell="A5" activePane="bottomLeft" state="frozen"/>
      <selection pane="bottomLeft" activeCell="A1" sqref="A1"/>
    </sheetView>
  </sheetViews>
  <sheetFormatPr baseColWidth="8" defaultRowHeight="15"/>
  <cols>
    <col width="9" customWidth="1" min="1" max="1"/>
    <col width="11" customWidth="1" min="2" max="2"/>
    <col width="12" customWidth="1" min="3" max="3"/>
    <col width="12" customWidth="1" min="4" max="4"/>
    <col width="17" customWidth="1" min="5" max="5"/>
    <col width="20" customWidth="1" min="6" max="6"/>
    <col width="14" customWidth="1" min="7" max="7"/>
    <col width="16" customWidth="1" min="8" max="8"/>
    <col width="14" customWidth="1" min="9" max="9"/>
    <col width="11" customWidth="1" min="10" max="10"/>
    <col width="30" customWidth="1" min="11" max="11"/>
    <col width="12" customWidth="1" min="12" max="12"/>
    <col width="20" customWidth="1" min="13" max="13"/>
    <col width="12" customWidth="1" min="14" max="14"/>
    <col width="14" customWidth="1" min="15" max="15"/>
    <col width="12" customWidth="1" min="16" max="16"/>
    <col width="12" customWidth="1" min="17" max="17"/>
    <col width="34" customWidth="1" min="18" max="18"/>
    <col width="14" customWidth="1" min="19" max="19"/>
    <col width="11" customWidth="1" min="20" max="20"/>
    <col width="11" customWidth="1" min="21" max="21"/>
    <col width="12" customWidth="1" min="22" max="22"/>
    <col width="24" customWidth="1" min="23" max="23"/>
    <col width="10" customWidth="1" min="24" max="24"/>
  </cols>
  <sheetData>
    <row r="1" ht="18" customHeight="1">
      <c r="A1" s="8" t="inlineStr">
        <is>
          <t>◆ 11月の売上・顧客。入力は 5 行目から。2行目＝今月の目標、4行目＝自動集計（数式・触らない）</t>
        </is>
      </c>
    </row>
    <row r="2" ht="20" customHeight="1">
      <c r="A2" s="24" t="inlineStr">
        <is>
          <t>今月目標(売上)</t>
        </is>
      </c>
      <c r="B2" s="25" t="n">
        <v>2480000</v>
      </c>
      <c r="C2" s="24" t="inlineStr">
        <is>
          <t>売上 現在</t>
        </is>
      </c>
      <c r="D2" s="25">
        <f>$L$4</f>
        <v/>
      </c>
      <c r="E2" s="24" t="inlineStr">
        <is>
          <t>過不足</t>
        </is>
      </c>
      <c r="F2" s="25">
        <f>D2-B2</f>
        <v/>
      </c>
      <c r="G2" s="24" t="inlineStr">
        <is>
          <t>達成率</t>
        </is>
      </c>
      <c r="H2" s="26">
        <f>IFERROR(D2/B2,0)</f>
        <v/>
      </c>
      <c r="I2" s="24" t="inlineStr">
        <is>
          <t>必要件数</t>
        </is>
      </c>
      <c r="J2" s="27" t="n">
        <v>64</v>
      </c>
      <c r="K2" s="24" t="inlineStr">
        <is>
          <t>件数 現在</t>
        </is>
      </c>
      <c r="L2" s="27">
        <f>$E$4</f>
        <v/>
      </c>
      <c r="M2" s="24" t="inlineStr">
        <is>
          <t>残り件数</t>
        </is>
      </c>
      <c r="N2" s="27">
        <f>J2-L2</f>
        <v/>
      </c>
      <c r="O2" s="24" t="inlineStr">
        <is>
          <t>④ネット新規 目標</t>
        </is>
      </c>
      <c r="P2" s="27" t="n">
        <v>18</v>
      </c>
      <c r="Q2" s="24" t="inlineStr">
        <is>
          <t>④ 現在</t>
        </is>
      </c>
      <c r="R2" s="27">
        <f>$R$4</f>
        <v/>
      </c>
    </row>
    <row r="3" ht="30" customHeight="1">
      <c r="A3" s="3" t="inlineStr">
        <is>
          <t>通し番号</t>
        </is>
      </c>
      <c r="B3" s="3" t="inlineStr">
        <is>
          <t>売上種類</t>
        </is>
      </c>
      <c r="C3" s="3" t="inlineStr">
        <is>
          <t>受注日</t>
        </is>
      </c>
      <c r="D3" s="3" t="inlineStr">
        <is>
          <t>施工日付</t>
        </is>
      </c>
      <c r="E3" s="3" t="inlineStr">
        <is>
          <t>流入経路</t>
        </is>
      </c>
      <c r="F3" s="3" t="inlineStr">
        <is>
          <t>流入元の識別子(?src=)</t>
        </is>
      </c>
      <c r="G3" s="3" t="inlineStr">
        <is>
          <t>紹介者（顧客ID）</t>
        </is>
      </c>
      <c r="H3" s="3" t="inlineStr">
        <is>
          <t>氏名</t>
        </is>
      </c>
      <c r="I3" s="3" t="inlineStr">
        <is>
          <t>TEL(-無し)</t>
        </is>
      </c>
      <c r="J3" s="3" t="inlineStr">
        <is>
          <t>郵便番号(-無し)</t>
        </is>
      </c>
      <c r="K3" s="3" t="inlineStr">
        <is>
          <t>住所</t>
        </is>
      </c>
      <c r="L3" s="3" t="inlineStr">
        <is>
          <t>売上（税込）</t>
        </is>
      </c>
      <c r="M3" s="3" t="inlineStr">
        <is>
          <t>実施メニュー</t>
        </is>
      </c>
      <c r="N3" s="3" t="inlineStr">
        <is>
          <t>施工担当</t>
        </is>
      </c>
      <c r="O3" s="3" t="inlineStr">
        <is>
          <t>フォローコール日</t>
        </is>
      </c>
      <c r="P3" s="3" t="inlineStr">
        <is>
          <t>早期予約提案</t>
        </is>
      </c>
      <c r="Q3" s="3" t="inlineStr">
        <is>
          <t>フォローコール</t>
        </is>
      </c>
      <c r="R3" s="3" t="inlineStr">
        <is>
          <t>備考(お客様の声)</t>
        </is>
      </c>
      <c r="S3" s="3" t="inlineStr">
        <is>
          <t>入金経路</t>
        </is>
      </c>
      <c r="T3" s="3" t="inlineStr">
        <is>
          <t>入金額照合</t>
        </is>
      </c>
      <c r="U3" s="3" t="inlineStr">
        <is>
          <t>ＯＨ打診</t>
        </is>
      </c>
      <c r="V3" s="3" t="inlineStr">
        <is>
          <t>本舗ロイ区分</t>
        </is>
      </c>
      <c r="W3" s="3" t="inlineStr">
        <is>
          <t>お客様周辺/環境情報</t>
        </is>
      </c>
      <c r="X3" s="3" t="inlineStr">
        <is>
          <t>カウント用</t>
        </is>
      </c>
    </row>
    <row r="4" ht="20" customHeight="1">
      <c r="A4" s="28">
        <f>"▼自動集計"</f>
        <v/>
      </c>
      <c r="B4" s="29">
        <f>COUNTIFS($B$5:$B$504,"One Hitter")</f>
        <v/>
      </c>
      <c r="C4" s="30">
        <f>IFERROR(SUMPRODUCT(($C$5:$C$504&lt;&gt;"")*($D$5:$D$504&lt;&gt;"")*($D$5:$D$504-$C$5:$C$504))/SUMPRODUCT(($C$5:$C$504&lt;&gt;"")*($D$5:$D$504&lt;&gt;"")),0)</f>
        <v/>
      </c>
      <c r="D4" s="31">
        <f>COUNTIFS($B$5:$B$504,"本舗")</f>
        <v/>
      </c>
      <c r="E4" s="32">
        <f>COUNTA($D$5:$D$504)</f>
        <v/>
      </c>
      <c r="F4" s="33">
        <f>IFERROR(SUM($L$5:$L$504)/COUNTA($D$5:$D$504),0)</f>
        <v/>
      </c>
      <c r="G4" s="34">
        <f>COUNTA($G$5:$G$504)</f>
        <v/>
      </c>
      <c r="H4" s="35">
        <f>IFERROR(SUMIFS($L$5:$L$504,$B$5:$B$504,"One Hitter")/COUNTIFS($B$5:$B$504,"One Hitter"),0)</f>
        <v/>
      </c>
      <c r="I4" s="36">
        <f>IFERROR(SUMIFS($L$5:$L$504,$B$5:$B$504,"本舗")/COUNTIFS($B$5:$B$504,"本舗"),0)</f>
        <v/>
      </c>
      <c r="J4" s="37">
        <f>SUMIFS($L$5:$L$504,$B$5:$B$504,"One Hitter")</f>
        <v/>
      </c>
      <c r="K4" s="38">
        <f>SUMIFS($L$5:$L$504,$B$5:$B$504,"本舗")</f>
        <v/>
      </c>
      <c r="L4" s="39">
        <f>SUM($L$5:$L$504)</f>
        <v/>
      </c>
      <c r="M4" s="40" t="n"/>
      <c r="N4" s="40" t="n"/>
      <c r="O4" s="40" t="n"/>
      <c r="P4" s="40" t="n"/>
      <c r="Q4" s="40" t="n"/>
      <c r="R4" s="41">
        <f>COUNTIFS($E$5:$E$504,"HP")+COUNTIFS($E$5:$E$504,"LP")+COUNTIFS($E$5:$E$504,"SNS")+COUNTIFS($E$5:$E$504,"GBP(地図検索)")+COUNTIFS($E$5:$E$504,"公式LINE")+COUNTIFS($E$5:$E$504,"アフィリエイト")+COUNTIFS($E$5:$E$504,"LINE/SMS再販")+COUNTIFS($E$5:$E$504,"SMS")+COUNTIFS($E$5:$E$504,"広告")</f>
        <v/>
      </c>
      <c r="S4" s="42">
        <f>SUMIFS($L$5:$L$504,$E$5:$E$504,"HP")+SUMIFS($L$5:$L$504,$E$5:$E$504,"LP")+SUMIFS($L$5:$L$504,$E$5:$E$504,"SNS")+SUMIFS($L$5:$L$504,$E$5:$E$504,"GBP(地図検索)")+SUMIFS($L$5:$L$504,$E$5:$E$504,"公式LINE")+SUMIFS($L$5:$L$504,$E$5:$E$504,"アフィリエイト")+SUMIFS($L$5:$L$504,$E$5:$E$504,"LINE/SMS再販")+SUMIFS($L$5:$L$504,$E$5:$E$504,"SMS")+SUMIFS($L$5:$L$504,$E$5:$E$504,"広告")</f>
        <v/>
      </c>
      <c r="T4" s="40" t="n"/>
      <c r="U4" s="40" t="n"/>
      <c r="V4" s="40" t="n"/>
      <c r="W4" s="40" t="n"/>
      <c r="X4" s="40" t="n"/>
    </row>
    <row r="5">
      <c r="A5" s="43" t="n"/>
      <c r="C5" s="44" t="n"/>
      <c r="D5" s="44" t="n"/>
      <c r="L5" s="45" t="n"/>
      <c r="O5" s="44" t="n"/>
    </row>
    <row r="6">
      <c r="A6" s="43" t="n"/>
      <c r="C6" s="44" t="n"/>
      <c r="D6" s="44" t="n"/>
      <c r="L6" s="45" t="n"/>
      <c r="O6" s="44" t="n"/>
    </row>
    <row r="7">
      <c r="A7" s="43" t="n"/>
      <c r="C7" s="44" t="n"/>
      <c r="D7" s="44" t="n"/>
      <c r="L7" s="45" t="n"/>
      <c r="O7" s="44" t="n"/>
    </row>
    <row r="8">
      <c r="A8" s="43" t="n"/>
      <c r="C8" s="44" t="n"/>
      <c r="D8" s="44" t="n"/>
      <c r="L8" s="45" t="n"/>
      <c r="O8" s="44" t="n"/>
    </row>
    <row r="9">
      <c r="A9" s="43" t="n"/>
      <c r="C9" s="44" t="n"/>
      <c r="D9" s="44" t="n"/>
      <c r="L9" s="45" t="n"/>
      <c r="O9" s="44" t="n"/>
    </row>
    <row r="10">
      <c r="A10" s="43" t="n"/>
      <c r="C10" s="44" t="n"/>
      <c r="D10" s="44" t="n"/>
      <c r="L10" s="45" t="n"/>
      <c r="O10" s="44" t="n"/>
    </row>
    <row r="11">
      <c r="A11" s="43" t="n"/>
      <c r="C11" s="44" t="n"/>
      <c r="D11" s="44" t="n"/>
      <c r="L11" s="45" t="n"/>
      <c r="O11" s="44" t="n"/>
    </row>
    <row r="12">
      <c r="A12" s="43" t="n"/>
      <c r="C12" s="44" t="n"/>
      <c r="D12" s="44" t="n"/>
      <c r="L12" s="45" t="n"/>
      <c r="O12" s="44" t="n"/>
    </row>
    <row r="13">
      <c r="A13" s="43" t="n"/>
      <c r="C13" s="44" t="n"/>
      <c r="D13" s="44" t="n"/>
      <c r="L13" s="45" t="n"/>
      <c r="O13" s="44" t="n"/>
    </row>
    <row r="14">
      <c r="A14" s="43" t="n"/>
      <c r="C14" s="44" t="n"/>
      <c r="D14" s="44" t="n"/>
      <c r="L14" s="45" t="n"/>
      <c r="O14" s="44" t="n"/>
    </row>
    <row r="15">
      <c r="A15" s="43" t="n"/>
      <c r="C15" s="44" t="n"/>
      <c r="D15" s="44" t="n"/>
      <c r="L15" s="45" t="n"/>
      <c r="O15" s="44" t="n"/>
    </row>
    <row r="16">
      <c r="A16" s="43" t="n"/>
      <c r="C16" s="44" t="n"/>
      <c r="D16" s="44" t="n"/>
      <c r="L16" s="45" t="n"/>
      <c r="O16" s="44" t="n"/>
    </row>
    <row r="17">
      <c r="A17" s="43" t="n"/>
      <c r="C17" s="44" t="n"/>
      <c r="D17" s="44" t="n"/>
      <c r="L17" s="45" t="n"/>
      <c r="O17" s="44" t="n"/>
    </row>
    <row r="18">
      <c r="A18" s="43" t="n"/>
      <c r="C18" s="44" t="n"/>
      <c r="D18" s="44" t="n"/>
      <c r="L18" s="45" t="n"/>
      <c r="O18" s="44" t="n"/>
    </row>
    <row r="19">
      <c r="A19" s="43" t="n"/>
      <c r="C19" s="44" t="n"/>
      <c r="D19" s="44" t="n"/>
      <c r="L19" s="45" t="n"/>
      <c r="O19" s="44" t="n"/>
    </row>
    <row r="20">
      <c r="A20" s="43" t="n"/>
      <c r="C20" s="44" t="n"/>
      <c r="D20" s="44" t="n"/>
      <c r="L20" s="45" t="n"/>
      <c r="O20" s="44" t="n"/>
    </row>
    <row r="21">
      <c r="A21" s="43" t="n"/>
      <c r="C21" s="44" t="n"/>
      <c r="D21" s="44" t="n"/>
      <c r="L21" s="45" t="n"/>
      <c r="O21" s="44" t="n"/>
    </row>
    <row r="22">
      <c r="A22" s="43" t="n"/>
      <c r="C22" s="44" t="n"/>
      <c r="D22" s="44" t="n"/>
      <c r="L22" s="45" t="n"/>
      <c r="O22" s="44" t="n"/>
    </row>
    <row r="23">
      <c r="A23" s="43" t="n"/>
      <c r="C23" s="44" t="n"/>
      <c r="D23" s="44" t="n"/>
      <c r="L23" s="45" t="n"/>
      <c r="O23" s="44" t="n"/>
    </row>
    <row r="24">
      <c r="A24" s="43" t="n"/>
      <c r="C24" s="44" t="n"/>
      <c r="D24" s="44" t="n"/>
      <c r="L24" s="45" t="n"/>
      <c r="O24" s="44" t="n"/>
    </row>
    <row r="25">
      <c r="A25" s="43" t="n"/>
      <c r="C25" s="44" t="n"/>
      <c r="D25" s="44" t="n"/>
      <c r="L25" s="45" t="n"/>
      <c r="O25" s="44" t="n"/>
    </row>
    <row r="26">
      <c r="A26" s="43" t="n"/>
      <c r="C26" s="44" t="n"/>
      <c r="D26" s="44" t="n"/>
      <c r="L26" s="45" t="n"/>
      <c r="O26" s="44" t="n"/>
    </row>
    <row r="27">
      <c r="A27" s="43" t="n"/>
      <c r="C27" s="44" t="n"/>
      <c r="D27" s="44" t="n"/>
      <c r="L27" s="45" t="n"/>
      <c r="O27" s="44" t="n"/>
    </row>
    <row r="28">
      <c r="A28" s="43" t="n"/>
      <c r="C28" s="44" t="n"/>
      <c r="D28" s="44" t="n"/>
      <c r="L28" s="45" t="n"/>
      <c r="O28" s="44" t="n"/>
    </row>
    <row r="29">
      <c r="A29" s="43" t="n"/>
      <c r="C29" s="44" t="n"/>
      <c r="D29" s="44" t="n"/>
      <c r="L29" s="45" t="n"/>
      <c r="O29" s="44" t="n"/>
    </row>
    <row r="30">
      <c r="A30" s="43" t="n"/>
      <c r="C30" s="44" t="n"/>
      <c r="D30" s="44" t="n"/>
      <c r="L30" s="45" t="n"/>
      <c r="O30" s="44" t="n"/>
    </row>
    <row r="31">
      <c r="A31" s="43" t="n"/>
      <c r="C31" s="44" t="n"/>
      <c r="D31" s="44" t="n"/>
      <c r="L31" s="45" t="n"/>
      <c r="O31" s="44" t="n"/>
    </row>
    <row r="32">
      <c r="A32" s="43" t="n"/>
      <c r="C32" s="44" t="n"/>
      <c r="D32" s="44" t="n"/>
      <c r="L32" s="45" t="n"/>
      <c r="O32" s="44" t="n"/>
    </row>
    <row r="33">
      <c r="A33" s="43" t="n"/>
      <c r="C33" s="44" t="n"/>
      <c r="D33" s="44" t="n"/>
      <c r="L33" s="45" t="n"/>
      <c r="O33" s="44" t="n"/>
    </row>
    <row r="34">
      <c r="A34" s="43" t="n"/>
      <c r="C34" s="44" t="n"/>
      <c r="D34" s="44" t="n"/>
      <c r="L34" s="45" t="n"/>
      <c r="O34" s="44" t="n"/>
    </row>
    <row r="35">
      <c r="A35" s="43" t="n"/>
      <c r="C35" s="44" t="n"/>
      <c r="D35" s="44" t="n"/>
      <c r="L35" s="45" t="n"/>
      <c r="O35" s="44" t="n"/>
    </row>
    <row r="36">
      <c r="A36" s="43" t="n"/>
      <c r="C36" s="44" t="n"/>
      <c r="D36" s="44" t="n"/>
      <c r="L36" s="45" t="n"/>
      <c r="O36" s="44" t="n"/>
    </row>
    <row r="37">
      <c r="A37" s="43" t="n"/>
      <c r="C37" s="44" t="n"/>
      <c r="D37" s="44" t="n"/>
      <c r="L37" s="45" t="n"/>
      <c r="O37" s="44" t="n"/>
    </row>
    <row r="38">
      <c r="A38" s="43" t="n"/>
      <c r="C38" s="44" t="n"/>
      <c r="D38" s="44" t="n"/>
      <c r="L38" s="45" t="n"/>
      <c r="O38" s="44" t="n"/>
    </row>
    <row r="39">
      <c r="A39" s="43" t="n"/>
      <c r="C39" s="44" t="n"/>
      <c r="D39" s="44" t="n"/>
      <c r="L39" s="45" t="n"/>
      <c r="O39" s="44" t="n"/>
    </row>
    <row r="40">
      <c r="A40" s="43" t="n"/>
      <c r="C40" s="44" t="n"/>
      <c r="D40" s="44" t="n"/>
      <c r="L40" s="45" t="n"/>
      <c r="O40" s="44" t="n"/>
    </row>
    <row r="41">
      <c r="A41" s="43" t="n"/>
      <c r="C41" s="44" t="n"/>
      <c r="D41" s="44" t="n"/>
      <c r="L41" s="45" t="n"/>
      <c r="O41" s="44" t="n"/>
    </row>
    <row r="42">
      <c r="A42" s="43" t="n"/>
      <c r="C42" s="44" t="n"/>
      <c r="D42" s="44" t="n"/>
      <c r="L42" s="45" t="n"/>
      <c r="O42" s="44" t="n"/>
    </row>
    <row r="43">
      <c r="A43" s="43" t="n"/>
      <c r="C43" s="44" t="n"/>
      <c r="D43" s="44" t="n"/>
      <c r="L43" s="45" t="n"/>
      <c r="O43" s="44" t="n"/>
    </row>
    <row r="44">
      <c r="A44" s="43" t="n"/>
      <c r="C44" s="44" t="n"/>
      <c r="D44" s="44" t="n"/>
      <c r="L44" s="45" t="n"/>
      <c r="O44" s="44" t="n"/>
    </row>
    <row r="45">
      <c r="A45" s="43" t="n"/>
      <c r="C45" s="44" t="n"/>
      <c r="D45" s="44" t="n"/>
      <c r="L45" s="45" t="n"/>
      <c r="O45" s="44" t="n"/>
    </row>
    <row r="46">
      <c r="A46" s="43" t="n"/>
      <c r="C46" s="44" t="n"/>
      <c r="D46" s="44" t="n"/>
      <c r="L46" s="45" t="n"/>
      <c r="O46" s="44" t="n"/>
    </row>
    <row r="47">
      <c r="A47" s="43" t="n"/>
      <c r="C47" s="44" t="n"/>
      <c r="D47" s="44" t="n"/>
      <c r="L47" s="45" t="n"/>
      <c r="O47" s="44" t="n"/>
    </row>
    <row r="48">
      <c r="A48" s="43" t="n"/>
      <c r="C48" s="44" t="n"/>
      <c r="D48" s="44" t="n"/>
      <c r="L48" s="45" t="n"/>
      <c r="O48" s="44" t="n"/>
    </row>
    <row r="49">
      <c r="A49" s="43" t="n"/>
      <c r="C49" s="44" t="n"/>
      <c r="D49" s="44" t="n"/>
      <c r="L49" s="45" t="n"/>
      <c r="O49" s="44" t="n"/>
    </row>
    <row r="50">
      <c r="A50" s="43" t="n"/>
      <c r="C50" s="44" t="n"/>
      <c r="D50" s="44" t="n"/>
      <c r="L50" s="45" t="n"/>
      <c r="O50" s="44" t="n"/>
    </row>
    <row r="51">
      <c r="A51" s="43" t="n"/>
      <c r="C51" s="44" t="n"/>
      <c r="D51" s="44" t="n"/>
      <c r="L51" s="45" t="n"/>
      <c r="O51" s="44" t="n"/>
    </row>
    <row r="52">
      <c r="A52" s="43" t="n"/>
      <c r="C52" s="44" t="n"/>
      <c r="D52" s="44" t="n"/>
      <c r="L52" s="45" t="n"/>
      <c r="O52" s="44" t="n"/>
    </row>
    <row r="53">
      <c r="A53" s="43" t="n"/>
      <c r="C53" s="44" t="n"/>
      <c r="D53" s="44" t="n"/>
      <c r="L53" s="45" t="n"/>
      <c r="O53" s="44" t="n"/>
    </row>
    <row r="54">
      <c r="A54" s="43" t="n"/>
      <c r="C54" s="44" t="n"/>
      <c r="D54" s="44" t="n"/>
      <c r="L54" s="45" t="n"/>
      <c r="O54" s="44" t="n"/>
    </row>
    <row r="55">
      <c r="A55" s="43" t="n"/>
      <c r="C55" s="44" t="n"/>
      <c r="D55" s="44" t="n"/>
      <c r="L55" s="45" t="n"/>
      <c r="O55" s="44" t="n"/>
    </row>
    <row r="56">
      <c r="A56" s="43" t="n"/>
      <c r="C56" s="44" t="n"/>
      <c r="D56" s="44" t="n"/>
      <c r="L56" s="45" t="n"/>
      <c r="O56" s="44" t="n"/>
    </row>
    <row r="57">
      <c r="A57" s="43" t="n"/>
      <c r="C57" s="44" t="n"/>
      <c r="D57" s="44" t="n"/>
      <c r="L57" s="45" t="n"/>
      <c r="O57" s="44" t="n"/>
    </row>
    <row r="58">
      <c r="A58" s="43" t="n"/>
      <c r="C58" s="44" t="n"/>
      <c r="D58" s="44" t="n"/>
      <c r="L58" s="45" t="n"/>
      <c r="O58" s="44" t="n"/>
    </row>
    <row r="59">
      <c r="A59" s="43" t="n"/>
      <c r="C59" s="44" t="n"/>
      <c r="D59" s="44" t="n"/>
      <c r="L59" s="45" t="n"/>
      <c r="O59" s="44" t="n"/>
    </row>
    <row r="60">
      <c r="A60" s="43" t="n"/>
      <c r="C60" s="44" t="n"/>
      <c r="D60" s="44" t="n"/>
      <c r="L60" s="45" t="n"/>
      <c r="O60" s="44" t="n"/>
    </row>
    <row r="61">
      <c r="A61" s="43" t="n"/>
      <c r="C61" s="44" t="n"/>
      <c r="D61" s="44" t="n"/>
      <c r="L61" s="45" t="n"/>
      <c r="O61" s="44" t="n"/>
    </row>
    <row r="62">
      <c r="A62" s="43" t="n"/>
      <c r="C62" s="44" t="n"/>
      <c r="D62" s="44" t="n"/>
      <c r="L62" s="45" t="n"/>
      <c r="O62" s="44" t="n"/>
    </row>
    <row r="63">
      <c r="A63" s="43" t="n"/>
      <c r="C63" s="44" t="n"/>
      <c r="D63" s="44" t="n"/>
      <c r="L63" s="45" t="n"/>
      <c r="O63" s="44" t="n"/>
    </row>
    <row r="64">
      <c r="A64" s="43" t="n"/>
      <c r="C64" s="44" t="n"/>
      <c r="D64" s="44" t="n"/>
      <c r="L64" s="45" t="n"/>
      <c r="O64" s="44" t="n"/>
    </row>
    <row r="65">
      <c r="A65" s="43" t="n"/>
      <c r="C65" s="44" t="n"/>
      <c r="D65" s="44" t="n"/>
      <c r="L65" s="45" t="n"/>
      <c r="O65" s="44" t="n"/>
    </row>
    <row r="66">
      <c r="A66" s="43" t="n"/>
      <c r="C66" s="44" t="n"/>
      <c r="D66" s="44" t="n"/>
      <c r="L66" s="45" t="n"/>
      <c r="O66" s="44" t="n"/>
    </row>
    <row r="67">
      <c r="A67" s="43" t="n"/>
      <c r="C67" s="44" t="n"/>
      <c r="D67" s="44" t="n"/>
      <c r="L67" s="45" t="n"/>
      <c r="O67" s="44" t="n"/>
    </row>
    <row r="68">
      <c r="A68" s="43" t="n"/>
      <c r="C68" s="44" t="n"/>
      <c r="D68" s="44" t="n"/>
      <c r="L68" s="45" t="n"/>
      <c r="O68" s="44" t="n"/>
    </row>
    <row r="69">
      <c r="A69" s="43" t="n"/>
      <c r="C69" s="44" t="n"/>
      <c r="D69" s="44" t="n"/>
      <c r="L69" s="45" t="n"/>
      <c r="O69" s="44" t="n"/>
    </row>
    <row r="70">
      <c r="A70" s="43" t="n"/>
      <c r="C70" s="44" t="n"/>
      <c r="D70" s="44" t="n"/>
      <c r="L70" s="45" t="n"/>
      <c r="O70" s="44" t="n"/>
    </row>
    <row r="71">
      <c r="A71" s="43" t="n"/>
      <c r="C71" s="44" t="n"/>
      <c r="D71" s="44" t="n"/>
      <c r="L71" s="45" t="n"/>
      <c r="O71" s="44" t="n"/>
    </row>
    <row r="72">
      <c r="A72" s="43" t="n"/>
      <c r="C72" s="44" t="n"/>
      <c r="D72" s="44" t="n"/>
      <c r="L72" s="45" t="n"/>
      <c r="O72" s="44" t="n"/>
    </row>
    <row r="73">
      <c r="A73" s="43" t="n"/>
      <c r="C73" s="44" t="n"/>
      <c r="D73" s="44" t="n"/>
      <c r="L73" s="45" t="n"/>
      <c r="O73" s="44" t="n"/>
    </row>
    <row r="74">
      <c r="A74" s="43" t="n"/>
      <c r="C74" s="44" t="n"/>
      <c r="D74" s="44" t="n"/>
      <c r="L74" s="45" t="n"/>
      <c r="O74" s="44" t="n"/>
    </row>
    <row r="75">
      <c r="A75" s="43" t="n"/>
      <c r="C75" s="44" t="n"/>
      <c r="D75" s="44" t="n"/>
      <c r="L75" s="45" t="n"/>
      <c r="O75" s="44" t="n"/>
    </row>
    <row r="76">
      <c r="A76" s="43" t="n"/>
      <c r="C76" s="44" t="n"/>
      <c r="D76" s="44" t="n"/>
      <c r="L76" s="45" t="n"/>
      <c r="O76" s="44" t="n"/>
    </row>
    <row r="77">
      <c r="A77" s="43" t="n"/>
      <c r="C77" s="44" t="n"/>
      <c r="D77" s="44" t="n"/>
      <c r="L77" s="45" t="n"/>
      <c r="O77" s="44" t="n"/>
    </row>
    <row r="78">
      <c r="A78" s="43" t="n"/>
      <c r="C78" s="44" t="n"/>
      <c r="D78" s="44" t="n"/>
      <c r="L78" s="45" t="n"/>
      <c r="O78" s="44" t="n"/>
    </row>
    <row r="79">
      <c r="A79" s="43" t="n"/>
      <c r="C79" s="44" t="n"/>
      <c r="D79" s="44" t="n"/>
      <c r="L79" s="45" t="n"/>
      <c r="O79" s="44" t="n"/>
    </row>
    <row r="80">
      <c r="A80" s="43" t="n"/>
      <c r="C80" s="44" t="n"/>
      <c r="D80" s="44" t="n"/>
      <c r="L80" s="45" t="n"/>
      <c r="O80" s="44" t="n"/>
    </row>
    <row r="81">
      <c r="A81" s="43" t="n"/>
      <c r="C81" s="44" t="n"/>
      <c r="D81" s="44" t="n"/>
      <c r="L81" s="45" t="n"/>
      <c r="O81" s="44" t="n"/>
    </row>
    <row r="82">
      <c r="A82" s="43" t="n"/>
      <c r="C82" s="44" t="n"/>
      <c r="D82" s="44" t="n"/>
      <c r="L82" s="45" t="n"/>
      <c r="O82" s="44" t="n"/>
    </row>
    <row r="83">
      <c r="A83" s="43" t="n"/>
      <c r="C83" s="44" t="n"/>
      <c r="D83" s="44" t="n"/>
      <c r="L83" s="45" t="n"/>
      <c r="O83" s="44" t="n"/>
    </row>
    <row r="84">
      <c r="A84" s="43" t="n"/>
      <c r="C84" s="44" t="n"/>
      <c r="D84" s="44" t="n"/>
      <c r="L84" s="45" t="n"/>
      <c r="O84" s="44" t="n"/>
    </row>
    <row r="85">
      <c r="A85" s="43" t="n"/>
      <c r="C85" s="44" t="n"/>
      <c r="D85" s="44" t="n"/>
      <c r="L85" s="45" t="n"/>
      <c r="O85" s="44" t="n"/>
    </row>
    <row r="86">
      <c r="A86" s="43" t="n"/>
      <c r="C86" s="44" t="n"/>
      <c r="D86" s="44" t="n"/>
      <c r="L86" s="45" t="n"/>
      <c r="O86" s="44" t="n"/>
    </row>
    <row r="87">
      <c r="A87" s="43" t="n"/>
      <c r="C87" s="44" t="n"/>
      <c r="D87" s="44" t="n"/>
      <c r="L87" s="45" t="n"/>
      <c r="O87" s="44" t="n"/>
    </row>
    <row r="88">
      <c r="A88" s="43" t="n"/>
      <c r="C88" s="44" t="n"/>
      <c r="D88" s="44" t="n"/>
      <c r="L88" s="45" t="n"/>
      <c r="O88" s="44" t="n"/>
    </row>
    <row r="89">
      <c r="A89" s="43" t="n"/>
      <c r="C89" s="44" t="n"/>
      <c r="D89" s="44" t="n"/>
      <c r="L89" s="45" t="n"/>
      <c r="O89" s="44" t="n"/>
    </row>
    <row r="90">
      <c r="A90" s="43" t="n"/>
      <c r="C90" s="44" t="n"/>
      <c r="D90" s="44" t="n"/>
      <c r="L90" s="45" t="n"/>
      <c r="O90" s="44" t="n"/>
    </row>
    <row r="91">
      <c r="A91" s="43" t="n"/>
      <c r="C91" s="44" t="n"/>
      <c r="D91" s="44" t="n"/>
      <c r="L91" s="45" t="n"/>
      <c r="O91" s="44" t="n"/>
    </row>
    <row r="92">
      <c r="A92" s="43" t="n"/>
      <c r="C92" s="44" t="n"/>
      <c r="D92" s="44" t="n"/>
      <c r="L92" s="45" t="n"/>
      <c r="O92" s="44" t="n"/>
    </row>
    <row r="93">
      <c r="A93" s="43" t="n"/>
      <c r="C93" s="44" t="n"/>
      <c r="D93" s="44" t="n"/>
      <c r="L93" s="45" t="n"/>
      <c r="O93" s="44" t="n"/>
    </row>
    <row r="94">
      <c r="A94" s="43" t="n"/>
      <c r="C94" s="44" t="n"/>
      <c r="D94" s="44" t="n"/>
      <c r="L94" s="45" t="n"/>
      <c r="O94" s="44" t="n"/>
    </row>
    <row r="95">
      <c r="A95" s="43" t="n"/>
      <c r="C95" s="44" t="n"/>
      <c r="D95" s="44" t="n"/>
      <c r="L95" s="45" t="n"/>
      <c r="O95" s="44" t="n"/>
    </row>
    <row r="96">
      <c r="A96" s="43" t="n"/>
      <c r="C96" s="44" t="n"/>
      <c r="D96" s="44" t="n"/>
      <c r="L96" s="45" t="n"/>
      <c r="O96" s="44" t="n"/>
    </row>
    <row r="97">
      <c r="A97" s="43" t="n"/>
      <c r="C97" s="44" t="n"/>
      <c r="D97" s="44" t="n"/>
      <c r="L97" s="45" t="n"/>
      <c r="O97" s="44" t="n"/>
    </row>
    <row r="98">
      <c r="A98" s="43" t="n"/>
      <c r="C98" s="44" t="n"/>
      <c r="D98" s="44" t="n"/>
      <c r="L98" s="45" t="n"/>
      <c r="O98" s="44" t="n"/>
    </row>
    <row r="99">
      <c r="A99" s="43" t="n"/>
      <c r="C99" s="44" t="n"/>
      <c r="D99" s="44" t="n"/>
      <c r="L99" s="45" t="n"/>
      <c r="O99" s="44" t="n"/>
    </row>
    <row r="100">
      <c r="A100" s="43" t="n"/>
      <c r="C100" s="44" t="n"/>
      <c r="D100" s="44" t="n"/>
      <c r="L100" s="45" t="n"/>
      <c r="O100" s="44" t="n"/>
    </row>
    <row r="101">
      <c r="A101" s="43" t="n"/>
      <c r="C101" s="44" t="n"/>
      <c r="D101" s="44" t="n"/>
      <c r="L101" s="45" t="n"/>
      <c r="O101" s="44" t="n"/>
    </row>
    <row r="102">
      <c r="A102" s="43" t="n"/>
      <c r="C102" s="44" t="n"/>
      <c r="D102" s="44" t="n"/>
      <c r="L102" s="45" t="n"/>
      <c r="O102" s="44" t="n"/>
    </row>
    <row r="103">
      <c r="A103" s="43" t="n"/>
      <c r="C103" s="44" t="n"/>
      <c r="D103" s="44" t="n"/>
      <c r="L103" s="45" t="n"/>
      <c r="O103" s="44" t="n"/>
    </row>
    <row r="104">
      <c r="A104" s="43" t="n"/>
      <c r="C104" s="44" t="n"/>
      <c r="D104" s="44" t="n"/>
      <c r="L104" s="45" t="n"/>
      <c r="O104" s="44" t="n"/>
    </row>
    <row r="105">
      <c r="A105" s="43" t="n"/>
      <c r="C105" s="44" t="n"/>
      <c r="D105" s="44" t="n"/>
      <c r="L105" s="45" t="n"/>
      <c r="O105" s="44" t="n"/>
    </row>
    <row r="106">
      <c r="A106" s="43" t="n"/>
      <c r="C106" s="44" t="n"/>
      <c r="D106" s="44" t="n"/>
      <c r="L106" s="45" t="n"/>
      <c r="O106" s="44" t="n"/>
    </row>
    <row r="107">
      <c r="A107" s="43" t="n"/>
      <c r="C107" s="44" t="n"/>
      <c r="D107" s="44" t="n"/>
      <c r="L107" s="45" t="n"/>
      <c r="O107" s="44" t="n"/>
    </row>
    <row r="108">
      <c r="A108" s="43" t="n"/>
      <c r="C108" s="44" t="n"/>
      <c r="D108" s="44" t="n"/>
      <c r="L108" s="45" t="n"/>
      <c r="O108" s="44" t="n"/>
    </row>
    <row r="109">
      <c r="A109" s="43" t="n"/>
      <c r="C109" s="44" t="n"/>
      <c r="D109" s="44" t="n"/>
      <c r="L109" s="45" t="n"/>
      <c r="O109" s="44" t="n"/>
    </row>
    <row r="110">
      <c r="A110" s="43" t="n"/>
      <c r="C110" s="44" t="n"/>
      <c r="D110" s="44" t="n"/>
      <c r="L110" s="45" t="n"/>
      <c r="O110" s="44" t="n"/>
    </row>
    <row r="111">
      <c r="A111" s="43" t="n"/>
      <c r="C111" s="44" t="n"/>
      <c r="D111" s="44" t="n"/>
      <c r="L111" s="45" t="n"/>
      <c r="O111" s="44" t="n"/>
    </row>
    <row r="112">
      <c r="A112" s="43" t="n"/>
      <c r="C112" s="44" t="n"/>
      <c r="D112" s="44" t="n"/>
      <c r="L112" s="45" t="n"/>
      <c r="O112" s="44" t="n"/>
    </row>
    <row r="113">
      <c r="A113" s="43" t="n"/>
      <c r="C113" s="44" t="n"/>
      <c r="D113" s="44" t="n"/>
      <c r="L113" s="45" t="n"/>
      <c r="O113" s="44" t="n"/>
    </row>
    <row r="114">
      <c r="A114" s="43" t="n"/>
      <c r="C114" s="44" t="n"/>
      <c r="D114" s="44" t="n"/>
      <c r="L114" s="45" t="n"/>
      <c r="O114" s="44" t="n"/>
    </row>
    <row r="115">
      <c r="A115" s="43" t="n"/>
      <c r="C115" s="44" t="n"/>
      <c r="D115" s="44" t="n"/>
      <c r="L115" s="45" t="n"/>
      <c r="O115" s="44" t="n"/>
    </row>
    <row r="116">
      <c r="A116" s="43" t="n"/>
      <c r="C116" s="44" t="n"/>
      <c r="D116" s="44" t="n"/>
      <c r="L116" s="45" t="n"/>
      <c r="O116" s="44" t="n"/>
    </row>
    <row r="117">
      <c r="A117" s="43" t="n"/>
      <c r="C117" s="44" t="n"/>
      <c r="D117" s="44" t="n"/>
      <c r="L117" s="45" t="n"/>
      <c r="O117" s="44" t="n"/>
    </row>
    <row r="118">
      <c r="A118" s="43" t="n"/>
      <c r="C118" s="44" t="n"/>
      <c r="D118" s="44" t="n"/>
      <c r="L118" s="45" t="n"/>
      <c r="O118" s="44" t="n"/>
    </row>
    <row r="119">
      <c r="A119" s="43" t="n"/>
      <c r="C119" s="44" t="n"/>
      <c r="D119" s="44" t="n"/>
      <c r="L119" s="45" t="n"/>
      <c r="O119" s="44" t="n"/>
    </row>
    <row r="120">
      <c r="A120" s="43" t="n"/>
      <c r="C120" s="44" t="n"/>
      <c r="D120" s="44" t="n"/>
      <c r="L120" s="45" t="n"/>
      <c r="O120" s="44" t="n"/>
    </row>
    <row r="121">
      <c r="A121" s="43" t="n"/>
      <c r="C121" s="44" t="n"/>
      <c r="D121" s="44" t="n"/>
      <c r="L121" s="45" t="n"/>
      <c r="O121" s="44" t="n"/>
    </row>
    <row r="122">
      <c r="A122" s="43" t="n"/>
      <c r="C122" s="44" t="n"/>
      <c r="D122" s="44" t="n"/>
      <c r="L122" s="45" t="n"/>
      <c r="O122" s="44" t="n"/>
    </row>
    <row r="123">
      <c r="A123" s="43" t="n"/>
      <c r="C123" s="44" t="n"/>
      <c r="D123" s="44" t="n"/>
      <c r="L123" s="45" t="n"/>
      <c r="O123" s="44" t="n"/>
    </row>
    <row r="124">
      <c r="A124" s="43" t="n"/>
      <c r="C124" s="44" t="n"/>
      <c r="D124" s="44" t="n"/>
      <c r="L124" s="45" t="n"/>
      <c r="O124" s="44" t="n"/>
    </row>
    <row r="125">
      <c r="A125" s="43" t="n"/>
      <c r="C125" s="44" t="n"/>
      <c r="D125" s="44" t="n"/>
      <c r="L125" s="45" t="n"/>
      <c r="O125" s="44" t="n"/>
    </row>
    <row r="126">
      <c r="A126" s="43" t="n"/>
      <c r="C126" s="44" t="n"/>
      <c r="D126" s="44" t="n"/>
      <c r="L126" s="45" t="n"/>
      <c r="O126" s="44" t="n"/>
    </row>
    <row r="127">
      <c r="A127" s="43" t="n"/>
      <c r="C127" s="44" t="n"/>
      <c r="D127" s="44" t="n"/>
      <c r="L127" s="45" t="n"/>
      <c r="O127" s="44" t="n"/>
    </row>
    <row r="128">
      <c r="A128" s="43" t="n"/>
      <c r="C128" s="44" t="n"/>
      <c r="D128" s="44" t="n"/>
      <c r="L128" s="45" t="n"/>
      <c r="O128" s="44" t="n"/>
    </row>
    <row r="129">
      <c r="A129" s="43" t="n"/>
      <c r="C129" s="44" t="n"/>
      <c r="D129" s="44" t="n"/>
      <c r="L129" s="45" t="n"/>
      <c r="O129" s="44" t="n"/>
    </row>
    <row r="130">
      <c r="A130" s="43" t="n"/>
      <c r="C130" s="44" t="n"/>
      <c r="D130" s="44" t="n"/>
      <c r="L130" s="45" t="n"/>
      <c r="O130" s="44" t="n"/>
    </row>
    <row r="131">
      <c r="A131" s="43" t="n"/>
      <c r="C131" s="44" t="n"/>
      <c r="D131" s="44" t="n"/>
      <c r="L131" s="45" t="n"/>
      <c r="O131" s="44" t="n"/>
    </row>
    <row r="132">
      <c r="A132" s="43" t="n"/>
      <c r="C132" s="44" t="n"/>
      <c r="D132" s="44" t="n"/>
      <c r="L132" s="45" t="n"/>
      <c r="O132" s="44" t="n"/>
    </row>
    <row r="133">
      <c r="A133" s="43" t="n"/>
      <c r="C133" s="44" t="n"/>
      <c r="D133" s="44" t="n"/>
      <c r="L133" s="45" t="n"/>
      <c r="O133" s="44" t="n"/>
    </row>
    <row r="134">
      <c r="A134" s="43" t="n"/>
      <c r="C134" s="44" t="n"/>
      <c r="D134" s="44" t="n"/>
      <c r="L134" s="45" t="n"/>
      <c r="O134" s="44" t="n"/>
    </row>
    <row r="135">
      <c r="A135" s="43" t="n"/>
      <c r="C135" s="44" t="n"/>
      <c r="D135" s="44" t="n"/>
      <c r="L135" s="45" t="n"/>
      <c r="O135" s="44" t="n"/>
    </row>
    <row r="136">
      <c r="A136" s="43" t="n"/>
      <c r="C136" s="44" t="n"/>
      <c r="D136" s="44" t="n"/>
      <c r="L136" s="45" t="n"/>
      <c r="O136" s="44" t="n"/>
    </row>
    <row r="137">
      <c r="A137" s="43" t="n"/>
      <c r="C137" s="44" t="n"/>
      <c r="D137" s="44" t="n"/>
      <c r="L137" s="45" t="n"/>
      <c r="O137" s="44" t="n"/>
    </row>
    <row r="138">
      <c r="A138" s="43" t="n"/>
      <c r="C138" s="44" t="n"/>
      <c r="D138" s="44" t="n"/>
      <c r="L138" s="45" t="n"/>
      <c r="O138" s="44" t="n"/>
    </row>
    <row r="139">
      <c r="A139" s="43" t="n"/>
      <c r="C139" s="44" t="n"/>
      <c r="D139" s="44" t="n"/>
      <c r="L139" s="45" t="n"/>
      <c r="O139" s="44" t="n"/>
    </row>
    <row r="140">
      <c r="A140" s="43" t="n"/>
      <c r="C140" s="44" t="n"/>
      <c r="D140" s="44" t="n"/>
      <c r="L140" s="45" t="n"/>
      <c r="O140" s="44" t="n"/>
    </row>
    <row r="141">
      <c r="A141" s="43" t="n"/>
      <c r="C141" s="44" t="n"/>
      <c r="D141" s="44" t="n"/>
      <c r="L141" s="45" t="n"/>
      <c r="O141" s="44" t="n"/>
    </row>
    <row r="142">
      <c r="A142" s="43" t="n"/>
      <c r="C142" s="44" t="n"/>
      <c r="D142" s="44" t="n"/>
      <c r="L142" s="45" t="n"/>
      <c r="O142" s="44" t="n"/>
    </row>
    <row r="143">
      <c r="A143" s="43" t="n"/>
      <c r="C143" s="44" t="n"/>
      <c r="D143" s="44" t="n"/>
      <c r="L143" s="45" t="n"/>
      <c r="O143" s="44" t="n"/>
    </row>
    <row r="144">
      <c r="A144" s="43" t="n"/>
      <c r="C144" s="44" t="n"/>
      <c r="D144" s="44" t="n"/>
      <c r="L144" s="45" t="n"/>
      <c r="O144" s="44" t="n"/>
    </row>
    <row r="145">
      <c r="A145" s="43" t="n"/>
      <c r="C145" s="44" t="n"/>
      <c r="D145" s="44" t="n"/>
      <c r="L145" s="45" t="n"/>
      <c r="O145" s="44" t="n"/>
    </row>
    <row r="146">
      <c r="A146" s="43" t="n"/>
      <c r="C146" s="44" t="n"/>
      <c r="D146" s="44" t="n"/>
      <c r="L146" s="45" t="n"/>
      <c r="O146" s="44" t="n"/>
    </row>
    <row r="147">
      <c r="A147" s="43" t="n"/>
      <c r="C147" s="44" t="n"/>
      <c r="D147" s="44" t="n"/>
      <c r="L147" s="45" t="n"/>
      <c r="O147" s="44" t="n"/>
    </row>
    <row r="148">
      <c r="A148" s="43" t="n"/>
      <c r="C148" s="44" t="n"/>
      <c r="D148" s="44" t="n"/>
      <c r="L148" s="45" t="n"/>
      <c r="O148" s="44" t="n"/>
    </row>
    <row r="149">
      <c r="A149" s="43" t="n"/>
      <c r="C149" s="44" t="n"/>
      <c r="D149" s="44" t="n"/>
      <c r="L149" s="45" t="n"/>
      <c r="O149" s="44" t="n"/>
    </row>
    <row r="150">
      <c r="A150" s="43" t="n"/>
      <c r="C150" s="44" t="n"/>
      <c r="D150" s="44" t="n"/>
      <c r="L150" s="45" t="n"/>
      <c r="O150" s="44" t="n"/>
    </row>
    <row r="151">
      <c r="A151" s="43" t="n"/>
      <c r="C151" s="44" t="n"/>
      <c r="D151" s="44" t="n"/>
      <c r="L151" s="45" t="n"/>
      <c r="O151" s="44" t="n"/>
    </row>
    <row r="152">
      <c r="A152" s="43" t="n"/>
      <c r="C152" s="44" t="n"/>
      <c r="D152" s="44" t="n"/>
      <c r="L152" s="45" t="n"/>
      <c r="O152" s="44" t="n"/>
    </row>
    <row r="153">
      <c r="A153" s="43" t="n"/>
      <c r="C153" s="44" t="n"/>
      <c r="D153" s="44" t="n"/>
      <c r="L153" s="45" t="n"/>
      <c r="O153" s="44" t="n"/>
    </row>
    <row r="154">
      <c r="A154" s="43" t="n"/>
      <c r="C154" s="44" t="n"/>
      <c r="D154" s="44" t="n"/>
      <c r="L154" s="45" t="n"/>
      <c r="O154" s="44" t="n"/>
    </row>
    <row r="155">
      <c r="A155" s="43" t="n"/>
      <c r="C155" s="44" t="n"/>
      <c r="D155" s="44" t="n"/>
      <c r="L155" s="45" t="n"/>
      <c r="O155" s="44" t="n"/>
    </row>
    <row r="156">
      <c r="A156" s="43" t="n"/>
      <c r="C156" s="44" t="n"/>
      <c r="D156" s="44" t="n"/>
      <c r="L156" s="45" t="n"/>
      <c r="O156" s="44" t="n"/>
    </row>
    <row r="157">
      <c r="A157" s="43" t="n"/>
      <c r="C157" s="44" t="n"/>
      <c r="D157" s="44" t="n"/>
      <c r="L157" s="45" t="n"/>
      <c r="O157" s="44" t="n"/>
    </row>
    <row r="158">
      <c r="A158" s="43" t="n"/>
      <c r="C158" s="44" t="n"/>
      <c r="D158" s="44" t="n"/>
      <c r="L158" s="45" t="n"/>
      <c r="O158" s="44" t="n"/>
    </row>
    <row r="159">
      <c r="A159" s="43" t="n"/>
      <c r="C159" s="44" t="n"/>
      <c r="D159" s="44" t="n"/>
      <c r="L159" s="45" t="n"/>
      <c r="O159" s="44" t="n"/>
    </row>
    <row r="160">
      <c r="A160" s="43" t="n"/>
      <c r="C160" s="44" t="n"/>
      <c r="D160" s="44" t="n"/>
      <c r="L160" s="45" t="n"/>
      <c r="O160" s="44" t="n"/>
    </row>
    <row r="161">
      <c r="A161" s="43" t="n"/>
      <c r="C161" s="44" t="n"/>
      <c r="D161" s="44" t="n"/>
      <c r="L161" s="45" t="n"/>
      <c r="O161" s="44" t="n"/>
    </row>
    <row r="162">
      <c r="A162" s="43" t="n"/>
      <c r="C162" s="44" t="n"/>
      <c r="D162" s="44" t="n"/>
      <c r="L162" s="45" t="n"/>
      <c r="O162" s="44" t="n"/>
    </row>
    <row r="163">
      <c r="A163" s="43" t="n"/>
      <c r="C163" s="44" t="n"/>
      <c r="D163" s="44" t="n"/>
      <c r="L163" s="45" t="n"/>
      <c r="O163" s="44" t="n"/>
    </row>
    <row r="164">
      <c r="A164" s="43" t="n"/>
      <c r="C164" s="44" t="n"/>
      <c r="D164" s="44" t="n"/>
      <c r="L164" s="45" t="n"/>
      <c r="O164" s="44" t="n"/>
    </row>
    <row r="165">
      <c r="A165" s="43" t="n"/>
      <c r="C165" s="44" t="n"/>
      <c r="D165" s="44" t="n"/>
      <c r="L165" s="45" t="n"/>
      <c r="O165" s="44" t="n"/>
    </row>
    <row r="166">
      <c r="A166" s="43" t="n"/>
      <c r="C166" s="44" t="n"/>
      <c r="D166" s="44" t="n"/>
      <c r="L166" s="45" t="n"/>
      <c r="O166" s="44" t="n"/>
    </row>
    <row r="167">
      <c r="A167" s="43" t="n"/>
      <c r="C167" s="44" t="n"/>
      <c r="D167" s="44" t="n"/>
      <c r="L167" s="45" t="n"/>
      <c r="O167" s="44" t="n"/>
    </row>
    <row r="168">
      <c r="A168" s="43" t="n"/>
      <c r="C168" s="44" t="n"/>
      <c r="D168" s="44" t="n"/>
      <c r="L168" s="45" t="n"/>
      <c r="O168" s="44" t="n"/>
    </row>
    <row r="169">
      <c r="A169" s="43" t="n"/>
      <c r="C169" s="44" t="n"/>
      <c r="D169" s="44" t="n"/>
      <c r="L169" s="45" t="n"/>
      <c r="O169" s="44" t="n"/>
    </row>
    <row r="170">
      <c r="A170" s="43" t="n"/>
      <c r="C170" s="44" t="n"/>
      <c r="D170" s="44" t="n"/>
      <c r="L170" s="45" t="n"/>
      <c r="O170" s="44" t="n"/>
    </row>
    <row r="171">
      <c r="A171" s="43" t="n"/>
      <c r="C171" s="44" t="n"/>
      <c r="D171" s="44" t="n"/>
      <c r="L171" s="45" t="n"/>
      <c r="O171" s="44" t="n"/>
    </row>
    <row r="172">
      <c r="A172" s="43" t="n"/>
      <c r="C172" s="44" t="n"/>
      <c r="D172" s="44" t="n"/>
      <c r="L172" s="45" t="n"/>
      <c r="O172" s="44" t="n"/>
    </row>
    <row r="173">
      <c r="A173" s="43" t="n"/>
      <c r="C173" s="44" t="n"/>
      <c r="D173" s="44" t="n"/>
      <c r="L173" s="45" t="n"/>
      <c r="O173" s="44" t="n"/>
    </row>
    <row r="174">
      <c r="A174" s="43" t="n"/>
      <c r="C174" s="44" t="n"/>
      <c r="D174" s="44" t="n"/>
      <c r="L174" s="45" t="n"/>
      <c r="O174" s="44" t="n"/>
    </row>
    <row r="175">
      <c r="A175" s="43" t="n"/>
      <c r="C175" s="44" t="n"/>
      <c r="D175" s="44" t="n"/>
      <c r="L175" s="45" t="n"/>
      <c r="O175" s="44" t="n"/>
    </row>
    <row r="176">
      <c r="A176" s="43" t="n"/>
      <c r="C176" s="44" t="n"/>
      <c r="D176" s="44" t="n"/>
      <c r="L176" s="45" t="n"/>
      <c r="O176" s="44" t="n"/>
    </row>
    <row r="177">
      <c r="A177" s="43" t="n"/>
      <c r="C177" s="44" t="n"/>
      <c r="D177" s="44" t="n"/>
      <c r="L177" s="45" t="n"/>
      <c r="O177" s="44" t="n"/>
    </row>
    <row r="178">
      <c r="A178" s="43" t="n"/>
      <c r="C178" s="44" t="n"/>
      <c r="D178" s="44" t="n"/>
      <c r="L178" s="45" t="n"/>
      <c r="O178" s="44" t="n"/>
    </row>
    <row r="179">
      <c r="A179" s="43" t="n"/>
      <c r="C179" s="44" t="n"/>
      <c r="D179" s="44" t="n"/>
      <c r="L179" s="45" t="n"/>
      <c r="O179" s="44" t="n"/>
    </row>
    <row r="180">
      <c r="A180" s="43" t="n"/>
      <c r="C180" s="44" t="n"/>
      <c r="D180" s="44" t="n"/>
      <c r="L180" s="45" t="n"/>
      <c r="O180" s="44" t="n"/>
    </row>
    <row r="181">
      <c r="A181" s="43" t="n"/>
      <c r="C181" s="44" t="n"/>
      <c r="D181" s="44" t="n"/>
      <c r="L181" s="45" t="n"/>
      <c r="O181" s="44" t="n"/>
    </row>
    <row r="182">
      <c r="A182" s="43" t="n"/>
      <c r="C182" s="44" t="n"/>
      <c r="D182" s="44" t="n"/>
      <c r="L182" s="45" t="n"/>
      <c r="O182" s="44" t="n"/>
    </row>
    <row r="183">
      <c r="A183" s="43" t="n"/>
      <c r="C183" s="44" t="n"/>
      <c r="D183" s="44" t="n"/>
      <c r="L183" s="45" t="n"/>
      <c r="O183" s="44" t="n"/>
    </row>
    <row r="184">
      <c r="A184" s="43" t="n"/>
      <c r="C184" s="44" t="n"/>
      <c r="D184" s="44" t="n"/>
      <c r="L184" s="45" t="n"/>
      <c r="O184" s="44" t="n"/>
    </row>
    <row r="185">
      <c r="A185" s="43" t="n"/>
      <c r="C185" s="44" t="n"/>
      <c r="D185" s="44" t="n"/>
      <c r="L185" s="45" t="n"/>
      <c r="O185" s="44" t="n"/>
    </row>
    <row r="186">
      <c r="A186" s="43" t="n"/>
      <c r="C186" s="44" t="n"/>
      <c r="D186" s="44" t="n"/>
      <c r="L186" s="45" t="n"/>
      <c r="O186" s="44" t="n"/>
    </row>
    <row r="187">
      <c r="A187" s="43" t="n"/>
      <c r="C187" s="44" t="n"/>
      <c r="D187" s="44" t="n"/>
      <c r="L187" s="45" t="n"/>
      <c r="O187" s="44" t="n"/>
    </row>
    <row r="188">
      <c r="A188" s="43" t="n"/>
      <c r="C188" s="44" t="n"/>
      <c r="D188" s="44" t="n"/>
      <c r="L188" s="45" t="n"/>
      <c r="O188" s="44" t="n"/>
    </row>
    <row r="189">
      <c r="A189" s="43" t="n"/>
      <c r="C189" s="44" t="n"/>
      <c r="D189" s="44" t="n"/>
      <c r="L189" s="45" t="n"/>
      <c r="O189" s="44" t="n"/>
    </row>
    <row r="190">
      <c r="A190" s="43" t="n"/>
      <c r="C190" s="44" t="n"/>
      <c r="D190" s="44" t="n"/>
      <c r="L190" s="45" t="n"/>
      <c r="O190" s="44" t="n"/>
    </row>
    <row r="191">
      <c r="A191" s="43" t="n"/>
      <c r="C191" s="44" t="n"/>
      <c r="D191" s="44" t="n"/>
      <c r="L191" s="45" t="n"/>
      <c r="O191" s="44" t="n"/>
    </row>
    <row r="192">
      <c r="A192" s="43" t="n"/>
      <c r="C192" s="44" t="n"/>
      <c r="D192" s="44" t="n"/>
      <c r="L192" s="45" t="n"/>
      <c r="O192" s="44" t="n"/>
    </row>
    <row r="193">
      <c r="A193" s="43" t="n"/>
      <c r="C193" s="44" t="n"/>
      <c r="D193" s="44" t="n"/>
      <c r="L193" s="45" t="n"/>
      <c r="O193" s="44" t="n"/>
    </row>
    <row r="194">
      <c r="A194" s="43" t="n"/>
      <c r="C194" s="44" t="n"/>
      <c r="D194" s="44" t="n"/>
      <c r="L194" s="45" t="n"/>
      <c r="O194" s="44" t="n"/>
    </row>
    <row r="195">
      <c r="A195" s="43" t="n"/>
      <c r="C195" s="44" t="n"/>
      <c r="D195" s="44" t="n"/>
      <c r="L195" s="45" t="n"/>
      <c r="O195" s="44" t="n"/>
    </row>
    <row r="196">
      <c r="A196" s="43" t="n"/>
      <c r="C196" s="44" t="n"/>
      <c r="D196" s="44" t="n"/>
      <c r="L196" s="45" t="n"/>
      <c r="O196" s="44" t="n"/>
    </row>
    <row r="197">
      <c r="A197" s="43" t="n"/>
      <c r="C197" s="44" t="n"/>
      <c r="D197" s="44" t="n"/>
      <c r="L197" s="45" t="n"/>
      <c r="O197" s="44" t="n"/>
    </row>
    <row r="198">
      <c r="A198" s="43" t="n"/>
      <c r="C198" s="44" t="n"/>
      <c r="D198" s="44" t="n"/>
      <c r="L198" s="45" t="n"/>
      <c r="O198" s="44" t="n"/>
    </row>
    <row r="199">
      <c r="A199" s="43" t="n"/>
      <c r="C199" s="44" t="n"/>
      <c r="D199" s="44" t="n"/>
      <c r="L199" s="45" t="n"/>
      <c r="O199" s="44" t="n"/>
    </row>
    <row r="200">
      <c r="A200" s="43" t="n"/>
      <c r="C200" s="44" t="n"/>
      <c r="D200" s="44" t="n"/>
      <c r="L200" s="45" t="n"/>
      <c r="O200" s="44" t="n"/>
    </row>
    <row r="201">
      <c r="A201" s="43" t="n"/>
      <c r="C201" s="44" t="n"/>
      <c r="D201" s="44" t="n"/>
      <c r="L201" s="45" t="n"/>
      <c r="O201" s="44" t="n"/>
    </row>
    <row r="202">
      <c r="A202" s="43" t="n"/>
      <c r="C202" s="44" t="n"/>
      <c r="D202" s="44" t="n"/>
      <c r="L202" s="45" t="n"/>
      <c r="O202" s="44" t="n"/>
    </row>
    <row r="203">
      <c r="A203" s="43" t="n"/>
      <c r="C203" s="44" t="n"/>
      <c r="D203" s="44" t="n"/>
      <c r="L203" s="45" t="n"/>
      <c r="O203" s="44" t="n"/>
    </row>
    <row r="204">
      <c r="A204" s="43" t="n"/>
      <c r="C204" s="44" t="n"/>
      <c r="D204" s="44" t="n"/>
      <c r="L204" s="45" t="n"/>
      <c r="O204" s="44" t="n"/>
    </row>
    <row r="205">
      <c r="A205" s="43" t="n"/>
      <c r="C205" s="44" t="n"/>
      <c r="D205" s="44" t="n"/>
      <c r="L205" s="45" t="n"/>
      <c r="O205" s="44" t="n"/>
    </row>
    <row r="206">
      <c r="A206" s="43" t="n"/>
      <c r="C206" s="44" t="n"/>
      <c r="D206" s="44" t="n"/>
      <c r="L206" s="45" t="n"/>
      <c r="O206" s="44" t="n"/>
    </row>
    <row r="207">
      <c r="A207" s="43" t="n"/>
      <c r="C207" s="44" t="n"/>
      <c r="D207" s="44" t="n"/>
      <c r="L207" s="45" t="n"/>
      <c r="O207" s="44" t="n"/>
    </row>
    <row r="208">
      <c r="A208" s="43" t="n"/>
      <c r="C208" s="44" t="n"/>
      <c r="D208" s="44" t="n"/>
      <c r="L208" s="45" t="n"/>
      <c r="O208" s="44" t="n"/>
    </row>
    <row r="209">
      <c r="A209" s="43" t="n"/>
      <c r="C209" s="44" t="n"/>
      <c r="D209" s="44" t="n"/>
      <c r="L209" s="45" t="n"/>
      <c r="O209" s="44" t="n"/>
    </row>
    <row r="210">
      <c r="A210" s="43" t="n"/>
      <c r="C210" s="44" t="n"/>
      <c r="D210" s="44" t="n"/>
      <c r="L210" s="45" t="n"/>
      <c r="O210" s="44" t="n"/>
    </row>
    <row r="211">
      <c r="A211" s="43" t="n"/>
      <c r="C211" s="44" t="n"/>
      <c r="D211" s="44" t="n"/>
      <c r="L211" s="45" t="n"/>
      <c r="O211" s="44" t="n"/>
    </row>
    <row r="212">
      <c r="A212" s="43" t="n"/>
      <c r="C212" s="44" t="n"/>
      <c r="D212" s="44" t="n"/>
      <c r="L212" s="45" t="n"/>
      <c r="O212" s="44" t="n"/>
    </row>
    <row r="213">
      <c r="A213" s="43" t="n"/>
      <c r="C213" s="44" t="n"/>
      <c r="D213" s="44" t="n"/>
      <c r="L213" s="45" t="n"/>
      <c r="O213" s="44" t="n"/>
    </row>
    <row r="214">
      <c r="A214" s="43" t="n"/>
      <c r="C214" s="44" t="n"/>
      <c r="D214" s="44" t="n"/>
      <c r="L214" s="45" t="n"/>
      <c r="O214" s="44" t="n"/>
    </row>
    <row r="215">
      <c r="A215" s="43" t="n"/>
      <c r="C215" s="44" t="n"/>
      <c r="D215" s="44" t="n"/>
      <c r="L215" s="45" t="n"/>
      <c r="O215" s="44" t="n"/>
    </row>
    <row r="216">
      <c r="A216" s="43" t="n"/>
      <c r="C216" s="44" t="n"/>
      <c r="D216" s="44" t="n"/>
      <c r="L216" s="45" t="n"/>
      <c r="O216" s="44" t="n"/>
    </row>
    <row r="217">
      <c r="A217" s="43" t="n"/>
      <c r="C217" s="44" t="n"/>
      <c r="D217" s="44" t="n"/>
      <c r="L217" s="45" t="n"/>
      <c r="O217" s="44" t="n"/>
    </row>
    <row r="218">
      <c r="A218" s="43" t="n"/>
      <c r="C218" s="44" t="n"/>
      <c r="D218" s="44" t="n"/>
      <c r="L218" s="45" t="n"/>
      <c r="O218" s="44" t="n"/>
    </row>
    <row r="219">
      <c r="A219" s="43" t="n"/>
      <c r="C219" s="44" t="n"/>
      <c r="D219" s="44" t="n"/>
      <c r="L219" s="45" t="n"/>
      <c r="O219" s="44" t="n"/>
    </row>
    <row r="220">
      <c r="A220" s="43" t="n"/>
      <c r="C220" s="44" t="n"/>
      <c r="D220" s="44" t="n"/>
      <c r="L220" s="45" t="n"/>
      <c r="O220" s="44" t="n"/>
    </row>
    <row r="221">
      <c r="A221" s="43" t="n"/>
      <c r="C221" s="44" t="n"/>
      <c r="D221" s="44" t="n"/>
      <c r="L221" s="45" t="n"/>
      <c r="O221" s="44" t="n"/>
    </row>
    <row r="222">
      <c r="A222" s="43" t="n"/>
      <c r="C222" s="44" t="n"/>
      <c r="D222" s="44" t="n"/>
      <c r="L222" s="45" t="n"/>
      <c r="O222" s="44" t="n"/>
    </row>
    <row r="223">
      <c r="A223" s="43" t="n"/>
      <c r="C223" s="44" t="n"/>
      <c r="D223" s="44" t="n"/>
      <c r="L223" s="45" t="n"/>
      <c r="O223" s="44" t="n"/>
    </row>
    <row r="224">
      <c r="A224" s="43" t="n"/>
      <c r="C224" s="44" t="n"/>
      <c r="D224" s="44" t="n"/>
      <c r="L224" s="45" t="n"/>
      <c r="O224" s="44" t="n"/>
    </row>
    <row r="225">
      <c r="A225" s="43" t="n"/>
      <c r="C225" s="44" t="n"/>
      <c r="D225" s="44" t="n"/>
      <c r="L225" s="45" t="n"/>
      <c r="O225" s="44" t="n"/>
    </row>
    <row r="226">
      <c r="A226" s="43" t="n"/>
      <c r="C226" s="44" t="n"/>
      <c r="D226" s="44" t="n"/>
      <c r="L226" s="45" t="n"/>
      <c r="O226" s="44" t="n"/>
    </row>
    <row r="227">
      <c r="A227" s="43" t="n"/>
      <c r="C227" s="44" t="n"/>
      <c r="D227" s="44" t="n"/>
      <c r="L227" s="45" t="n"/>
      <c r="O227" s="44" t="n"/>
    </row>
    <row r="228">
      <c r="A228" s="43" t="n"/>
      <c r="C228" s="44" t="n"/>
      <c r="D228" s="44" t="n"/>
      <c r="L228" s="45" t="n"/>
      <c r="O228" s="44" t="n"/>
    </row>
    <row r="229">
      <c r="A229" s="43" t="n"/>
      <c r="C229" s="44" t="n"/>
      <c r="D229" s="44" t="n"/>
      <c r="L229" s="45" t="n"/>
      <c r="O229" s="44" t="n"/>
    </row>
    <row r="230">
      <c r="A230" s="43" t="n"/>
      <c r="C230" s="44" t="n"/>
      <c r="D230" s="44" t="n"/>
      <c r="L230" s="45" t="n"/>
      <c r="O230" s="44" t="n"/>
    </row>
    <row r="231">
      <c r="A231" s="43" t="n"/>
      <c r="C231" s="44" t="n"/>
      <c r="D231" s="44" t="n"/>
      <c r="L231" s="45" t="n"/>
      <c r="O231" s="44" t="n"/>
    </row>
    <row r="232">
      <c r="A232" s="43" t="n"/>
      <c r="C232" s="44" t="n"/>
      <c r="D232" s="44" t="n"/>
      <c r="L232" s="45" t="n"/>
      <c r="O232" s="44" t="n"/>
    </row>
    <row r="233">
      <c r="A233" s="43" t="n"/>
      <c r="C233" s="44" t="n"/>
      <c r="D233" s="44" t="n"/>
      <c r="L233" s="45" t="n"/>
      <c r="O233" s="44" t="n"/>
    </row>
    <row r="234">
      <c r="A234" s="43" t="n"/>
      <c r="C234" s="44" t="n"/>
      <c r="D234" s="44" t="n"/>
      <c r="L234" s="45" t="n"/>
      <c r="O234" s="44" t="n"/>
    </row>
    <row r="235">
      <c r="A235" s="43" t="n"/>
      <c r="C235" s="44" t="n"/>
      <c r="D235" s="44" t="n"/>
      <c r="L235" s="45" t="n"/>
      <c r="O235" s="44" t="n"/>
    </row>
    <row r="236">
      <c r="A236" s="43" t="n"/>
      <c r="C236" s="44" t="n"/>
      <c r="D236" s="44" t="n"/>
      <c r="L236" s="45" t="n"/>
      <c r="O236" s="44" t="n"/>
    </row>
    <row r="237">
      <c r="A237" s="43" t="n"/>
      <c r="C237" s="44" t="n"/>
      <c r="D237" s="44" t="n"/>
      <c r="L237" s="45" t="n"/>
      <c r="O237" s="44" t="n"/>
    </row>
    <row r="238">
      <c r="A238" s="43" t="n"/>
      <c r="C238" s="44" t="n"/>
      <c r="D238" s="44" t="n"/>
      <c r="L238" s="45" t="n"/>
      <c r="O238" s="44" t="n"/>
    </row>
    <row r="239">
      <c r="A239" s="43" t="n"/>
      <c r="C239" s="44" t="n"/>
      <c r="D239" s="44" t="n"/>
      <c r="L239" s="45" t="n"/>
      <c r="O239" s="44" t="n"/>
    </row>
    <row r="240">
      <c r="A240" s="43" t="n"/>
      <c r="C240" s="44" t="n"/>
      <c r="D240" s="44" t="n"/>
      <c r="L240" s="45" t="n"/>
      <c r="O240" s="44" t="n"/>
    </row>
    <row r="241">
      <c r="A241" s="43" t="n"/>
      <c r="C241" s="44" t="n"/>
      <c r="D241" s="44" t="n"/>
      <c r="L241" s="45" t="n"/>
      <c r="O241" s="44" t="n"/>
    </row>
    <row r="242">
      <c r="A242" s="43" t="n"/>
      <c r="C242" s="44" t="n"/>
      <c r="D242" s="44" t="n"/>
      <c r="L242" s="45" t="n"/>
      <c r="O242" s="44" t="n"/>
    </row>
    <row r="243">
      <c r="A243" s="43" t="n"/>
      <c r="C243" s="44" t="n"/>
      <c r="D243" s="44" t="n"/>
      <c r="L243" s="45" t="n"/>
      <c r="O243" s="44" t="n"/>
    </row>
    <row r="244">
      <c r="A244" s="43" t="n"/>
      <c r="C244" s="44" t="n"/>
      <c r="D244" s="44" t="n"/>
      <c r="L244" s="45" t="n"/>
      <c r="O244" s="44" t="n"/>
    </row>
    <row r="245">
      <c r="A245" s="43" t="n"/>
      <c r="C245" s="44" t="n"/>
      <c r="D245" s="44" t="n"/>
      <c r="L245" s="45" t="n"/>
      <c r="O245" s="44" t="n"/>
    </row>
    <row r="246">
      <c r="A246" s="43" t="n"/>
      <c r="C246" s="44" t="n"/>
      <c r="D246" s="44" t="n"/>
      <c r="L246" s="45" t="n"/>
      <c r="O246" s="44" t="n"/>
    </row>
    <row r="247">
      <c r="A247" s="43" t="n"/>
      <c r="C247" s="44" t="n"/>
      <c r="D247" s="44" t="n"/>
      <c r="L247" s="45" t="n"/>
      <c r="O247" s="44" t="n"/>
    </row>
    <row r="248">
      <c r="A248" s="43" t="n"/>
      <c r="C248" s="44" t="n"/>
      <c r="D248" s="44" t="n"/>
      <c r="L248" s="45" t="n"/>
      <c r="O248" s="44" t="n"/>
    </row>
    <row r="249">
      <c r="A249" s="43" t="n"/>
      <c r="C249" s="44" t="n"/>
      <c r="D249" s="44" t="n"/>
      <c r="L249" s="45" t="n"/>
      <c r="O249" s="44" t="n"/>
    </row>
    <row r="250">
      <c r="A250" s="43" t="n"/>
      <c r="C250" s="44" t="n"/>
      <c r="D250" s="44" t="n"/>
      <c r="L250" s="45" t="n"/>
      <c r="O250" s="44" t="n"/>
    </row>
    <row r="251">
      <c r="A251" s="43" t="n"/>
      <c r="C251" s="44" t="n"/>
      <c r="D251" s="44" t="n"/>
      <c r="L251" s="45" t="n"/>
      <c r="O251" s="44" t="n"/>
    </row>
    <row r="252">
      <c r="A252" s="43" t="n"/>
      <c r="C252" s="44" t="n"/>
      <c r="D252" s="44" t="n"/>
      <c r="L252" s="45" t="n"/>
      <c r="O252" s="44" t="n"/>
    </row>
    <row r="253">
      <c r="A253" s="43" t="n"/>
      <c r="C253" s="44" t="n"/>
      <c r="D253" s="44" t="n"/>
      <c r="L253" s="45" t="n"/>
      <c r="O253" s="44" t="n"/>
    </row>
    <row r="254">
      <c r="A254" s="43" t="n"/>
      <c r="C254" s="44" t="n"/>
      <c r="D254" s="44" t="n"/>
      <c r="L254" s="45" t="n"/>
      <c r="O254" s="44" t="n"/>
    </row>
    <row r="255">
      <c r="A255" s="43" t="n"/>
      <c r="C255" s="44" t="n"/>
      <c r="D255" s="44" t="n"/>
      <c r="L255" s="45" t="n"/>
      <c r="O255" s="44" t="n"/>
    </row>
    <row r="256">
      <c r="A256" s="43" t="n"/>
      <c r="C256" s="44" t="n"/>
      <c r="D256" s="44" t="n"/>
      <c r="L256" s="45" t="n"/>
      <c r="O256" s="44" t="n"/>
    </row>
    <row r="257">
      <c r="A257" s="43" t="n"/>
      <c r="C257" s="44" t="n"/>
      <c r="D257" s="44" t="n"/>
      <c r="L257" s="45" t="n"/>
      <c r="O257" s="44" t="n"/>
    </row>
    <row r="258">
      <c r="A258" s="43" t="n"/>
      <c r="C258" s="44" t="n"/>
      <c r="D258" s="44" t="n"/>
      <c r="L258" s="45" t="n"/>
      <c r="O258" s="44" t="n"/>
    </row>
    <row r="259">
      <c r="A259" s="43" t="n"/>
      <c r="C259" s="44" t="n"/>
      <c r="D259" s="44" t="n"/>
      <c r="L259" s="45" t="n"/>
      <c r="O259" s="44" t="n"/>
    </row>
    <row r="260">
      <c r="A260" s="43" t="n"/>
      <c r="C260" s="44" t="n"/>
      <c r="D260" s="44" t="n"/>
      <c r="L260" s="45" t="n"/>
      <c r="O260" s="44" t="n"/>
    </row>
    <row r="261">
      <c r="A261" s="43" t="n"/>
      <c r="C261" s="44" t="n"/>
      <c r="D261" s="44" t="n"/>
      <c r="L261" s="45" t="n"/>
      <c r="O261" s="44" t="n"/>
    </row>
    <row r="262">
      <c r="A262" s="43" t="n"/>
      <c r="C262" s="44" t="n"/>
      <c r="D262" s="44" t="n"/>
      <c r="L262" s="45" t="n"/>
      <c r="O262" s="44" t="n"/>
    </row>
    <row r="263">
      <c r="A263" s="43" t="n"/>
      <c r="C263" s="44" t="n"/>
      <c r="D263" s="44" t="n"/>
      <c r="L263" s="45" t="n"/>
      <c r="O263" s="44" t="n"/>
    </row>
    <row r="264">
      <c r="A264" s="43" t="n"/>
      <c r="C264" s="44" t="n"/>
      <c r="D264" s="44" t="n"/>
      <c r="L264" s="45" t="n"/>
      <c r="O264" s="44" t="n"/>
    </row>
    <row r="265">
      <c r="A265" s="43" t="n"/>
      <c r="C265" s="44" t="n"/>
      <c r="D265" s="44" t="n"/>
      <c r="L265" s="45" t="n"/>
      <c r="O265" s="44" t="n"/>
    </row>
    <row r="266">
      <c r="A266" s="43" t="n"/>
      <c r="C266" s="44" t="n"/>
      <c r="D266" s="44" t="n"/>
      <c r="L266" s="45" t="n"/>
      <c r="O266" s="44" t="n"/>
    </row>
    <row r="267">
      <c r="A267" s="43" t="n"/>
      <c r="C267" s="44" t="n"/>
      <c r="D267" s="44" t="n"/>
      <c r="L267" s="45" t="n"/>
      <c r="O267" s="44" t="n"/>
    </row>
    <row r="268">
      <c r="A268" s="43" t="n"/>
      <c r="C268" s="44" t="n"/>
      <c r="D268" s="44" t="n"/>
      <c r="L268" s="45" t="n"/>
      <c r="O268" s="44" t="n"/>
    </row>
    <row r="269">
      <c r="A269" s="43" t="n"/>
      <c r="C269" s="44" t="n"/>
      <c r="D269" s="44" t="n"/>
      <c r="L269" s="45" t="n"/>
      <c r="O269" s="44" t="n"/>
    </row>
    <row r="270">
      <c r="A270" s="43" t="n"/>
      <c r="C270" s="44" t="n"/>
      <c r="D270" s="44" t="n"/>
      <c r="L270" s="45" t="n"/>
      <c r="O270" s="44" t="n"/>
    </row>
    <row r="271">
      <c r="A271" s="43" t="n"/>
      <c r="C271" s="44" t="n"/>
      <c r="D271" s="44" t="n"/>
      <c r="L271" s="45" t="n"/>
      <c r="O271" s="44" t="n"/>
    </row>
    <row r="272">
      <c r="A272" s="43" t="n"/>
      <c r="C272" s="44" t="n"/>
      <c r="D272" s="44" t="n"/>
      <c r="L272" s="45" t="n"/>
      <c r="O272" s="44" t="n"/>
    </row>
    <row r="273">
      <c r="A273" s="43" t="n"/>
      <c r="C273" s="44" t="n"/>
      <c r="D273" s="44" t="n"/>
      <c r="L273" s="45" t="n"/>
      <c r="O273" s="44" t="n"/>
    </row>
    <row r="274">
      <c r="A274" s="43" t="n"/>
      <c r="C274" s="44" t="n"/>
      <c r="D274" s="44" t="n"/>
      <c r="L274" s="45" t="n"/>
      <c r="O274" s="44" t="n"/>
    </row>
    <row r="275">
      <c r="A275" s="43" t="n"/>
      <c r="C275" s="44" t="n"/>
      <c r="D275" s="44" t="n"/>
      <c r="L275" s="45" t="n"/>
      <c r="O275" s="44" t="n"/>
    </row>
    <row r="276">
      <c r="A276" s="43" t="n"/>
      <c r="C276" s="44" t="n"/>
      <c r="D276" s="44" t="n"/>
      <c r="L276" s="45" t="n"/>
      <c r="O276" s="44" t="n"/>
    </row>
    <row r="277">
      <c r="A277" s="43" t="n"/>
      <c r="C277" s="44" t="n"/>
      <c r="D277" s="44" t="n"/>
      <c r="L277" s="45" t="n"/>
      <c r="O277" s="44" t="n"/>
    </row>
    <row r="278">
      <c r="A278" s="43" t="n"/>
      <c r="C278" s="44" t="n"/>
      <c r="D278" s="44" t="n"/>
      <c r="L278" s="45" t="n"/>
      <c r="O278" s="44" t="n"/>
    </row>
    <row r="279">
      <c r="A279" s="43" t="n"/>
      <c r="C279" s="44" t="n"/>
      <c r="D279" s="44" t="n"/>
      <c r="L279" s="45" t="n"/>
      <c r="O279" s="44" t="n"/>
    </row>
    <row r="280">
      <c r="A280" s="43" t="n"/>
      <c r="C280" s="44" t="n"/>
      <c r="D280" s="44" t="n"/>
      <c r="L280" s="45" t="n"/>
      <c r="O280" s="44" t="n"/>
    </row>
    <row r="281">
      <c r="A281" s="43" t="n"/>
      <c r="C281" s="44" t="n"/>
      <c r="D281" s="44" t="n"/>
      <c r="L281" s="45" t="n"/>
      <c r="O281" s="44" t="n"/>
    </row>
    <row r="282">
      <c r="A282" s="43" t="n"/>
      <c r="C282" s="44" t="n"/>
      <c r="D282" s="44" t="n"/>
      <c r="L282" s="45" t="n"/>
      <c r="O282" s="44" t="n"/>
    </row>
    <row r="283">
      <c r="A283" s="43" t="n"/>
      <c r="C283" s="44" t="n"/>
      <c r="D283" s="44" t="n"/>
      <c r="L283" s="45" t="n"/>
      <c r="O283" s="44" t="n"/>
    </row>
    <row r="284">
      <c r="A284" s="43" t="n"/>
      <c r="C284" s="44" t="n"/>
      <c r="D284" s="44" t="n"/>
      <c r="L284" s="45" t="n"/>
      <c r="O284" s="44" t="n"/>
    </row>
    <row r="285">
      <c r="A285" s="43" t="n"/>
      <c r="C285" s="44" t="n"/>
      <c r="D285" s="44" t="n"/>
      <c r="L285" s="45" t="n"/>
      <c r="O285" s="44" t="n"/>
    </row>
    <row r="286">
      <c r="A286" s="43" t="n"/>
      <c r="C286" s="44" t="n"/>
      <c r="D286" s="44" t="n"/>
      <c r="L286" s="45" t="n"/>
      <c r="O286" s="44" t="n"/>
    </row>
    <row r="287">
      <c r="A287" s="43" t="n"/>
      <c r="C287" s="44" t="n"/>
      <c r="D287" s="44" t="n"/>
      <c r="L287" s="45" t="n"/>
      <c r="O287" s="44" t="n"/>
    </row>
    <row r="288">
      <c r="A288" s="43" t="n"/>
      <c r="C288" s="44" t="n"/>
      <c r="D288" s="44" t="n"/>
      <c r="L288" s="45" t="n"/>
      <c r="O288" s="44" t="n"/>
    </row>
    <row r="289">
      <c r="A289" s="43" t="n"/>
      <c r="C289" s="44" t="n"/>
      <c r="D289" s="44" t="n"/>
      <c r="L289" s="45" t="n"/>
      <c r="O289" s="44" t="n"/>
    </row>
    <row r="290">
      <c r="A290" s="43" t="n"/>
      <c r="C290" s="44" t="n"/>
      <c r="D290" s="44" t="n"/>
      <c r="L290" s="45" t="n"/>
      <c r="O290" s="44" t="n"/>
    </row>
    <row r="291">
      <c r="A291" s="43" t="n"/>
      <c r="C291" s="44" t="n"/>
      <c r="D291" s="44" t="n"/>
      <c r="L291" s="45" t="n"/>
      <c r="O291" s="44" t="n"/>
    </row>
    <row r="292">
      <c r="A292" s="43" t="n"/>
      <c r="C292" s="44" t="n"/>
      <c r="D292" s="44" t="n"/>
      <c r="L292" s="45" t="n"/>
      <c r="O292" s="44" t="n"/>
    </row>
    <row r="293">
      <c r="A293" s="43" t="n"/>
      <c r="C293" s="44" t="n"/>
      <c r="D293" s="44" t="n"/>
      <c r="L293" s="45" t="n"/>
      <c r="O293" s="44" t="n"/>
    </row>
    <row r="294">
      <c r="A294" s="43" t="n"/>
      <c r="C294" s="44" t="n"/>
      <c r="D294" s="44" t="n"/>
      <c r="L294" s="45" t="n"/>
      <c r="O294" s="44" t="n"/>
    </row>
    <row r="295">
      <c r="A295" s="43" t="n"/>
      <c r="C295" s="44" t="n"/>
      <c r="D295" s="44" t="n"/>
      <c r="L295" s="45" t="n"/>
      <c r="O295" s="44" t="n"/>
    </row>
    <row r="296">
      <c r="A296" s="43" t="n"/>
      <c r="C296" s="44" t="n"/>
      <c r="D296" s="44" t="n"/>
      <c r="L296" s="45" t="n"/>
      <c r="O296" s="44" t="n"/>
    </row>
    <row r="297">
      <c r="A297" s="43" t="n"/>
      <c r="C297" s="44" t="n"/>
      <c r="D297" s="44" t="n"/>
      <c r="L297" s="45" t="n"/>
      <c r="O297" s="44" t="n"/>
    </row>
    <row r="298">
      <c r="A298" s="43" t="n"/>
      <c r="C298" s="44" t="n"/>
      <c r="D298" s="44" t="n"/>
      <c r="L298" s="45" t="n"/>
      <c r="O298" s="44" t="n"/>
    </row>
    <row r="299">
      <c r="A299" s="43" t="n"/>
      <c r="C299" s="44" t="n"/>
      <c r="D299" s="44" t="n"/>
      <c r="L299" s="45" t="n"/>
      <c r="O299" s="44" t="n"/>
    </row>
    <row r="300">
      <c r="A300" s="43" t="n"/>
      <c r="C300" s="44" t="n"/>
      <c r="D300" s="44" t="n"/>
      <c r="L300" s="45" t="n"/>
      <c r="O300" s="44" t="n"/>
    </row>
    <row r="301">
      <c r="A301" s="43" t="n"/>
      <c r="C301" s="44" t="n"/>
      <c r="D301" s="44" t="n"/>
      <c r="L301" s="45" t="n"/>
      <c r="O301" s="44" t="n"/>
    </row>
    <row r="302">
      <c r="A302" s="43" t="n"/>
      <c r="C302" s="44" t="n"/>
      <c r="D302" s="44" t="n"/>
      <c r="L302" s="45" t="n"/>
      <c r="O302" s="44" t="n"/>
    </row>
    <row r="303">
      <c r="A303" s="43" t="n"/>
      <c r="C303" s="44" t="n"/>
      <c r="D303" s="44" t="n"/>
      <c r="L303" s="45" t="n"/>
      <c r="O303" s="44" t="n"/>
    </row>
    <row r="304">
      <c r="A304" s="43" t="n"/>
      <c r="C304" s="44" t="n"/>
      <c r="D304" s="44" t="n"/>
      <c r="L304" s="45" t="n"/>
      <c r="O304" s="44" t="n"/>
    </row>
    <row r="305">
      <c r="A305" s="43" t="n"/>
      <c r="C305" s="44" t="n"/>
      <c r="D305" s="44" t="n"/>
      <c r="L305" s="45" t="n"/>
      <c r="O305" s="44" t="n"/>
    </row>
    <row r="306">
      <c r="A306" s="43" t="n"/>
      <c r="C306" s="44" t="n"/>
      <c r="D306" s="44" t="n"/>
      <c r="L306" s="45" t="n"/>
      <c r="O306" s="44" t="n"/>
    </row>
    <row r="307">
      <c r="A307" s="43" t="n"/>
      <c r="C307" s="44" t="n"/>
      <c r="D307" s="44" t="n"/>
      <c r="L307" s="45" t="n"/>
      <c r="O307" s="44" t="n"/>
    </row>
    <row r="308">
      <c r="A308" s="43" t="n"/>
      <c r="C308" s="44" t="n"/>
      <c r="D308" s="44" t="n"/>
      <c r="L308" s="45" t="n"/>
      <c r="O308" s="44" t="n"/>
    </row>
    <row r="309">
      <c r="A309" s="43" t="n"/>
      <c r="C309" s="44" t="n"/>
      <c r="D309" s="44" t="n"/>
      <c r="L309" s="45" t="n"/>
      <c r="O309" s="44" t="n"/>
    </row>
    <row r="310">
      <c r="A310" s="43" t="n"/>
      <c r="C310" s="44" t="n"/>
      <c r="D310" s="44" t="n"/>
      <c r="L310" s="45" t="n"/>
      <c r="O310" s="44" t="n"/>
    </row>
    <row r="311">
      <c r="A311" s="43" t="n"/>
      <c r="C311" s="44" t="n"/>
      <c r="D311" s="44" t="n"/>
      <c r="L311" s="45" t="n"/>
      <c r="O311" s="44" t="n"/>
    </row>
    <row r="312">
      <c r="A312" s="43" t="n"/>
      <c r="C312" s="44" t="n"/>
      <c r="D312" s="44" t="n"/>
      <c r="L312" s="45" t="n"/>
      <c r="O312" s="44" t="n"/>
    </row>
    <row r="313">
      <c r="A313" s="43" t="n"/>
      <c r="C313" s="44" t="n"/>
      <c r="D313" s="44" t="n"/>
      <c r="L313" s="45" t="n"/>
      <c r="O313" s="44" t="n"/>
    </row>
    <row r="314">
      <c r="A314" s="43" t="n"/>
      <c r="C314" s="44" t="n"/>
      <c r="D314" s="44" t="n"/>
      <c r="L314" s="45" t="n"/>
      <c r="O314" s="44" t="n"/>
    </row>
    <row r="315">
      <c r="A315" s="43" t="n"/>
      <c r="C315" s="44" t="n"/>
      <c r="D315" s="44" t="n"/>
      <c r="L315" s="45" t="n"/>
      <c r="O315" s="44" t="n"/>
    </row>
    <row r="316">
      <c r="A316" s="43" t="n"/>
      <c r="C316" s="44" t="n"/>
      <c r="D316" s="44" t="n"/>
      <c r="L316" s="45" t="n"/>
      <c r="O316" s="44" t="n"/>
    </row>
    <row r="317">
      <c r="A317" s="43" t="n"/>
      <c r="C317" s="44" t="n"/>
      <c r="D317" s="44" t="n"/>
      <c r="L317" s="45" t="n"/>
      <c r="O317" s="44" t="n"/>
    </row>
    <row r="318">
      <c r="A318" s="43" t="n"/>
      <c r="C318" s="44" t="n"/>
      <c r="D318" s="44" t="n"/>
      <c r="L318" s="45" t="n"/>
      <c r="O318" s="44" t="n"/>
    </row>
    <row r="319">
      <c r="A319" s="43" t="n"/>
      <c r="C319" s="44" t="n"/>
      <c r="D319" s="44" t="n"/>
      <c r="L319" s="45" t="n"/>
      <c r="O319" s="44" t="n"/>
    </row>
    <row r="320">
      <c r="A320" s="43" t="n"/>
      <c r="C320" s="44" t="n"/>
      <c r="D320" s="44" t="n"/>
      <c r="L320" s="45" t="n"/>
      <c r="O320" s="44" t="n"/>
    </row>
    <row r="321">
      <c r="A321" s="43" t="n"/>
      <c r="C321" s="44" t="n"/>
      <c r="D321" s="44" t="n"/>
      <c r="L321" s="45" t="n"/>
      <c r="O321" s="44" t="n"/>
    </row>
    <row r="322">
      <c r="A322" s="43" t="n"/>
      <c r="C322" s="44" t="n"/>
      <c r="D322" s="44" t="n"/>
      <c r="L322" s="45" t="n"/>
      <c r="O322" s="44" t="n"/>
    </row>
    <row r="323">
      <c r="A323" s="43" t="n"/>
      <c r="C323" s="44" t="n"/>
      <c r="D323" s="44" t="n"/>
      <c r="L323" s="45" t="n"/>
      <c r="O323" s="44" t="n"/>
    </row>
    <row r="324">
      <c r="A324" s="43" t="n"/>
      <c r="C324" s="44" t="n"/>
      <c r="D324" s="44" t="n"/>
      <c r="L324" s="45" t="n"/>
      <c r="O324" s="44" t="n"/>
    </row>
    <row r="325">
      <c r="A325" s="43" t="n"/>
      <c r="C325" s="44" t="n"/>
      <c r="D325" s="44" t="n"/>
      <c r="L325" s="45" t="n"/>
      <c r="O325" s="44" t="n"/>
    </row>
    <row r="326">
      <c r="A326" s="43" t="n"/>
      <c r="C326" s="44" t="n"/>
      <c r="D326" s="44" t="n"/>
      <c r="L326" s="45" t="n"/>
      <c r="O326" s="44" t="n"/>
    </row>
    <row r="327">
      <c r="A327" s="43" t="n"/>
      <c r="C327" s="44" t="n"/>
      <c r="D327" s="44" t="n"/>
      <c r="L327" s="45" t="n"/>
      <c r="O327" s="44" t="n"/>
    </row>
    <row r="328">
      <c r="A328" s="43" t="n"/>
      <c r="C328" s="44" t="n"/>
      <c r="D328" s="44" t="n"/>
      <c r="L328" s="45" t="n"/>
      <c r="O328" s="44" t="n"/>
    </row>
    <row r="329">
      <c r="A329" s="43" t="n"/>
      <c r="C329" s="44" t="n"/>
      <c r="D329" s="44" t="n"/>
      <c r="L329" s="45" t="n"/>
      <c r="O329" s="44" t="n"/>
    </row>
    <row r="330">
      <c r="A330" s="43" t="n"/>
      <c r="C330" s="44" t="n"/>
      <c r="D330" s="44" t="n"/>
      <c r="L330" s="45" t="n"/>
      <c r="O330" s="44" t="n"/>
    </row>
    <row r="331">
      <c r="A331" s="43" t="n"/>
      <c r="C331" s="44" t="n"/>
      <c r="D331" s="44" t="n"/>
      <c r="L331" s="45" t="n"/>
      <c r="O331" s="44" t="n"/>
    </row>
    <row r="332">
      <c r="A332" s="43" t="n"/>
      <c r="C332" s="44" t="n"/>
      <c r="D332" s="44" t="n"/>
      <c r="L332" s="45" t="n"/>
      <c r="O332" s="44" t="n"/>
    </row>
    <row r="333">
      <c r="A333" s="43" t="n"/>
      <c r="C333" s="44" t="n"/>
      <c r="D333" s="44" t="n"/>
      <c r="L333" s="45" t="n"/>
      <c r="O333" s="44" t="n"/>
    </row>
    <row r="334">
      <c r="A334" s="43" t="n"/>
      <c r="C334" s="44" t="n"/>
      <c r="D334" s="44" t="n"/>
      <c r="L334" s="45" t="n"/>
      <c r="O334" s="44" t="n"/>
    </row>
    <row r="335">
      <c r="A335" s="43" t="n"/>
      <c r="C335" s="44" t="n"/>
      <c r="D335" s="44" t="n"/>
      <c r="L335" s="45" t="n"/>
      <c r="O335" s="44" t="n"/>
    </row>
    <row r="336">
      <c r="A336" s="43" t="n"/>
      <c r="C336" s="44" t="n"/>
      <c r="D336" s="44" t="n"/>
      <c r="L336" s="45" t="n"/>
      <c r="O336" s="44" t="n"/>
    </row>
    <row r="337">
      <c r="A337" s="43" t="n"/>
      <c r="C337" s="44" t="n"/>
      <c r="D337" s="44" t="n"/>
      <c r="L337" s="45" t="n"/>
      <c r="O337" s="44" t="n"/>
    </row>
    <row r="338">
      <c r="A338" s="43" t="n"/>
      <c r="C338" s="44" t="n"/>
      <c r="D338" s="44" t="n"/>
      <c r="L338" s="45" t="n"/>
      <c r="O338" s="44" t="n"/>
    </row>
    <row r="339">
      <c r="A339" s="43" t="n"/>
      <c r="C339" s="44" t="n"/>
      <c r="D339" s="44" t="n"/>
      <c r="L339" s="45" t="n"/>
      <c r="O339" s="44" t="n"/>
    </row>
    <row r="340">
      <c r="A340" s="43" t="n"/>
      <c r="C340" s="44" t="n"/>
      <c r="D340" s="44" t="n"/>
      <c r="L340" s="45" t="n"/>
      <c r="O340" s="44" t="n"/>
    </row>
    <row r="341">
      <c r="A341" s="43" t="n"/>
      <c r="C341" s="44" t="n"/>
      <c r="D341" s="44" t="n"/>
      <c r="L341" s="45" t="n"/>
      <c r="O341" s="44" t="n"/>
    </row>
    <row r="342">
      <c r="A342" s="43" t="n"/>
      <c r="C342" s="44" t="n"/>
      <c r="D342" s="44" t="n"/>
      <c r="L342" s="45" t="n"/>
      <c r="O342" s="44" t="n"/>
    </row>
    <row r="343">
      <c r="A343" s="43" t="n"/>
      <c r="C343" s="44" t="n"/>
      <c r="D343" s="44" t="n"/>
      <c r="L343" s="45" t="n"/>
      <c r="O343" s="44" t="n"/>
    </row>
    <row r="344">
      <c r="A344" s="43" t="n"/>
      <c r="C344" s="44" t="n"/>
      <c r="D344" s="44" t="n"/>
      <c r="L344" s="45" t="n"/>
      <c r="O344" s="44" t="n"/>
    </row>
    <row r="345">
      <c r="A345" s="43" t="n"/>
      <c r="C345" s="44" t="n"/>
      <c r="D345" s="44" t="n"/>
      <c r="L345" s="45" t="n"/>
      <c r="O345" s="44" t="n"/>
    </row>
    <row r="346">
      <c r="A346" s="43" t="n"/>
      <c r="C346" s="44" t="n"/>
      <c r="D346" s="44" t="n"/>
      <c r="L346" s="45" t="n"/>
      <c r="O346" s="44" t="n"/>
    </row>
    <row r="347">
      <c r="A347" s="43" t="n"/>
      <c r="C347" s="44" t="n"/>
      <c r="D347" s="44" t="n"/>
      <c r="L347" s="45" t="n"/>
      <c r="O347" s="44" t="n"/>
    </row>
    <row r="348">
      <c r="A348" s="43" t="n"/>
      <c r="C348" s="44" t="n"/>
      <c r="D348" s="44" t="n"/>
      <c r="L348" s="45" t="n"/>
      <c r="O348" s="44" t="n"/>
    </row>
    <row r="349">
      <c r="A349" s="43" t="n"/>
      <c r="C349" s="44" t="n"/>
      <c r="D349" s="44" t="n"/>
      <c r="L349" s="45" t="n"/>
      <c r="O349" s="44" t="n"/>
    </row>
    <row r="350">
      <c r="A350" s="43" t="n"/>
      <c r="C350" s="44" t="n"/>
      <c r="D350" s="44" t="n"/>
      <c r="L350" s="45" t="n"/>
      <c r="O350" s="44" t="n"/>
    </row>
    <row r="351">
      <c r="A351" s="43" t="n"/>
      <c r="C351" s="44" t="n"/>
      <c r="D351" s="44" t="n"/>
      <c r="L351" s="45" t="n"/>
      <c r="O351" s="44" t="n"/>
    </row>
    <row r="352">
      <c r="A352" s="43" t="n"/>
      <c r="C352" s="44" t="n"/>
      <c r="D352" s="44" t="n"/>
      <c r="L352" s="45" t="n"/>
      <c r="O352" s="44" t="n"/>
    </row>
    <row r="353">
      <c r="A353" s="43" t="n"/>
      <c r="C353" s="44" t="n"/>
      <c r="D353" s="44" t="n"/>
      <c r="L353" s="45" t="n"/>
      <c r="O353" s="44" t="n"/>
    </row>
    <row r="354">
      <c r="A354" s="43" t="n"/>
      <c r="C354" s="44" t="n"/>
      <c r="D354" s="44" t="n"/>
      <c r="L354" s="45" t="n"/>
      <c r="O354" s="44" t="n"/>
    </row>
    <row r="355">
      <c r="A355" s="43" t="n"/>
      <c r="C355" s="44" t="n"/>
      <c r="D355" s="44" t="n"/>
      <c r="L355" s="45" t="n"/>
      <c r="O355" s="44" t="n"/>
    </row>
    <row r="356">
      <c r="A356" s="43" t="n"/>
      <c r="C356" s="44" t="n"/>
      <c r="D356" s="44" t="n"/>
      <c r="L356" s="45" t="n"/>
      <c r="O356" s="44" t="n"/>
    </row>
    <row r="357">
      <c r="A357" s="43" t="n"/>
      <c r="C357" s="44" t="n"/>
      <c r="D357" s="44" t="n"/>
      <c r="L357" s="45" t="n"/>
      <c r="O357" s="44" t="n"/>
    </row>
    <row r="358">
      <c r="A358" s="43" t="n"/>
      <c r="C358" s="44" t="n"/>
      <c r="D358" s="44" t="n"/>
      <c r="L358" s="45" t="n"/>
      <c r="O358" s="44" t="n"/>
    </row>
    <row r="359">
      <c r="A359" s="43" t="n"/>
      <c r="C359" s="44" t="n"/>
      <c r="D359" s="44" t="n"/>
      <c r="L359" s="45" t="n"/>
      <c r="O359" s="44" t="n"/>
    </row>
    <row r="360">
      <c r="A360" s="43" t="n"/>
      <c r="C360" s="44" t="n"/>
      <c r="D360" s="44" t="n"/>
      <c r="L360" s="45" t="n"/>
      <c r="O360" s="44" t="n"/>
    </row>
    <row r="361">
      <c r="A361" s="43" t="n"/>
      <c r="C361" s="44" t="n"/>
      <c r="D361" s="44" t="n"/>
      <c r="L361" s="45" t="n"/>
      <c r="O361" s="44" t="n"/>
    </row>
    <row r="362">
      <c r="A362" s="43" t="n"/>
      <c r="C362" s="44" t="n"/>
      <c r="D362" s="44" t="n"/>
      <c r="L362" s="45" t="n"/>
      <c r="O362" s="44" t="n"/>
    </row>
    <row r="363">
      <c r="A363" s="43" t="n"/>
      <c r="C363" s="44" t="n"/>
      <c r="D363" s="44" t="n"/>
      <c r="L363" s="45" t="n"/>
      <c r="O363" s="44" t="n"/>
    </row>
    <row r="364">
      <c r="A364" s="43" t="n"/>
      <c r="C364" s="44" t="n"/>
      <c r="D364" s="44" t="n"/>
      <c r="L364" s="45" t="n"/>
      <c r="O364" s="44" t="n"/>
    </row>
    <row r="365">
      <c r="A365" s="43" t="n"/>
      <c r="C365" s="44" t="n"/>
      <c r="D365" s="44" t="n"/>
      <c r="L365" s="45" t="n"/>
      <c r="O365" s="44" t="n"/>
    </row>
    <row r="366">
      <c r="A366" s="43" t="n"/>
      <c r="C366" s="44" t="n"/>
      <c r="D366" s="44" t="n"/>
      <c r="L366" s="45" t="n"/>
      <c r="O366" s="44" t="n"/>
    </row>
    <row r="367">
      <c r="A367" s="43" t="n"/>
      <c r="C367" s="44" t="n"/>
      <c r="D367" s="44" t="n"/>
      <c r="L367" s="45" t="n"/>
      <c r="O367" s="44" t="n"/>
    </row>
    <row r="368">
      <c r="A368" s="43" t="n"/>
      <c r="C368" s="44" t="n"/>
      <c r="D368" s="44" t="n"/>
      <c r="L368" s="45" t="n"/>
      <c r="O368" s="44" t="n"/>
    </row>
    <row r="369">
      <c r="A369" s="43" t="n"/>
      <c r="C369" s="44" t="n"/>
      <c r="D369" s="44" t="n"/>
      <c r="L369" s="45" t="n"/>
      <c r="O369" s="44" t="n"/>
    </row>
    <row r="370">
      <c r="A370" s="43" t="n"/>
      <c r="C370" s="44" t="n"/>
      <c r="D370" s="44" t="n"/>
      <c r="L370" s="45" t="n"/>
      <c r="O370" s="44" t="n"/>
    </row>
    <row r="371">
      <c r="A371" s="43" t="n"/>
      <c r="C371" s="44" t="n"/>
      <c r="D371" s="44" t="n"/>
      <c r="L371" s="45" t="n"/>
      <c r="O371" s="44" t="n"/>
    </row>
    <row r="372">
      <c r="A372" s="43" t="n"/>
      <c r="C372" s="44" t="n"/>
      <c r="D372" s="44" t="n"/>
      <c r="L372" s="45" t="n"/>
      <c r="O372" s="44" t="n"/>
    </row>
    <row r="373">
      <c r="A373" s="43" t="n"/>
      <c r="C373" s="44" t="n"/>
      <c r="D373" s="44" t="n"/>
      <c r="L373" s="45" t="n"/>
      <c r="O373" s="44" t="n"/>
    </row>
    <row r="374">
      <c r="A374" s="43" t="n"/>
      <c r="C374" s="44" t="n"/>
      <c r="D374" s="44" t="n"/>
      <c r="L374" s="45" t="n"/>
      <c r="O374" s="44" t="n"/>
    </row>
    <row r="375">
      <c r="A375" s="43" t="n"/>
      <c r="C375" s="44" t="n"/>
      <c r="D375" s="44" t="n"/>
      <c r="L375" s="45" t="n"/>
      <c r="O375" s="44" t="n"/>
    </row>
    <row r="376">
      <c r="A376" s="43" t="n"/>
      <c r="C376" s="44" t="n"/>
      <c r="D376" s="44" t="n"/>
      <c r="L376" s="45" t="n"/>
      <c r="O376" s="44" t="n"/>
    </row>
    <row r="377">
      <c r="A377" s="43" t="n"/>
      <c r="C377" s="44" t="n"/>
      <c r="D377" s="44" t="n"/>
      <c r="L377" s="45" t="n"/>
      <c r="O377" s="44" t="n"/>
    </row>
    <row r="378">
      <c r="A378" s="43" t="n"/>
      <c r="C378" s="44" t="n"/>
      <c r="D378" s="44" t="n"/>
      <c r="L378" s="45" t="n"/>
      <c r="O378" s="44" t="n"/>
    </row>
    <row r="379">
      <c r="A379" s="43" t="n"/>
      <c r="C379" s="44" t="n"/>
      <c r="D379" s="44" t="n"/>
      <c r="L379" s="45" t="n"/>
      <c r="O379" s="44" t="n"/>
    </row>
    <row r="380">
      <c r="A380" s="43" t="n"/>
      <c r="C380" s="44" t="n"/>
      <c r="D380" s="44" t="n"/>
      <c r="L380" s="45" t="n"/>
      <c r="O380" s="44" t="n"/>
    </row>
    <row r="381">
      <c r="A381" s="43" t="n"/>
      <c r="C381" s="44" t="n"/>
      <c r="D381" s="44" t="n"/>
      <c r="L381" s="45" t="n"/>
      <c r="O381" s="44" t="n"/>
    </row>
    <row r="382">
      <c r="A382" s="43" t="n"/>
      <c r="C382" s="44" t="n"/>
      <c r="D382" s="44" t="n"/>
      <c r="L382" s="45" t="n"/>
      <c r="O382" s="44" t="n"/>
    </row>
    <row r="383">
      <c r="A383" s="43" t="n"/>
      <c r="C383" s="44" t="n"/>
      <c r="D383" s="44" t="n"/>
      <c r="L383" s="45" t="n"/>
      <c r="O383" s="44" t="n"/>
    </row>
    <row r="384">
      <c r="A384" s="43" t="n"/>
      <c r="C384" s="44" t="n"/>
      <c r="D384" s="44" t="n"/>
      <c r="L384" s="45" t="n"/>
      <c r="O384" s="44" t="n"/>
    </row>
    <row r="385">
      <c r="A385" s="43" t="n"/>
      <c r="C385" s="44" t="n"/>
      <c r="D385" s="44" t="n"/>
      <c r="L385" s="45" t="n"/>
      <c r="O385" s="44" t="n"/>
    </row>
    <row r="386">
      <c r="A386" s="43" t="n"/>
      <c r="C386" s="44" t="n"/>
      <c r="D386" s="44" t="n"/>
      <c r="L386" s="45" t="n"/>
      <c r="O386" s="44" t="n"/>
    </row>
    <row r="387">
      <c r="A387" s="43" t="n"/>
      <c r="C387" s="44" t="n"/>
      <c r="D387" s="44" t="n"/>
      <c r="L387" s="45" t="n"/>
      <c r="O387" s="44" t="n"/>
    </row>
    <row r="388">
      <c r="A388" s="43" t="n"/>
      <c r="C388" s="44" t="n"/>
      <c r="D388" s="44" t="n"/>
      <c r="L388" s="45" t="n"/>
      <c r="O388" s="44" t="n"/>
    </row>
    <row r="389">
      <c r="A389" s="43" t="n"/>
      <c r="C389" s="44" t="n"/>
      <c r="D389" s="44" t="n"/>
      <c r="L389" s="45" t="n"/>
      <c r="O389" s="44" t="n"/>
    </row>
    <row r="390">
      <c r="A390" s="43" t="n"/>
      <c r="C390" s="44" t="n"/>
      <c r="D390" s="44" t="n"/>
      <c r="L390" s="45" t="n"/>
      <c r="O390" s="44" t="n"/>
    </row>
    <row r="391">
      <c r="A391" s="43" t="n"/>
      <c r="C391" s="44" t="n"/>
      <c r="D391" s="44" t="n"/>
      <c r="L391" s="45" t="n"/>
      <c r="O391" s="44" t="n"/>
    </row>
    <row r="392">
      <c r="A392" s="43" t="n"/>
      <c r="C392" s="44" t="n"/>
      <c r="D392" s="44" t="n"/>
      <c r="L392" s="45" t="n"/>
      <c r="O392" s="44" t="n"/>
    </row>
    <row r="393">
      <c r="A393" s="43" t="n"/>
      <c r="C393" s="44" t="n"/>
      <c r="D393" s="44" t="n"/>
      <c r="L393" s="45" t="n"/>
      <c r="O393" s="44" t="n"/>
    </row>
    <row r="394">
      <c r="A394" s="43" t="n"/>
      <c r="C394" s="44" t="n"/>
      <c r="D394" s="44" t="n"/>
      <c r="L394" s="45" t="n"/>
      <c r="O394" s="44" t="n"/>
    </row>
    <row r="395">
      <c r="A395" s="43" t="n"/>
      <c r="C395" s="44" t="n"/>
      <c r="D395" s="44" t="n"/>
      <c r="L395" s="45" t="n"/>
      <c r="O395" s="44" t="n"/>
    </row>
    <row r="396">
      <c r="A396" s="43" t="n"/>
      <c r="C396" s="44" t="n"/>
      <c r="D396" s="44" t="n"/>
      <c r="L396" s="45" t="n"/>
      <c r="O396" s="44" t="n"/>
    </row>
    <row r="397">
      <c r="A397" s="43" t="n"/>
      <c r="C397" s="44" t="n"/>
      <c r="D397" s="44" t="n"/>
      <c r="L397" s="45" t="n"/>
      <c r="O397" s="44" t="n"/>
    </row>
    <row r="398">
      <c r="A398" s="43" t="n"/>
      <c r="C398" s="44" t="n"/>
      <c r="D398" s="44" t="n"/>
      <c r="L398" s="45" t="n"/>
      <c r="O398" s="44" t="n"/>
    </row>
    <row r="399">
      <c r="A399" s="43" t="n"/>
      <c r="C399" s="44" t="n"/>
      <c r="D399" s="44" t="n"/>
      <c r="L399" s="45" t="n"/>
      <c r="O399" s="44" t="n"/>
    </row>
    <row r="400">
      <c r="A400" s="43" t="n"/>
      <c r="C400" s="44" t="n"/>
      <c r="D400" s="44" t="n"/>
      <c r="L400" s="45" t="n"/>
      <c r="O400" s="44" t="n"/>
    </row>
    <row r="401">
      <c r="A401" s="43" t="n"/>
      <c r="C401" s="44" t="n"/>
      <c r="D401" s="44" t="n"/>
      <c r="L401" s="45" t="n"/>
      <c r="O401" s="44" t="n"/>
    </row>
    <row r="402">
      <c r="A402" s="43" t="n"/>
      <c r="C402" s="44" t="n"/>
      <c r="D402" s="44" t="n"/>
      <c r="L402" s="45" t="n"/>
      <c r="O402" s="44" t="n"/>
    </row>
    <row r="403">
      <c r="A403" s="43" t="n"/>
      <c r="C403" s="44" t="n"/>
      <c r="D403" s="44" t="n"/>
      <c r="L403" s="45" t="n"/>
      <c r="O403" s="44" t="n"/>
    </row>
    <row r="404">
      <c r="A404" s="43" t="n"/>
      <c r="C404" s="44" t="n"/>
      <c r="D404" s="44" t="n"/>
      <c r="L404" s="45" t="n"/>
      <c r="O404" s="44" t="n"/>
    </row>
    <row r="405">
      <c r="A405" s="43" t="n"/>
      <c r="C405" s="44" t="n"/>
      <c r="D405" s="44" t="n"/>
      <c r="L405" s="45" t="n"/>
      <c r="O405" s="44" t="n"/>
    </row>
    <row r="406">
      <c r="A406" s="43" t="n"/>
      <c r="C406" s="44" t="n"/>
      <c r="D406" s="44" t="n"/>
      <c r="L406" s="45" t="n"/>
      <c r="O406" s="44" t="n"/>
    </row>
    <row r="407">
      <c r="A407" s="43" t="n"/>
      <c r="C407" s="44" t="n"/>
      <c r="D407" s="44" t="n"/>
      <c r="L407" s="45" t="n"/>
      <c r="O407" s="44" t="n"/>
    </row>
    <row r="408">
      <c r="A408" s="43" t="n"/>
      <c r="C408" s="44" t="n"/>
      <c r="D408" s="44" t="n"/>
      <c r="L408" s="45" t="n"/>
      <c r="O408" s="44" t="n"/>
    </row>
    <row r="409">
      <c r="A409" s="43" t="n"/>
      <c r="C409" s="44" t="n"/>
      <c r="D409" s="44" t="n"/>
      <c r="L409" s="45" t="n"/>
      <c r="O409" s="44" t="n"/>
    </row>
    <row r="410">
      <c r="A410" s="43" t="n"/>
      <c r="C410" s="44" t="n"/>
      <c r="D410" s="44" t="n"/>
      <c r="L410" s="45" t="n"/>
      <c r="O410" s="44" t="n"/>
    </row>
    <row r="411">
      <c r="A411" s="43" t="n"/>
      <c r="C411" s="44" t="n"/>
      <c r="D411" s="44" t="n"/>
      <c r="L411" s="45" t="n"/>
      <c r="O411" s="44" t="n"/>
    </row>
    <row r="412">
      <c r="A412" s="43" t="n"/>
      <c r="C412" s="44" t="n"/>
      <c r="D412" s="44" t="n"/>
      <c r="L412" s="45" t="n"/>
      <c r="O412" s="44" t="n"/>
    </row>
    <row r="413">
      <c r="A413" s="43" t="n"/>
      <c r="C413" s="44" t="n"/>
      <c r="D413" s="44" t="n"/>
      <c r="L413" s="45" t="n"/>
      <c r="O413" s="44" t="n"/>
    </row>
    <row r="414">
      <c r="A414" s="43" t="n"/>
      <c r="C414" s="44" t="n"/>
      <c r="D414" s="44" t="n"/>
      <c r="L414" s="45" t="n"/>
      <c r="O414" s="44" t="n"/>
    </row>
    <row r="415">
      <c r="A415" s="43" t="n"/>
      <c r="C415" s="44" t="n"/>
      <c r="D415" s="44" t="n"/>
      <c r="L415" s="45" t="n"/>
      <c r="O415" s="44" t="n"/>
    </row>
    <row r="416">
      <c r="A416" s="43" t="n"/>
      <c r="C416" s="44" t="n"/>
      <c r="D416" s="44" t="n"/>
      <c r="L416" s="45" t="n"/>
      <c r="O416" s="44" t="n"/>
    </row>
    <row r="417">
      <c r="A417" s="43" t="n"/>
      <c r="C417" s="44" t="n"/>
      <c r="D417" s="44" t="n"/>
      <c r="L417" s="45" t="n"/>
      <c r="O417" s="44" t="n"/>
    </row>
    <row r="418">
      <c r="A418" s="43" t="n"/>
      <c r="C418" s="44" t="n"/>
      <c r="D418" s="44" t="n"/>
      <c r="L418" s="45" t="n"/>
      <c r="O418" s="44" t="n"/>
    </row>
    <row r="419">
      <c r="A419" s="43" t="n"/>
      <c r="C419" s="44" t="n"/>
      <c r="D419" s="44" t="n"/>
      <c r="L419" s="45" t="n"/>
      <c r="O419" s="44" t="n"/>
    </row>
    <row r="420">
      <c r="A420" s="43" t="n"/>
      <c r="C420" s="44" t="n"/>
      <c r="D420" s="44" t="n"/>
      <c r="L420" s="45" t="n"/>
      <c r="O420" s="44" t="n"/>
    </row>
    <row r="421">
      <c r="A421" s="43" t="n"/>
      <c r="C421" s="44" t="n"/>
      <c r="D421" s="44" t="n"/>
      <c r="L421" s="45" t="n"/>
      <c r="O421" s="44" t="n"/>
    </row>
    <row r="422">
      <c r="A422" s="43" t="n"/>
      <c r="C422" s="44" t="n"/>
      <c r="D422" s="44" t="n"/>
      <c r="L422" s="45" t="n"/>
      <c r="O422" s="44" t="n"/>
    </row>
    <row r="423">
      <c r="A423" s="43" t="n"/>
      <c r="C423" s="44" t="n"/>
      <c r="D423" s="44" t="n"/>
      <c r="L423" s="45" t="n"/>
      <c r="O423" s="44" t="n"/>
    </row>
    <row r="424">
      <c r="A424" s="43" t="n"/>
      <c r="C424" s="44" t="n"/>
      <c r="D424" s="44" t="n"/>
      <c r="L424" s="45" t="n"/>
      <c r="O424" s="44" t="n"/>
    </row>
    <row r="425">
      <c r="A425" s="43" t="n"/>
      <c r="C425" s="44" t="n"/>
      <c r="D425" s="44" t="n"/>
      <c r="L425" s="45" t="n"/>
      <c r="O425" s="44" t="n"/>
    </row>
    <row r="426">
      <c r="A426" s="43" t="n"/>
      <c r="C426" s="44" t="n"/>
      <c r="D426" s="44" t="n"/>
      <c r="L426" s="45" t="n"/>
      <c r="O426" s="44" t="n"/>
    </row>
    <row r="427">
      <c r="A427" s="43" t="n"/>
      <c r="C427" s="44" t="n"/>
      <c r="D427" s="44" t="n"/>
      <c r="L427" s="45" t="n"/>
      <c r="O427" s="44" t="n"/>
    </row>
    <row r="428">
      <c r="A428" s="43" t="n"/>
      <c r="C428" s="44" t="n"/>
      <c r="D428" s="44" t="n"/>
      <c r="L428" s="45" t="n"/>
      <c r="O428" s="44" t="n"/>
    </row>
    <row r="429">
      <c r="A429" s="43" t="n"/>
      <c r="C429" s="44" t="n"/>
      <c r="D429" s="44" t="n"/>
      <c r="L429" s="45" t="n"/>
      <c r="O429" s="44" t="n"/>
    </row>
    <row r="430">
      <c r="A430" s="43" t="n"/>
      <c r="C430" s="44" t="n"/>
      <c r="D430" s="44" t="n"/>
      <c r="L430" s="45" t="n"/>
      <c r="O430" s="44" t="n"/>
    </row>
    <row r="431">
      <c r="A431" s="43" t="n"/>
      <c r="C431" s="44" t="n"/>
      <c r="D431" s="44" t="n"/>
      <c r="L431" s="45" t="n"/>
      <c r="O431" s="44" t="n"/>
    </row>
    <row r="432">
      <c r="A432" s="43" t="n"/>
      <c r="C432" s="44" t="n"/>
      <c r="D432" s="44" t="n"/>
      <c r="L432" s="45" t="n"/>
      <c r="O432" s="44" t="n"/>
    </row>
    <row r="433">
      <c r="A433" s="43" t="n"/>
      <c r="C433" s="44" t="n"/>
      <c r="D433" s="44" t="n"/>
      <c r="L433" s="45" t="n"/>
      <c r="O433" s="44" t="n"/>
    </row>
    <row r="434">
      <c r="A434" s="43" t="n"/>
      <c r="C434" s="44" t="n"/>
      <c r="D434" s="44" t="n"/>
      <c r="L434" s="45" t="n"/>
      <c r="O434" s="44" t="n"/>
    </row>
    <row r="435">
      <c r="A435" s="43" t="n"/>
      <c r="C435" s="44" t="n"/>
      <c r="D435" s="44" t="n"/>
      <c r="L435" s="45" t="n"/>
      <c r="O435" s="44" t="n"/>
    </row>
    <row r="436">
      <c r="A436" s="43" t="n"/>
      <c r="C436" s="44" t="n"/>
      <c r="D436" s="44" t="n"/>
      <c r="L436" s="45" t="n"/>
      <c r="O436" s="44" t="n"/>
    </row>
    <row r="437">
      <c r="A437" s="43" t="n"/>
      <c r="C437" s="44" t="n"/>
      <c r="D437" s="44" t="n"/>
      <c r="L437" s="45" t="n"/>
      <c r="O437" s="44" t="n"/>
    </row>
    <row r="438">
      <c r="A438" s="43" t="n"/>
      <c r="C438" s="44" t="n"/>
      <c r="D438" s="44" t="n"/>
      <c r="L438" s="45" t="n"/>
      <c r="O438" s="44" t="n"/>
    </row>
    <row r="439">
      <c r="A439" s="43" t="n"/>
      <c r="C439" s="44" t="n"/>
      <c r="D439" s="44" t="n"/>
      <c r="L439" s="45" t="n"/>
      <c r="O439" s="44" t="n"/>
    </row>
    <row r="440">
      <c r="A440" s="43" t="n"/>
      <c r="C440" s="44" t="n"/>
      <c r="D440" s="44" t="n"/>
      <c r="L440" s="45" t="n"/>
      <c r="O440" s="44" t="n"/>
    </row>
    <row r="441">
      <c r="A441" s="43" t="n"/>
      <c r="C441" s="44" t="n"/>
      <c r="D441" s="44" t="n"/>
      <c r="L441" s="45" t="n"/>
      <c r="O441" s="44" t="n"/>
    </row>
    <row r="442">
      <c r="A442" s="43" t="n"/>
      <c r="C442" s="44" t="n"/>
      <c r="D442" s="44" t="n"/>
      <c r="L442" s="45" t="n"/>
      <c r="O442" s="44" t="n"/>
    </row>
    <row r="443">
      <c r="A443" s="43" t="n"/>
      <c r="C443" s="44" t="n"/>
      <c r="D443" s="44" t="n"/>
      <c r="L443" s="45" t="n"/>
      <c r="O443" s="44" t="n"/>
    </row>
    <row r="444">
      <c r="A444" s="43" t="n"/>
      <c r="C444" s="44" t="n"/>
      <c r="D444" s="44" t="n"/>
      <c r="L444" s="45" t="n"/>
      <c r="O444" s="44" t="n"/>
    </row>
    <row r="445">
      <c r="A445" s="43" t="n"/>
      <c r="C445" s="44" t="n"/>
      <c r="D445" s="44" t="n"/>
      <c r="L445" s="45" t="n"/>
      <c r="O445" s="44" t="n"/>
    </row>
    <row r="446">
      <c r="A446" s="43" t="n"/>
      <c r="C446" s="44" t="n"/>
      <c r="D446" s="44" t="n"/>
      <c r="L446" s="45" t="n"/>
      <c r="O446" s="44" t="n"/>
    </row>
    <row r="447">
      <c r="A447" s="43" t="n"/>
      <c r="C447" s="44" t="n"/>
      <c r="D447" s="44" t="n"/>
      <c r="L447" s="45" t="n"/>
      <c r="O447" s="44" t="n"/>
    </row>
    <row r="448">
      <c r="A448" s="43" t="n"/>
      <c r="C448" s="44" t="n"/>
      <c r="D448" s="44" t="n"/>
      <c r="L448" s="45" t="n"/>
      <c r="O448" s="44" t="n"/>
    </row>
    <row r="449">
      <c r="A449" s="43" t="n"/>
      <c r="C449" s="44" t="n"/>
      <c r="D449" s="44" t="n"/>
      <c r="L449" s="45" t="n"/>
      <c r="O449" s="44" t="n"/>
    </row>
    <row r="450">
      <c r="A450" s="43" t="n"/>
      <c r="C450" s="44" t="n"/>
      <c r="D450" s="44" t="n"/>
      <c r="L450" s="45" t="n"/>
      <c r="O450" s="44" t="n"/>
    </row>
    <row r="451">
      <c r="A451" s="43" t="n"/>
      <c r="C451" s="44" t="n"/>
      <c r="D451" s="44" t="n"/>
      <c r="L451" s="45" t="n"/>
      <c r="O451" s="44" t="n"/>
    </row>
    <row r="452">
      <c r="A452" s="43" t="n"/>
      <c r="C452" s="44" t="n"/>
      <c r="D452" s="44" t="n"/>
      <c r="L452" s="45" t="n"/>
      <c r="O452" s="44" t="n"/>
    </row>
    <row r="453">
      <c r="A453" s="43" t="n"/>
      <c r="C453" s="44" t="n"/>
      <c r="D453" s="44" t="n"/>
      <c r="L453" s="45" t="n"/>
      <c r="O453" s="44" t="n"/>
    </row>
    <row r="454">
      <c r="A454" s="43" t="n"/>
      <c r="C454" s="44" t="n"/>
      <c r="D454" s="44" t="n"/>
      <c r="L454" s="45" t="n"/>
      <c r="O454" s="44" t="n"/>
    </row>
    <row r="455">
      <c r="A455" s="43" t="n"/>
      <c r="C455" s="44" t="n"/>
      <c r="D455" s="44" t="n"/>
      <c r="L455" s="45" t="n"/>
      <c r="O455" s="44" t="n"/>
    </row>
    <row r="456">
      <c r="A456" s="43" t="n"/>
      <c r="C456" s="44" t="n"/>
      <c r="D456" s="44" t="n"/>
      <c r="L456" s="45" t="n"/>
      <c r="O456" s="44" t="n"/>
    </row>
    <row r="457">
      <c r="A457" s="43" t="n"/>
      <c r="C457" s="44" t="n"/>
      <c r="D457" s="44" t="n"/>
      <c r="L457" s="45" t="n"/>
      <c r="O457" s="44" t="n"/>
    </row>
    <row r="458">
      <c r="A458" s="43" t="n"/>
      <c r="C458" s="44" t="n"/>
      <c r="D458" s="44" t="n"/>
      <c r="L458" s="45" t="n"/>
      <c r="O458" s="44" t="n"/>
    </row>
    <row r="459">
      <c r="A459" s="43" t="n"/>
      <c r="C459" s="44" t="n"/>
      <c r="D459" s="44" t="n"/>
      <c r="L459" s="45" t="n"/>
      <c r="O459" s="44" t="n"/>
    </row>
    <row r="460">
      <c r="A460" s="43" t="n"/>
      <c r="C460" s="44" t="n"/>
      <c r="D460" s="44" t="n"/>
      <c r="L460" s="45" t="n"/>
      <c r="O460" s="44" t="n"/>
    </row>
    <row r="461">
      <c r="A461" s="43" t="n"/>
      <c r="C461" s="44" t="n"/>
      <c r="D461" s="44" t="n"/>
      <c r="L461" s="45" t="n"/>
      <c r="O461" s="44" t="n"/>
    </row>
    <row r="462">
      <c r="A462" s="43" t="n"/>
      <c r="C462" s="44" t="n"/>
      <c r="D462" s="44" t="n"/>
      <c r="L462" s="45" t="n"/>
      <c r="O462" s="44" t="n"/>
    </row>
    <row r="463">
      <c r="A463" s="43" t="n"/>
      <c r="C463" s="44" t="n"/>
      <c r="D463" s="44" t="n"/>
      <c r="L463" s="45" t="n"/>
      <c r="O463" s="44" t="n"/>
    </row>
    <row r="464">
      <c r="A464" s="43" t="n"/>
      <c r="C464" s="44" t="n"/>
      <c r="D464" s="44" t="n"/>
      <c r="L464" s="45" t="n"/>
      <c r="O464" s="44" t="n"/>
    </row>
    <row r="465">
      <c r="A465" s="43" t="n"/>
      <c r="C465" s="44" t="n"/>
      <c r="D465" s="44" t="n"/>
      <c r="L465" s="45" t="n"/>
      <c r="O465" s="44" t="n"/>
    </row>
    <row r="466">
      <c r="A466" s="43" t="n"/>
      <c r="C466" s="44" t="n"/>
      <c r="D466" s="44" t="n"/>
      <c r="L466" s="45" t="n"/>
      <c r="O466" s="44" t="n"/>
    </row>
    <row r="467">
      <c r="A467" s="43" t="n"/>
      <c r="C467" s="44" t="n"/>
      <c r="D467" s="44" t="n"/>
      <c r="L467" s="45" t="n"/>
      <c r="O467" s="44" t="n"/>
    </row>
    <row r="468">
      <c r="A468" s="43" t="n"/>
      <c r="C468" s="44" t="n"/>
      <c r="D468" s="44" t="n"/>
      <c r="L468" s="45" t="n"/>
      <c r="O468" s="44" t="n"/>
    </row>
    <row r="469">
      <c r="A469" s="43" t="n"/>
      <c r="C469" s="44" t="n"/>
      <c r="D469" s="44" t="n"/>
      <c r="L469" s="45" t="n"/>
      <c r="O469" s="44" t="n"/>
    </row>
    <row r="470">
      <c r="A470" s="43" t="n"/>
      <c r="C470" s="44" t="n"/>
      <c r="D470" s="44" t="n"/>
      <c r="L470" s="45" t="n"/>
      <c r="O470" s="44" t="n"/>
    </row>
    <row r="471">
      <c r="A471" s="43" t="n"/>
      <c r="C471" s="44" t="n"/>
      <c r="D471" s="44" t="n"/>
      <c r="L471" s="45" t="n"/>
      <c r="O471" s="44" t="n"/>
    </row>
    <row r="472">
      <c r="A472" s="43" t="n"/>
      <c r="C472" s="44" t="n"/>
      <c r="D472" s="44" t="n"/>
      <c r="L472" s="45" t="n"/>
      <c r="O472" s="44" t="n"/>
    </row>
    <row r="473">
      <c r="A473" s="43" t="n"/>
      <c r="C473" s="44" t="n"/>
      <c r="D473" s="44" t="n"/>
      <c r="L473" s="45" t="n"/>
      <c r="O473" s="44" t="n"/>
    </row>
    <row r="474">
      <c r="A474" s="43" t="n"/>
      <c r="C474" s="44" t="n"/>
      <c r="D474" s="44" t="n"/>
      <c r="L474" s="45" t="n"/>
      <c r="O474" s="44" t="n"/>
    </row>
    <row r="475">
      <c r="A475" s="43" t="n"/>
      <c r="C475" s="44" t="n"/>
      <c r="D475" s="44" t="n"/>
      <c r="L475" s="45" t="n"/>
      <c r="O475" s="44" t="n"/>
    </row>
    <row r="476">
      <c r="A476" s="43" t="n"/>
      <c r="C476" s="44" t="n"/>
      <c r="D476" s="44" t="n"/>
      <c r="L476" s="45" t="n"/>
      <c r="O476" s="44" t="n"/>
    </row>
    <row r="477">
      <c r="A477" s="43" t="n"/>
      <c r="C477" s="44" t="n"/>
      <c r="D477" s="44" t="n"/>
      <c r="L477" s="45" t="n"/>
      <c r="O477" s="44" t="n"/>
    </row>
    <row r="478">
      <c r="A478" s="43" t="n"/>
      <c r="C478" s="44" t="n"/>
      <c r="D478" s="44" t="n"/>
      <c r="L478" s="45" t="n"/>
      <c r="O478" s="44" t="n"/>
    </row>
    <row r="479">
      <c r="A479" s="43" t="n"/>
      <c r="C479" s="44" t="n"/>
      <c r="D479" s="44" t="n"/>
      <c r="L479" s="45" t="n"/>
      <c r="O479" s="44" t="n"/>
    </row>
    <row r="480">
      <c r="A480" s="43" t="n"/>
      <c r="C480" s="44" t="n"/>
      <c r="D480" s="44" t="n"/>
      <c r="L480" s="45" t="n"/>
      <c r="O480" s="44" t="n"/>
    </row>
    <row r="481">
      <c r="A481" s="43" t="n"/>
      <c r="C481" s="44" t="n"/>
      <c r="D481" s="44" t="n"/>
      <c r="L481" s="45" t="n"/>
      <c r="O481" s="44" t="n"/>
    </row>
    <row r="482">
      <c r="A482" s="43" t="n"/>
      <c r="C482" s="44" t="n"/>
      <c r="D482" s="44" t="n"/>
      <c r="L482" s="45" t="n"/>
      <c r="O482" s="44" t="n"/>
    </row>
    <row r="483">
      <c r="A483" s="43" t="n"/>
      <c r="C483" s="44" t="n"/>
      <c r="D483" s="44" t="n"/>
      <c r="L483" s="45" t="n"/>
      <c r="O483" s="44" t="n"/>
    </row>
    <row r="484">
      <c r="A484" s="43" t="n"/>
      <c r="C484" s="44" t="n"/>
      <c r="D484" s="44" t="n"/>
      <c r="L484" s="45" t="n"/>
      <c r="O484" s="44" t="n"/>
    </row>
    <row r="485">
      <c r="A485" s="43" t="n"/>
      <c r="C485" s="44" t="n"/>
      <c r="D485" s="44" t="n"/>
      <c r="L485" s="45" t="n"/>
      <c r="O485" s="44" t="n"/>
    </row>
    <row r="486">
      <c r="A486" s="43" t="n"/>
      <c r="C486" s="44" t="n"/>
      <c r="D486" s="44" t="n"/>
      <c r="L486" s="45" t="n"/>
      <c r="O486" s="44" t="n"/>
    </row>
    <row r="487">
      <c r="A487" s="43" t="n"/>
      <c r="C487" s="44" t="n"/>
      <c r="D487" s="44" t="n"/>
      <c r="L487" s="45" t="n"/>
      <c r="O487" s="44" t="n"/>
    </row>
    <row r="488">
      <c r="A488" s="43" t="n"/>
      <c r="C488" s="44" t="n"/>
      <c r="D488" s="44" t="n"/>
      <c r="L488" s="45" t="n"/>
      <c r="O488" s="44" t="n"/>
    </row>
    <row r="489">
      <c r="A489" s="43" t="n"/>
      <c r="C489" s="44" t="n"/>
      <c r="D489" s="44" t="n"/>
      <c r="L489" s="45" t="n"/>
      <c r="O489" s="44" t="n"/>
    </row>
    <row r="490">
      <c r="A490" s="43" t="n"/>
      <c r="C490" s="44" t="n"/>
      <c r="D490" s="44" t="n"/>
      <c r="L490" s="45" t="n"/>
      <c r="O490" s="44" t="n"/>
    </row>
    <row r="491">
      <c r="A491" s="43" t="n"/>
      <c r="C491" s="44" t="n"/>
      <c r="D491" s="44" t="n"/>
      <c r="L491" s="45" t="n"/>
      <c r="O491" s="44" t="n"/>
    </row>
    <row r="492">
      <c r="A492" s="43" t="n"/>
      <c r="C492" s="44" t="n"/>
      <c r="D492" s="44" t="n"/>
      <c r="L492" s="45" t="n"/>
      <c r="O492" s="44" t="n"/>
    </row>
    <row r="493">
      <c r="A493" s="43" t="n"/>
      <c r="C493" s="44" t="n"/>
      <c r="D493" s="44" t="n"/>
      <c r="L493" s="45" t="n"/>
      <c r="O493" s="44" t="n"/>
    </row>
    <row r="494">
      <c r="A494" s="43" t="n"/>
      <c r="C494" s="44" t="n"/>
      <c r="D494" s="44" t="n"/>
      <c r="L494" s="45" t="n"/>
      <c r="O494" s="44" t="n"/>
    </row>
    <row r="495">
      <c r="A495" s="43" t="n"/>
      <c r="C495" s="44" t="n"/>
      <c r="D495" s="44" t="n"/>
      <c r="L495" s="45" t="n"/>
      <c r="O495" s="44" t="n"/>
    </row>
    <row r="496">
      <c r="A496" s="43" t="n"/>
      <c r="C496" s="44" t="n"/>
      <c r="D496" s="44" t="n"/>
      <c r="L496" s="45" t="n"/>
      <c r="O496" s="44" t="n"/>
    </row>
    <row r="497">
      <c r="A497" s="43" t="n"/>
      <c r="C497" s="44" t="n"/>
      <c r="D497" s="44" t="n"/>
      <c r="L497" s="45" t="n"/>
      <c r="O497" s="44" t="n"/>
    </row>
    <row r="498">
      <c r="A498" s="43" t="n"/>
      <c r="C498" s="44" t="n"/>
      <c r="D498" s="44" t="n"/>
      <c r="L498" s="45" t="n"/>
      <c r="O498" s="44" t="n"/>
    </row>
    <row r="499">
      <c r="A499" s="43" t="n"/>
      <c r="C499" s="44" t="n"/>
      <c r="D499" s="44" t="n"/>
      <c r="L499" s="45" t="n"/>
      <c r="O499" s="44" t="n"/>
    </row>
    <row r="500">
      <c r="A500" s="43" t="n"/>
      <c r="C500" s="44" t="n"/>
      <c r="D500" s="44" t="n"/>
      <c r="L500" s="45" t="n"/>
      <c r="O500" s="44" t="n"/>
    </row>
    <row r="501">
      <c r="A501" s="43" t="n"/>
      <c r="C501" s="44" t="n"/>
      <c r="D501" s="44" t="n"/>
      <c r="L501" s="45" t="n"/>
      <c r="O501" s="44" t="n"/>
    </row>
    <row r="502">
      <c r="A502" s="43" t="n"/>
      <c r="C502" s="44" t="n"/>
      <c r="D502" s="44" t="n"/>
      <c r="L502" s="45" t="n"/>
      <c r="O502" s="44" t="n"/>
    </row>
    <row r="503">
      <c r="A503" s="43" t="n"/>
      <c r="C503" s="44" t="n"/>
      <c r="D503" s="44" t="n"/>
      <c r="L503" s="45" t="n"/>
      <c r="O503" s="44" t="n"/>
    </row>
    <row r="504">
      <c r="A504" s="43" t="n"/>
      <c r="C504" s="44" t="n"/>
      <c r="D504" s="44" t="n"/>
      <c r="L504" s="45" t="n"/>
      <c r="O504" s="44" t="n"/>
    </row>
  </sheetData>
  <autoFilter ref="A3:X504"/>
  <conditionalFormatting sqref="F2">
    <cfRule type="cellIs" priority="1" operator="lessThan" dxfId="0">
      <formula>0</formula>
    </cfRule>
    <cfRule type="cellIs" priority="2" operator="greaterThanOrEqual" dxfId="1">
      <formula>0</formula>
    </cfRule>
  </conditionalFormatting>
  <conditionalFormatting sqref="H2">
    <cfRule type="cellIs" priority="3" operator="lessThan" dxfId="0">
      <formula>0.9</formula>
    </cfRule>
    <cfRule type="cellIs" priority="4" operator="greaterThanOrEqual" dxfId="1">
      <formula>1</formula>
    </cfRule>
  </conditionalFormatting>
  <conditionalFormatting sqref="R2">
    <cfRule type="cellIs" priority="5" operator="lessThan" dxfId="0">
      <formula>P2</formula>
    </cfRule>
  </conditionalFormatting>
  <dataValidations count="10">
    <dataValidation sqref="B5:B504" showDropDown="0" showInputMessage="0" showErrorMessage="0" allowBlank="1" type="list">
      <formula1>'選択肢マスター'!$A$2:$A$3</formula1>
    </dataValidation>
    <dataValidation sqref="E5:E504" showDropDown="0" showInputMessage="0" showErrorMessage="0" allowBlank="1" type="list">
      <formula1>'選択肢マスター'!$B$2:$B$23</formula1>
    </dataValidation>
    <dataValidation sqref="M5:M504" showDropDown="0" showInputMessage="0" showErrorMessage="0" allowBlank="1" type="list">
      <formula1>'選択肢マスター'!$C$2:$C$16</formula1>
    </dataValidation>
    <dataValidation sqref="N5:N504" showDropDown="0" showInputMessage="0" showErrorMessage="0" allowBlank="1" type="list">
      <formula1>'選択肢マスター'!$D$2:$D$7</formula1>
    </dataValidation>
    <dataValidation sqref="P5:P504" showDropDown="0" showInputMessage="0" showErrorMessage="0" allowBlank="1" type="list">
      <formula1>'選択肢マスター'!$E$2:$E$5</formula1>
    </dataValidation>
    <dataValidation sqref="Q5:Q504" showDropDown="0" showInputMessage="0" showErrorMessage="0" allowBlank="1" type="list">
      <formula1>'選択肢マスター'!$F$2:$F$5</formula1>
    </dataValidation>
    <dataValidation sqref="S5:S504" showDropDown="0" showInputMessage="0" showErrorMessage="0" allowBlank="1" type="list">
      <formula1>'選択肢マスター'!$G$2:$G$8</formula1>
    </dataValidation>
    <dataValidation sqref="T5:T504" showDropDown="0" showInputMessage="0" showErrorMessage="0" allowBlank="1" type="list">
      <formula1>'選択肢マスター'!$J$2:$J$3</formula1>
    </dataValidation>
    <dataValidation sqref="U5:U504" showDropDown="0" showInputMessage="0" showErrorMessage="0" allowBlank="1" type="list">
      <formula1>'選択肢マスター'!$H$2:$H$5</formula1>
    </dataValidation>
    <dataValidation sqref="V5:V504" showDropDown="0" showInputMessage="0" showErrorMessage="0" allowBlank="1" type="list">
      <formula1>'選択肢マスター'!$I$2:$I$5</formula1>
    </dataValidation>
  </dataValidations>
  <pageMargins left="0.75" right="0.75" top="1" bottom="1" header="0.5" footer="0.5"/>
</worksheet>
</file>

<file path=xl/worksheets/sheet14.xml><?xml version="1.0" encoding="utf-8"?>
<worksheet xmlns="http://schemas.openxmlformats.org/spreadsheetml/2006/main">
  <sheetPr>
    <tabColor rgb="002E75B6"/>
    <outlinePr summaryBelow="1" summaryRight="1"/>
    <pageSetUpPr/>
  </sheetPr>
  <dimension ref="A1:X504"/>
  <sheetViews>
    <sheetView workbookViewId="0">
      <pane ySplit="4" topLeftCell="A5" activePane="bottomLeft" state="frozen"/>
      <selection pane="bottomLeft" activeCell="A1" sqref="A1"/>
    </sheetView>
  </sheetViews>
  <sheetFormatPr baseColWidth="8" defaultRowHeight="15"/>
  <cols>
    <col width="9" customWidth="1" min="1" max="1"/>
    <col width="11" customWidth="1" min="2" max="2"/>
    <col width="12" customWidth="1" min="3" max="3"/>
    <col width="12" customWidth="1" min="4" max="4"/>
    <col width="17" customWidth="1" min="5" max="5"/>
    <col width="20" customWidth="1" min="6" max="6"/>
    <col width="14" customWidth="1" min="7" max="7"/>
    <col width="16" customWidth="1" min="8" max="8"/>
    <col width="14" customWidth="1" min="9" max="9"/>
    <col width="11" customWidth="1" min="10" max="10"/>
    <col width="30" customWidth="1" min="11" max="11"/>
    <col width="12" customWidth="1" min="12" max="12"/>
    <col width="20" customWidth="1" min="13" max="13"/>
    <col width="12" customWidth="1" min="14" max="14"/>
    <col width="14" customWidth="1" min="15" max="15"/>
    <col width="12" customWidth="1" min="16" max="16"/>
    <col width="12" customWidth="1" min="17" max="17"/>
    <col width="34" customWidth="1" min="18" max="18"/>
    <col width="14" customWidth="1" min="19" max="19"/>
    <col width="11" customWidth="1" min="20" max="20"/>
    <col width="11" customWidth="1" min="21" max="21"/>
    <col width="12" customWidth="1" min="22" max="22"/>
    <col width="24" customWidth="1" min="23" max="23"/>
    <col width="10" customWidth="1" min="24" max="24"/>
  </cols>
  <sheetData>
    <row r="1" ht="18" customHeight="1">
      <c r="A1" s="8" t="inlineStr">
        <is>
          <t>◆ 12月の売上・顧客。入力は 5 行目から。2行目＝今月の目標、4行目＝自動集計（数式・触らない）</t>
        </is>
      </c>
    </row>
    <row r="2" ht="20" customHeight="1">
      <c r="A2" s="24" t="inlineStr">
        <is>
          <t>今月目標(売上)</t>
        </is>
      </c>
      <c r="B2" s="25" t="n">
        <v>1940000</v>
      </c>
      <c r="C2" s="24" t="inlineStr">
        <is>
          <t>売上 現在</t>
        </is>
      </c>
      <c r="D2" s="25">
        <f>$L$4</f>
        <v/>
      </c>
      <c r="E2" s="24" t="inlineStr">
        <is>
          <t>過不足</t>
        </is>
      </c>
      <c r="F2" s="25">
        <f>D2-B2</f>
        <v/>
      </c>
      <c r="G2" s="24" t="inlineStr">
        <is>
          <t>達成率</t>
        </is>
      </c>
      <c r="H2" s="26">
        <f>IFERROR(D2/B2,0)</f>
        <v/>
      </c>
      <c r="I2" s="24" t="inlineStr">
        <is>
          <t>必要件数</t>
        </is>
      </c>
      <c r="J2" s="27" t="n">
        <v>45</v>
      </c>
      <c r="K2" s="24" t="inlineStr">
        <is>
          <t>件数 現在</t>
        </is>
      </c>
      <c r="L2" s="27">
        <f>$E$4</f>
        <v/>
      </c>
      <c r="M2" s="24" t="inlineStr">
        <is>
          <t>残り件数</t>
        </is>
      </c>
      <c r="N2" s="27">
        <f>J2-L2</f>
        <v/>
      </c>
      <c r="O2" s="24" t="inlineStr">
        <is>
          <t>④ネット新規 目標</t>
        </is>
      </c>
      <c r="P2" s="27" t="n">
        <v>13</v>
      </c>
      <c r="Q2" s="24" t="inlineStr">
        <is>
          <t>④ 現在</t>
        </is>
      </c>
      <c r="R2" s="27">
        <f>$R$4</f>
        <v/>
      </c>
    </row>
    <row r="3" ht="30" customHeight="1">
      <c r="A3" s="3" t="inlineStr">
        <is>
          <t>通し番号</t>
        </is>
      </c>
      <c r="B3" s="3" t="inlineStr">
        <is>
          <t>売上種類</t>
        </is>
      </c>
      <c r="C3" s="3" t="inlineStr">
        <is>
          <t>受注日</t>
        </is>
      </c>
      <c r="D3" s="3" t="inlineStr">
        <is>
          <t>施工日付</t>
        </is>
      </c>
      <c r="E3" s="3" t="inlineStr">
        <is>
          <t>流入経路</t>
        </is>
      </c>
      <c r="F3" s="3" t="inlineStr">
        <is>
          <t>流入元の識別子(?src=)</t>
        </is>
      </c>
      <c r="G3" s="3" t="inlineStr">
        <is>
          <t>紹介者（顧客ID）</t>
        </is>
      </c>
      <c r="H3" s="3" t="inlineStr">
        <is>
          <t>氏名</t>
        </is>
      </c>
      <c r="I3" s="3" t="inlineStr">
        <is>
          <t>TEL(-無し)</t>
        </is>
      </c>
      <c r="J3" s="3" t="inlineStr">
        <is>
          <t>郵便番号(-無し)</t>
        </is>
      </c>
      <c r="K3" s="3" t="inlineStr">
        <is>
          <t>住所</t>
        </is>
      </c>
      <c r="L3" s="3" t="inlineStr">
        <is>
          <t>売上（税込）</t>
        </is>
      </c>
      <c r="M3" s="3" t="inlineStr">
        <is>
          <t>実施メニュー</t>
        </is>
      </c>
      <c r="N3" s="3" t="inlineStr">
        <is>
          <t>施工担当</t>
        </is>
      </c>
      <c r="O3" s="3" t="inlineStr">
        <is>
          <t>フォローコール日</t>
        </is>
      </c>
      <c r="P3" s="3" t="inlineStr">
        <is>
          <t>早期予約提案</t>
        </is>
      </c>
      <c r="Q3" s="3" t="inlineStr">
        <is>
          <t>フォローコール</t>
        </is>
      </c>
      <c r="R3" s="3" t="inlineStr">
        <is>
          <t>備考(お客様の声)</t>
        </is>
      </c>
      <c r="S3" s="3" t="inlineStr">
        <is>
          <t>入金経路</t>
        </is>
      </c>
      <c r="T3" s="3" t="inlineStr">
        <is>
          <t>入金額照合</t>
        </is>
      </c>
      <c r="U3" s="3" t="inlineStr">
        <is>
          <t>ＯＨ打診</t>
        </is>
      </c>
      <c r="V3" s="3" t="inlineStr">
        <is>
          <t>本舗ロイ区分</t>
        </is>
      </c>
      <c r="W3" s="3" t="inlineStr">
        <is>
          <t>お客様周辺/環境情報</t>
        </is>
      </c>
      <c r="X3" s="3" t="inlineStr">
        <is>
          <t>カウント用</t>
        </is>
      </c>
    </row>
    <row r="4" ht="20" customHeight="1">
      <c r="A4" s="28">
        <f>"▼自動集計"</f>
        <v/>
      </c>
      <c r="B4" s="29">
        <f>COUNTIFS($B$5:$B$504,"One Hitter")</f>
        <v/>
      </c>
      <c r="C4" s="30">
        <f>IFERROR(SUMPRODUCT(($C$5:$C$504&lt;&gt;"")*($D$5:$D$504&lt;&gt;"")*($D$5:$D$504-$C$5:$C$504))/SUMPRODUCT(($C$5:$C$504&lt;&gt;"")*($D$5:$D$504&lt;&gt;"")),0)</f>
        <v/>
      </c>
      <c r="D4" s="31">
        <f>COUNTIFS($B$5:$B$504,"本舗")</f>
        <v/>
      </c>
      <c r="E4" s="32">
        <f>COUNTA($D$5:$D$504)</f>
        <v/>
      </c>
      <c r="F4" s="33">
        <f>IFERROR(SUM($L$5:$L$504)/COUNTA($D$5:$D$504),0)</f>
        <v/>
      </c>
      <c r="G4" s="34">
        <f>COUNTA($G$5:$G$504)</f>
        <v/>
      </c>
      <c r="H4" s="35">
        <f>IFERROR(SUMIFS($L$5:$L$504,$B$5:$B$504,"One Hitter")/COUNTIFS($B$5:$B$504,"One Hitter"),0)</f>
        <v/>
      </c>
      <c r="I4" s="36">
        <f>IFERROR(SUMIFS($L$5:$L$504,$B$5:$B$504,"本舗")/COUNTIFS($B$5:$B$504,"本舗"),0)</f>
        <v/>
      </c>
      <c r="J4" s="37">
        <f>SUMIFS($L$5:$L$504,$B$5:$B$504,"One Hitter")</f>
        <v/>
      </c>
      <c r="K4" s="38">
        <f>SUMIFS($L$5:$L$504,$B$5:$B$504,"本舗")</f>
        <v/>
      </c>
      <c r="L4" s="39">
        <f>SUM($L$5:$L$504)</f>
        <v/>
      </c>
      <c r="M4" s="40" t="n"/>
      <c r="N4" s="40" t="n"/>
      <c r="O4" s="40" t="n"/>
      <c r="P4" s="40" t="n"/>
      <c r="Q4" s="40" t="n"/>
      <c r="R4" s="41">
        <f>COUNTIFS($E$5:$E$504,"HP")+COUNTIFS($E$5:$E$504,"LP")+COUNTIFS($E$5:$E$504,"SNS")+COUNTIFS($E$5:$E$504,"GBP(地図検索)")+COUNTIFS($E$5:$E$504,"公式LINE")+COUNTIFS($E$5:$E$504,"アフィリエイト")+COUNTIFS($E$5:$E$504,"LINE/SMS再販")+COUNTIFS($E$5:$E$504,"SMS")+COUNTIFS($E$5:$E$504,"広告")</f>
        <v/>
      </c>
      <c r="S4" s="42">
        <f>SUMIFS($L$5:$L$504,$E$5:$E$504,"HP")+SUMIFS($L$5:$L$504,$E$5:$E$504,"LP")+SUMIFS($L$5:$L$504,$E$5:$E$504,"SNS")+SUMIFS($L$5:$L$504,$E$5:$E$504,"GBP(地図検索)")+SUMIFS($L$5:$L$504,$E$5:$E$504,"公式LINE")+SUMIFS($L$5:$L$504,$E$5:$E$504,"アフィリエイト")+SUMIFS($L$5:$L$504,$E$5:$E$504,"LINE/SMS再販")+SUMIFS($L$5:$L$504,$E$5:$E$504,"SMS")+SUMIFS($L$5:$L$504,$E$5:$E$504,"広告")</f>
        <v/>
      </c>
      <c r="T4" s="40" t="n"/>
      <c r="U4" s="40" t="n"/>
      <c r="V4" s="40" t="n"/>
      <c r="W4" s="40" t="n"/>
      <c r="X4" s="40" t="n"/>
    </row>
    <row r="5">
      <c r="A5" s="43" t="n"/>
      <c r="C5" s="44" t="n"/>
      <c r="D5" s="44" t="n"/>
      <c r="L5" s="45" t="n"/>
      <c r="O5" s="44" t="n"/>
    </row>
    <row r="6">
      <c r="A6" s="43" t="n"/>
      <c r="C6" s="44" t="n"/>
      <c r="D6" s="44" t="n"/>
      <c r="L6" s="45" t="n"/>
      <c r="O6" s="44" t="n"/>
    </row>
    <row r="7">
      <c r="A7" s="43" t="n"/>
      <c r="C7" s="44" t="n"/>
      <c r="D7" s="44" t="n"/>
      <c r="L7" s="45" t="n"/>
      <c r="O7" s="44" t="n"/>
    </row>
    <row r="8">
      <c r="A8" s="43" t="n"/>
      <c r="C8" s="44" t="n"/>
      <c r="D8" s="44" t="n"/>
      <c r="L8" s="45" t="n"/>
      <c r="O8" s="44" t="n"/>
    </row>
    <row r="9">
      <c r="A9" s="43" t="n"/>
      <c r="C9" s="44" t="n"/>
      <c r="D9" s="44" t="n"/>
      <c r="L9" s="45" t="n"/>
      <c r="O9" s="44" t="n"/>
    </row>
    <row r="10">
      <c r="A10" s="43" t="n"/>
      <c r="C10" s="44" t="n"/>
      <c r="D10" s="44" t="n"/>
      <c r="L10" s="45" t="n"/>
      <c r="O10" s="44" t="n"/>
    </row>
    <row r="11">
      <c r="A11" s="43" t="n"/>
      <c r="C11" s="44" t="n"/>
      <c r="D11" s="44" t="n"/>
      <c r="L11" s="45" t="n"/>
      <c r="O11" s="44" t="n"/>
    </row>
    <row r="12">
      <c r="A12" s="43" t="n"/>
      <c r="C12" s="44" t="n"/>
      <c r="D12" s="44" t="n"/>
      <c r="L12" s="45" t="n"/>
      <c r="O12" s="44" t="n"/>
    </row>
    <row r="13">
      <c r="A13" s="43" t="n"/>
      <c r="C13" s="44" t="n"/>
      <c r="D13" s="44" t="n"/>
      <c r="L13" s="45" t="n"/>
      <c r="O13" s="44" t="n"/>
    </row>
    <row r="14">
      <c r="A14" s="43" t="n"/>
      <c r="C14" s="44" t="n"/>
      <c r="D14" s="44" t="n"/>
      <c r="L14" s="45" t="n"/>
      <c r="O14" s="44" t="n"/>
    </row>
    <row r="15">
      <c r="A15" s="43" t="n"/>
      <c r="C15" s="44" t="n"/>
      <c r="D15" s="44" t="n"/>
      <c r="L15" s="45" t="n"/>
      <c r="O15" s="44" t="n"/>
    </row>
    <row r="16">
      <c r="A16" s="43" t="n"/>
      <c r="C16" s="44" t="n"/>
      <c r="D16" s="44" t="n"/>
      <c r="L16" s="45" t="n"/>
      <c r="O16" s="44" t="n"/>
    </row>
    <row r="17">
      <c r="A17" s="43" t="n"/>
      <c r="C17" s="44" t="n"/>
      <c r="D17" s="44" t="n"/>
      <c r="L17" s="45" t="n"/>
      <c r="O17" s="44" t="n"/>
    </row>
    <row r="18">
      <c r="A18" s="43" t="n"/>
      <c r="C18" s="44" t="n"/>
      <c r="D18" s="44" t="n"/>
      <c r="L18" s="45" t="n"/>
      <c r="O18" s="44" t="n"/>
    </row>
    <row r="19">
      <c r="A19" s="43" t="n"/>
      <c r="C19" s="44" t="n"/>
      <c r="D19" s="44" t="n"/>
      <c r="L19" s="45" t="n"/>
      <c r="O19" s="44" t="n"/>
    </row>
    <row r="20">
      <c r="A20" s="43" t="n"/>
      <c r="C20" s="44" t="n"/>
      <c r="D20" s="44" t="n"/>
      <c r="L20" s="45" t="n"/>
      <c r="O20" s="44" t="n"/>
    </row>
    <row r="21">
      <c r="A21" s="43" t="n"/>
      <c r="C21" s="44" t="n"/>
      <c r="D21" s="44" t="n"/>
      <c r="L21" s="45" t="n"/>
      <c r="O21" s="44" t="n"/>
    </row>
    <row r="22">
      <c r="A22" s="43" t="n"/>
      <c r="C22" s="44" t="n"/>
      <c r="D22" s="44" t="n"/>
      <c r="L22" s="45" t="n"/>
      <c r="O22" s="44" t="n"/>
    </row>
    <row r="23">
      <c r="A23" s="43" t="n"/>
      <c r="C23" s="44" t="n"/>
      <c r="D23" s="44" t="n"/>
      <c r="L23" s="45" t="n"/>
      <c r="O23" s="44" t="n"/>
    </row>
    <row r="24">
      <c r="A24" s="43" t="n"/>
      <c r="C24" s="44" t="n"/>
      <c r="D24" s="44" t="n"/>
      <c r="L24" s="45" t="n"/>
      <c r="O24" s="44" t="n"/>
    </row>
    <row r="25">
      <c r="A25" s="43" t="n"/>
      <c r="C25" s="44" t="n"/>
      <c r="D25" s="44" t="n"/>
      <c r="L25" s="45" t="n"/>
      <c r="O25" s="44" t="n"/>
    </row>
    <row r="26">
      <c r="A26" s="43" t="n"/>
      <c r="C26" s="44" t="n"/>
      <c r="D26" s="44" t="n"/>
      <c r="L26" s="45" t="n"/>
      <c r="O26" s="44" t="n"/>
    </row>
    <row r="27">
      <c r="A27" s="43" t="n"/>
      <c r="C27" s="44" t="n"/>
      <c r="D27" s="44" t="n"/>
      <c r="L27" s="45" t="n"/>
      <c r="O27" s="44" t="n"/>
    </row>
    <row r="28">
      <c r="A28" s="43" t="n"/>
      <c r="C28" s="44" t="n"/>
      <c r="D28" s="44" t="n"/>
      <c r="L28" s="45" t="n"/>
      <c r="O28" s="44" t="n"/>
    </row>
    <row r="29">
      <c r="A29" s="43" t="n"/>
      <c r="C29" s="44" t="n"/>
      <c r="D29" s="44" t="n"/>
      <c r="L29" s="45" t="n"/>
      <c r="O29" s="44" t="n"/>
    </row>
    <row r="30">
      <c r="A30" s="43" t="n"/>
      <c r="C30" s="44" t="n"/>
      <c r="D30" s="44" t="n"/>
      <c r="L30" s="45" t="n"/>
      <c r="O30" s="44" t="n"/>
    </row>
    <row r="31">
      <c r="A31" s="43" t="n"/>
      <c r="C31" s="44" t="n"/>
      <c r="D31" s="44" t="n"/>
      <c r="L31" s="45" t="n"/>
      <c r="O31" s="44" t="n"/>
    </row>
    <row r="32">
      <c r="A32" s="43" t="n"/>
      <c r="C32" s="44" t="n"/>
      <c r="D32" s="44" t="n"/>
      <c r="L32" s="45" t="n"/>
      <c r="O32" s="44" t="n"/>
    </row>
    <row r="33">
      <c r="A33" s="43" t="n"/>
      <c r="C33" s="44" t="n"/>
      <c r="D33" s="44" t="n"/>
      <c r="L33" s="45" t="n"/>
      <c r="O33" s="44" t="n"/>
    </row>
    <row r="34">
      <c r="A34" s="43" t="n"/>
      <c r="C34" s="44" t="n"/>
      <c r="D34" s="44" t="n"/>
      <c r="L34" s="45" t="n"/>
      <c r="O34" s="44" t="n"/>
    </row>
    <row r="35">
      <c r="A35" s="43" t="n"/>
      <c r="C35" s="44" t="n"/>
      <c r="D35" s="44" t="n"/>
      <c r="L35" s="45" t="n"/>
      <c r="O35" s="44" t="n"/>
    </row>
    <row r="36">
      <c r="A36" s="43" t="n"/>
      <c r="C36" s="44" t="n"/>
      <c r="D36" s="44" t="n"/>
      <c r="L36" s="45" t="n"/>
      <c r="O36" s="44" t="n"/>
    </row>
    <row r="37">
      <c r="A37" s="43" t="n"/>
      <c r="C37" s="44" t="n"/>
      <c r="D37" s="44" t="n"/>
      <c r="L37" s="45" t="n"/>
      <c r="O37" s="44" t="n"/>
    </row>
    <row r="38">
      <c r="A38" s="43" t="n"/>
      <c r="C38" s="44" t="n"/>
      <c r="D38" s="44" t="n"/>
      <c r="L38" s="45" t="n"/>
      <c r="O38" s="44" t="n"/>
    </row>
    <row r="39">
      <c r="A39" s="43" t="n"/>
      <c r="C39" s="44" t="n"/>
      <c r="D39" s="44" t="n"/>
      <c r="L39" s="45" t="n"/>
      <c r="O39" s="44" t="n"/>
    </row>
    <row r="40">
      <c r="A40" s="43" t="n"/>
      <c r="C40" s="44" t="n"/>
      <c r="D40" s="44" t="n"/>
      <c r="L40" s="45" t="n"/>
      <c r="O40" s="44" t="n"/>
    </row>
    <row r="41">
      <c r="A41" s="43" t="n"/>
      <c r="C41" s="44" t="n"/>
      <c r="D41" s="44" t="n"/>
      <c r="L41" s="45" t="n"/>
      <c r="O41" s="44" t="n"/>
    </row>
    <row r="42">
      <c r="A42" s="43" t="n"/>
      <c r="C42" s="44" t="n"/>
      <c r="D42" s="44" t="n"/>
      <c r="L42" s="45" t="n"/>
      <c r="O42" s="44" t="n"/>
    </row>
    <row r="43">
      <c r="A43" s="43" t="n"/>
      <c r="C43" s="44" t="n"/>
      <c r="D43" s="44" t="n"/>
      <c r="L43" s="45" t="n"/>
      <c r="O43" s="44" t="n"/>
    </row>
    <row r="44">
      <c r="A44" s="43" t="n"/>
      <c r="C44" s="44" t="n"/>
      <c r="D44" s="44" t="n"/>
      <c r="L44" s="45" t="n"/>
      <c r="O44" s="44" t="n"/>
    </row>
    <row r="45">
      <c r="A45" s="43" t="n"/>
      <c r="C45" s="44" t="n"/>
      <c r="D45" s="44" t="n"/>
      <c r="L45" s="45" t="n"/>
      <c r="O45" s="44" t="n"/>
    </row>
    <row r="46">
      <c r="A46" s="43" t="n"/>
      <c r="C46" s="44" t="n"/>
      <c r="D46" s="44" t="n"/>
      <c r="L46" s="45" t="n"/>
      <c r="O46" s="44" t="n"/>
    </row>
    <row r="47">
      <c r="A47" s="43" t="n"/>
      <c r="C47" s="44" t="n"/>
      <c r="D47" s="44" t="n"/>
      <c r="L47" s="45" t="n"/>
      <c r="O47" s="44" t="n"/>
    </row>
    <row r="48">
      <c r="A48" s="43" t="n"/>
      <c r="C48" s="44" t="n"/>
      <c r="D48" s="44" t="n"/>
      <c r="L48" s="45" t="n"/>
      <c r="O48" s="44" t="n"/>
    </row>
    <row r="49">
      <c r="A49" s="43" t="n"/>
      <c r="C49" s="44" t="n"/>
      <c r="D49" s="44" t="n"/>
      <c r="L49" s="45" t="n"/>
      <c r="O49" s="44" t="n"/>
    </row>
    <row r="50">
      <c r="A50" s="43" t="n"/>
      <c r="C50" s="44" t="n"/>
      <c r="D50" s="44" t="n"/>
      <c r="L50" s="45" t="n"/>
      <c r="O50" s="44" t="n"/>
    </row>
    <row r="51">
      <c r="A51" s="43" t="n"/>
      <c r="C51" s="44" t="n"/>
      <c r="D51" s="44" t="n"/>
      <c r="L51" s="45" t="n"/>
      <c r="O51" s="44" t="n"/>
    </row>
    <row r="52">
      <c r="A52" s="43" t="n"/>
      <c r="C52" s="44" t="n"/>
      <c r="D52" s="44" t="n"/>
      <c r="L52" s="45" t="n"/>
      <c r="O52" s="44" t="n"/>
    </row>
    <row r="53">
      <c r="A53" s="43" t="n"/>
      <c r="C53" s="44" t="n"/>
      <c r="D53" s="44" t="n"/>
      <c r="L53" s="45" t="n"/>
      <c r="O53" s="44" t="n"/>
    </row>
    <row r="54">
      <c r="A54" s="43" t="n"/>
      <c r="C54" s="44" t="n"/>
      <c r="D54" s="44" t="n"/>
      <c r="L54" s="45" t="n"/>
      <c r="O54" s="44" t="n"/>
    </row>
    <row r="55">
      <c r="A55" s="43" t="n"/>
      <c r="C55" s="44" t="n"/>
      <c r="D55" s="44" t="n"/>
      <c r="L55" s="45" t="n"/>
      <c r="O55" s="44" t="n"/>
    </row>
    <row r="56">
      <c r="A56" s="43" t="n"/>
      <c r="C56" s="44" t="n"/>
      <c r="D56" s="44" t="n"/>
      <c r="L56" s="45" t="n"/>
      <c r="O56" s="44" t="n"/>
    </row>
    <row r="57">
      <c r="A57" s="43" t="n"/>
      <c r="C57" s="44" t="n"/>
      <c r="D57" s="44" t="n"/>
      <c r="L57" s="45" t="n"/>
      <c r="O57" s="44" t="n"/>
    </row>
    <row r="58">
      <c r="A58" s="43" t="n"/>
      <c r="C58" s="44" t="n"/>
      <c r="D58" s="44" t="n"/>
      <c r="L58" s="45" t="n"/>
      <c r="O58" s="44" t="n"/>
    </row>
    <row r="59">
      <c r="A59" s="43" t="n"/>
      <c r="C59" s="44" t="n"/>
      <c r="D59" s="44" t="n"/>
      <c r="L59" s="45" t="n"/>
      <c r="O59" s="44" t="n"/>
    </row>
    <row r="60">
      <c r="A60" s="43" t="n"/>
      <c r="C60" s="44" t="n"/>
      <c r="D60" s="44" t="n"/>
      <c r="L60" s="45" t="n"/>
      <c r="O60" s="44" t="n"/>
    </row>
    <row r="61">
      <c r="A61" s="43" t="n"/>
      <c r="C61" s="44" t="n"/>
      <c r="D61" s="44" t="n"/>
      <c r="L61" s="45" t="n"/>
      <c r="O61" s="44" t="n"/>
    </row>
    <row r="62">
      <c r="A62" s="43" t="n"/>
      <c r="C62" s="44" t="n"/>
      <c r="D62" s="44" t="n"/>
      <c r="L62" s="45" t="n"/>
      <c r="O62" s="44" t="n"/>
    </row>
    <row r="63">
      <c r="A63" s="43" t="n"/>
      <c r="C63" s="44" t="n"/>
      <c r="D63" s="44" t="n"/>
      <c r="L63" s="45" t="n"/>
      <c r="O63" s="44" t="n"/>
    </row>
    <row r="64">
      <c r="A64" s="43" t="n"/>
      <c r="C64" s="44" t="n"/>
      <c r="D64" s="44" t="n"/>
      <c r="L64" s="45" t="n"/>
      <c r="O64" s="44" t="n"/>
    </row>
    <row r="65">
      <c r="A65" s="43" t="n"/>
      <c r="C65" s="44" t="n"/>
      <c r="D65" s="44" t="n"/>
      <c r="L65" s="45" t="n"/>
      <c r="O65" s="44" t="n"/>
    </row>
    <row r="66">
      <c r="A66" s="43" t="n"/>
      <c r="C66" s="44" t="n"/>
      <c r="D66" s="44" t="n"/>
      <c r="L66" s="45" t="n"/>
      <c r="O66" s="44" t="n"/>
    </row>
    <row r="67">
      <c r="A67" s="43" t="n"/>
      <c r="C67" s="44" t="n"/>
      <c r="D67" s="44" t="n"/>
      <c r="L67" s="45" t="n"/>
      <c r="O67" s="44" t="n"/>
    </row>
    <row r="68">
      <c r="A68" s="43" t="n"/>
      <c r="C68" s="44" t="n"/>
      <c r="D68" s="44" t="n"/>
      <c r="L68" s="45" t="n"/>
      <c r="O68" s="44" t="n"/>
    </row>
    <row r="69">
      <c r="A69" s="43" t="n"/>
      <c r="C69" s="44" t="n"/>
      <c r="D69" s="44" t="n"/>
      <c r="L69" s="45" t="n"/>
      <c r="O69" s="44" t="n"/>
    </row>
    <row r="70">
      <c r="A70" s="43" t="n"/>
      <c r="C70" s="44" t="n"/>
      <c r="D70" s="44" t="n"/>
      <c r="L70" s="45" t="n"/>
      <c r="O70" s="44" t="n"/>
    </row>
    <row r="71">
      <c r="A71" s="43" t="n"/>
      <c r="C71" s="44" t="n"/>
      <c r="D71" s="44" t="n"/>
      <c r="L71" s="45" t="n"/>
      <c r="O71" s="44" t="n"/>
    </row>
    <row r="72">
      <c r="A72" s="43" t="n"/>
      <c r="C72" s="44" t="n"/>
      <c r="D72" s="44" t="n"/>
      <c r="L72" s="45" t="n"/>
      <c r="O72" s="44" t="n"/>
    </row>
    <row r="73">
      <c r="A73" s="43" t="n"/>
      <c r="C73" s="44" t="n"/>
      <c r="D73" s="44" t="n"/>
      <c r="L73" s="45" t="n"/>
      <c r="O73" s="44" t="n"/>
    </row>
    <row r="74">
      <c r="A74" s="43" t="n"/>
      <c r="C74" s="44" t="n"/>
      <c r="D74" s="44" t="n"/>
      <c r="L74" s="45" t="n"/>
      <c r="O74" s="44" t="n"/>
    </row>
    <row r="75">
      <c r="A75" s="43" t="n"/>
      <c r="C75" s="44" t="n"/>
      <c r="D75" s="44" t="n"/>
      <c r="L75" s="45" t="n"/>
      <c r="O75" s="44" t="n"/>
    </row>
    <row r="76">
      <c r="A76" s="43" t="n"/>
      <c r="C76" s="44" t="n"/>
      <c r="D76" s="44" t="n"/>
      <c r="L76" s="45" t="n"/>
      <c r="O76" s="44" t="n"/>
    </row>
    <row r="77">
      <c r="A77" s="43" t="n"/>
      <c r="C77" s="44" t="n"/>
      <c r="D77" s="44" t="n"/>
      <c r="L77" s="45" t="n"/>
      <c r="O77" s="44" t="n"/>
    </row>
    <row r="78">
      <c r="A78" s="43" t="n"/>
      <c r="C78" s="44" t="n"/>
      <c r="D78" s="44" t="n"/>
      <c r="L78" s="45" t="n"/>
      <c r="O78" s="44" t="n"/>
    </row>
    <row r="79">
      <c r="A79" s="43" t="n"/>
      <c r="C79" s="44" t="n"/>
      <c r="D79" s="44" t="n"/>
      <c r="L79" s="45" t="n"/>
      <c r="O79" s="44" t="n"/>
    </row>
    <row r="80">
      <c r="A80" s="43" t="n"/>
      <c r="C80" s="44" t="n"/>
      <c r="D80" s="44" t="n"/>
      <c r="L80" s="45" t="n"/>
      <c r="O80" s="44" t="n"/>
    </row>
    <row r="81">
      <c r="A81" s="43" t="n"/>
      <c r="C81" s="44" t="n"/>
      <c r="D81" s="44" t="n"/>
      <c r="L81" s="45" t="n"/>
      <c r="O81" s="44" t="n"/>
    </row>
    <row r="82">
      <c r="A82" s="43" t="n"/>
      <c r="C82" s="44" t="n"/>
      <c r="D82" s="44" t="n"/>
      <c r="L82" s="45" t="n"/>
      <c r="O82" s="44" t="n"/>
    </row>
    <row r="83">
      <c r="A83" s="43" t="n"/>
      <c r="C83" s="44" t="n"/>
      <c r="D83" s="44" t="n"/>
      <c r="L83" s="45" t="n"/>
      <c r="O83" s="44" t="n"/>
    </row>
    <row r="84">
      <c r="A84" s="43" t="n"/>
      <c r="C84" s="44" t="n"/>
      <c r="D84" s="44" t="n"/>
      <c r="L84" s="45" t="n"/>
      <c r="O84" s="44" t="n"/>
    </row>
    <row r="85">
      <c r="A85" s="43" t="n"/>
      <c r="C85" s="44" t="n"/>
      <c r="D85" s="44" t="n"/>
      <c r="L85" s="45" t="n"/>
      <c r="O85" s="44" t="n"/>
    </row>
    <row r="86">
      <c r="A86" s="43" t="n"/>
      <c r="C86" s="44" t="n"/>
      <c r="D86" s="44" t="n"/>
      <c r="L86" s="45" t="n"/>
      <c r="O86" s="44" t="n"/>
    </row>
    <row r="87">
      <c r="A87" s="43" t="n"/>
      <c r="C87" s="44" t="n"/>
      <c r="D87" s="44" t="n"/>
      <c r="L87" s="45" t="n"/>
      <c r="O87" s="44" t="n"/>
    </row>
    <row r="88">
      <c r="A88" s="43" t="n"/>
      <c r="C88" s="44" t="n"/>
      <c r="D88" s="44" t="n"/>
      <c r="L88" s="45" t="n"/>
      <c r="O88" s="44" t="n"/>
    </row>
    <row r="89">
      <c r="A89" s="43" t="n"/>
      <c r="C89" s="44" t="n"/>
      <c r="D89" s="44" t="n"/>
      <c r="L89" s="45" t="n"/>
      <c r="O89" s="44" t="n"/>
    </row>
    <row r="90">
      <c r="A90" s="43" t="n"/>
      <c r="C90" s="44" t="n"/>
      <c r="D90" s="44" t="n"/>
      <c r="L90" s="45" t="n"/>
      <c r="O90" s="44" t="n"/>
    </row>
    <row r="91">
      <c r="A91" s="43" t="n"/>
      <c r="C91" s="44" t="n"/>
      <c r="D91" s="44" t="n"/>
      <c r="L91" s="45" t="n"/>
      <c r="O91" s="44" t="n"/>
    </row>
    <row r="92">
      <c r="A92" s="43" t="n"/>
      <c r="C92" s="44" t="n"/>
      <c r="D92" s="44" t="n"/>
      <c r="L92" s="45" t="n"/>
      <c r="O92" s="44" t="n"/>
    </row>
    <row r="93">
      <c r="A93" s="43" t="n"/>
      <c r="C93" s="44" t="n"/>
      <c r="D93" s="44" t="n"/>
      <c r="L93" s="45" t="n"/>
      <c r="O93" s="44" t="n"/>
    </row>
    <row r="94">
      <c r="A94" s="43" t="n"/>
      <c r="C94" s="44" t="n"/>
      <c r="D94" s="44" t="n"/>
      <c r="L94" s="45" t="n"/>
      <c r="O94" s="44" t="n"/>
    </row>
    <row r="95">
      <c r="A95" s="43" t="n"/>
      <c r="C95" s="44" t="n"/>
      <c r="D95" s="44" t="n"/>
      <c r="L95" s="45" t="n"/>
      <c r="O95" s="44" t="n"/>
    </row>
    <row r="96">
      <c r="A96" s="43" t="n"/>
      <c r="C96" s="44" t="n"/>
      <c r="D96" s="44" t="n"/>
      <c r="L96" s="45" t="n"/>
      <c r="O96" s="44" t="n"/>
    </row>
    <row r="97">
      <c r="A97" s="43" t="n"/>
      <c r="C97" s="44" t="n"/>
      <c r="D97" s="44" t="n"/>
      <c r="L97" s="45" t="n"/>
      <c r="O97" s="44" t="n"/>
    </row>
    <row r="98">
      <c r="A98" s="43" t="n"/>
      <c r="C98" s="44" t="n"/>
      <c r="D98" s="44" t="n"/>
      <c r="L98" s="45" t="n"/>
      <c r="O98" s="44" t="n"/>
    </row>
    <row r="99">
      <c r="A99" s="43" t="n"/>
      <c r="C99" s="44" t="n"/>
      <c r="D99" s="44" t="n"/>
      <c r="L99" s="45" t="n"/>
      <c r="O99" s="44" t="n"/>
    </row>
    <row r="100">
      <c r="A100" s="43" t="n"/>
      <c r="C100" s="44" t="n"/>
      <c r="D100" s="44" t="n"/>
      <c r="L100" s="45" t="n"/>
      <c r="O100" s="44" t="n"/>
    </row>
    <row r="101">
      <c r="A101" s="43" t="n"/>
      <c r="C101" s="44" t="n"/>
      <c r="D101" s="44" t="n"/>
      <c r="L101" s="45" t="n"/>
      <c r="O101" s="44" t="n"/>
    </row>
    <row r="102">
      <c r="A102" s="43" t="n"/>
      <c r="C102" s="44" t="n"/>
      <c r="D102" s="44" t="n"/>
      <c r="L102" s="45" t="n"/>
      <c r="O102" s="44" t="n"/>
    </row>
    <row r="103">
      <c r="A103" s="43" t="n"/>
      <c r="C103" s="44" t="n"/>
      <c r="D103" s="44" t="n"/>
      <c r="L103" s="45" t="n"/>
      <c r="O103" s="44" t="n"/>
    </row>
    <row r="104">
      <c r="A104" s="43" t="n"/>
      <c r="C104" s="44" t="n"/>
      <c r="D104" s="44" t="n"/>
      <c r="L104" s="45" t="n"/>
      <c r="O104" s="44" t="n"/>
    </row>
    <row r="105">
      <c r="A105" s="43" t="n"/>
      <c r="C105" s="44" t="n"/>
      <c r="D105" s="44" t="n"/>
      <c r="L105" s="45" t="n"/>
      <c r="O105" s="44" t="n"/>
    </row>
    <row r="106">
      <c r="A106" s="43" t="n"/>
      <c r="C106" s="44" t="n"/>
      <c r="D106" s="44" t="n"/>
      <c r="L106" s="45" t="n"/>
      <c r="O106" s="44" t="n"/>
    </row>
    <row r="107">
      <c r="A107" s="43" t="n"/>
      <c r="C107" s="44" t="n"/>
      <c r="D107" s="44" t="n"/>
      <c r="L107" s="45" t="n"/>
      <c r="O107" s="44" t="n"/>
    </row>
    <row r="108">
      <c r="A108" s="43" t="n"/>
      <c r="C108" s="44" t="n"/>
      <c r="D108" s="44" t="n"/>
      <c r="L108" s="45" t="n"/>
      <c r="O108" s="44" t="n"/>
    </row>
    <row r="109">
      <c r="A109" s="43" t="n"/>
      <c r="C109" s="44" t="n"/>
      <c r="D109" s="44" t="n"/>
      <c r="L109" s="45" t="n"/>
      <c r="O109" s="44" t="n"/>
    </row>
    <row r="110">
      <c r="A110" s="43" t="n"/>
      <c r="C110" s="44" t="n"/>
      <c r="D110" s="44" t="n"/>
      <c r="L110" s="45" t="n"/>
      <c r="O110" s="44" t="n"/>
    </row>
    <row r="111">
      <c r="A111" s="43" t="n"/>
      <c r="C111" s="44" t="n"/>
      <c r="D111" s="44" t="n"/>
      <c r="L111" s="45" t="n"/>
      <c r="O111" s="44" t="n"/>
    </row>
    <row r="112">
      <c r="A112" s="43" t="n"/>
      <c r="C112" s="44" t="n"/>
      <c r="D112" s="44" t="n"/>
      <c r="L112" s="45" t="n"/>
      <c r="O112" s="44" t="n"/>
    </row>
    <row r="113">
      <c r="A113" s="43" t="n"/>
      <c r="C113" s="44" t="n"/>
      <c r="D113" s="44" t="n"/>
      <c r="L113" s="45" t="n"/>
      <c r="O113" s="44" t="n"/>
    </row>
    <row r="114">
      <c r="A114" s="43" t="n"/>
      <c r="C114" s="44" t="n"/>
      <c r="D114" s="44" t="n"/>
      <c r="L114" s="45" t="n"/>
      <c r="O114" s="44" t="n"/>
    </row>
    <row r="115">
      <c r="A115" s="43" t="n"/>
      <c r="C115" s="44" t="n"/>
      <c r="D115" s="44" t="n"/>
      <c r="L115" s="45" t="n"/>
      <c r="O115" s="44" t="n"/>
    </row>
    <row r="116">
      <c r="A116" s="43" t="n"/>
      <c r="C116" s="44" t="n"/>
      <c r="D116" s="44" t="n"/>
      <c r="L116" s="45" t="n"/>
      <c r="O116" s="44" t="n"/>
    </row>
    <row r="117">
      <c r="A117" s="43" t="n"/>
      <c r="C117" s="44" t="n"/>
      <c r="D117" s="44" t="n"/>
      <c r="L117" s="45" t="n"/>
      <c r="O117" s="44" t="n"/>
    </row>
    <row r="118">
      <c r="A118" s="43" t="n"/>
      <c r="C118" s="44" t="n"/>
      <c r="D118" s="44" t="n"/>
      <c r="L118" s="45" t="n"/>
      <c r="O118" s="44" t="n"/>
    </row>
    <row r="119">
      <c r="A119" s="43" t="n"/>
      <c r="C119" s="44" t="n"/>
      <c r="D119" s="44" t="n"/>
      <c r="L119" s="45" t="n"/>
      <c r="O119" s="44" t="n"/>
    </row>
    <row r="120">
      <c r="A120" s="43" t="n"/>
      <c r="C120" s="44" t="n"/>
      <c r="D120" s="44" t="n"/>
      <c r="L120" s="45" t="n"/>
      <c r="O120" s="44" t="n"/>
    </row>
    <row r="121">
      <c r="A121" s="43" t="n"/>
      <c r="C121" s="44" t="n"/>
      <c r="D121" s="44" t="n"/>
      <c r="L121" s="45" t="n"/>
      <c r="O121" s="44" t="n"/>
    </row>
    <row r="122">
      <c r="A122" s="43" t="n"/>
      <c r="C122" s="44" t="n"/>
      <c r="D122" s="44" t="n"/>
      <c r="L122" s="45" t="n"/>
      <c r="O122" s="44" t="n"/>
    </row>
    <row r="123">
      <c r="A123" s="43" t="n"/>
      <c r="C123" s="44" t="n"/>
      <c r="D123" s="44" t="n"/>
      <c r="L123" s="45" t="n"/>
      <c r="O123" s="44" t="n"/>
    </row>
    <row r="124">
      <c r="A124" s="43" t="n"/>
      <c r="C124" s="44" t="n"/>
      <c r="D124" s="44" t="n"/>
      <c r="L124" s="45" t="n"/>
      <c r="O124" s="44" t="n"/>
    </row>
    <row r="125">
      <c r="A125" s="43" t="n"/>
      <c r="C125" s="44" t="n"/>
      <c r="D125" s="44" t="n"/>
      <c r="L125" s="45" t="n"/>
      <c r="O125" s="44" t="n"/>
    </row>
    <row r="126">
      <c r="A126" s="43" t="n"/>
      <c r="C126" s="44" t="n"/>
      <c r="D126" s="44" t="n"/>
      <c r="L126" s="45" t="n"/>
      <c r="O126" s="44" t="n"/>
    </row>
    <row r="127">
      <c r="A127" s="43" t="n"/>
      <c r="C127" s="44" t="n"/>
      <c r="D127" s="44" t="n"/>
      <c r="L127" s="45" t="n"/>
      <c r="O127" s="44" t="n"/>
    </row>
    <row r="128">
      <c r="A128" s="43" t="n"/>
      <c r="C128" s="44" t="n"/>
      <c r="D128" s="44" t="n"/>
      <c r="L128" s="45" t="n"/>
      <c r="O128" s="44" t="n"/>
    </row>
    <row r="129">
      <c r="A129" s="43" t="n"/>
      <c r="C129" s="44" t="n"/>
      <c r="D129" s="44" t="n"/>
      <c r="L129" s="45" t="n"/>
      <c r="O129" s="44" t="n"/>
    </row>
    <row r="130">
      <c r="A130" s="43" t="n"/>
      <c r="C130" s="44" t="n"/>
      <c r="D130" s="44" t="n"/>
      <c r="L130" s="45" t="n"/>
      <c r="O130" s="44" t="n"/>
    </row>
    <row r="131">
      <c r="A131" s="43" t="n"/>
      <c r="C131" s="44" t="n"/>
      <c r="D131" s="44" t="n"/>
      <c r="L131" s="45" t="n"/>
      <c r="O131" s="44" t="n"/>
    </row>
    <row r="132">
      <c r="A132" s="43" t="n"/>
      <c r="C132" s="44" t="n"/>
      <c r="D132" s="44" t="n"/>
      <c r="L132" s="45" t="n"/>
      <c r="O132" s="44" t="n"/>
    </row>
    <row r="133">
      <c r="A133" s="43" t="n"/>
      <c r="C133" s="44" t="n"/>
      <c r="D133" s="44" t="n"/>
      <c r="L133" s="45" t="n"/>
      <c r="O133" s="44" t="n"/>
    </row>
    <row r="134">
      <c r="A134" s="43" t="n"/>
      <c r="C134" s="44" t="n"/>
      <c r="D134" s="44" t="n"/>
      <c r="L134" s="45" t="n"/>
      <c r="O134" s="44" t="n"/>
    </row>
    <row r="135">
      <c r="A135" s="43" t="n"/>
      <c r="C135" s="44" t="n"/>
      <c r="D135" s="44" t="n"/>
      <c r="L135" s="45" t="n"/>
      <c r="O135" s="44" t="n"/>
    </row>
    <row r="136">
      <c r="A136" s="43" t="n"/>
      <c r="C136" s="44" t="n"/>
      <c r="D136" s="44" t="n"/>
      <c r="L136" s="45" t="n"/>
      <c r="O136" s="44" t="n"/>
    </row>
    <row r="137">
      <c r="A137" s="43" t="n"/>
      <c r="C137" s="44" t="n"/>
      <c r="D137" s="44" t="n"/>
      <c r="L137" s="45" t="n"/>
      <c r="O137" s="44" t="n"/>
    </row>
    <row r="138">
      <c r="A138" s="43" t="n"/>
      <c r="C138" s="44" t="n"/>
      <c r="D138" s="44" t="n"/>
      <c r="L138" s="45" t="n"/>
      <c r="O138" s="44" t="n"/>
    </row>
    <row r="139">
      <c r="A139" s="43" t="n"/>
      <c r="C139" s="44" t="n"/>
      <c r="D139" s="44" t="n"/>
      <c r="L139" s="45" t="n"/>
      <c r="O139" s="44" t="n"/>
    </row>
    <row r="140">
      <c r="A140" s="43" t="n"/>
      <c r="C140" s="44" t="n"/>
      <c r="D140" s="44" t="n"/>
      <c r="L140" s="45" t="n"/>
      <c r="O140" s="44" t="n"/>
    </row>
    <row r="141">
      <c r="A141" s="43" t="n"/>
      <c r="C141" s="44" t="n"/>
      <c r="D141" s="44" t="n"/>
      <c r="L141" s="45" t="n"/>
      <c r="O141" s="44" t="n"/>
    </row>
    <row r="142">
      <c r="A142" s="43" t="n"/>
      <c r="C142" s="44" t="n"/>
      <c r="D142" s="44" t="n"/>
      <c r="L142" s="45" t="n"/>
      <c r="O142" s="44" t="n"/>
    </row>
    <row r="143">
      <c r="A143" s="43" t="n"/>
      <c r="C143" s="44" t="n"/>
      <c r="D143" s="44" t="n"/>
      <c r="L143" s="45" t="n"/>
      <c r="O143" s="44" t="n"/>
    </row>
    <row r="144">
      <c r="A144" s="43" t="n"/>
      <c r="C144" s="44" t="n"/>
      <c r="D144" s="44" t="n"/>
      <c r="L144" s="45" t="n"/>
      <c r="O144" s="44" t="n"/>
    </row>
    <row r="145">
      <c r="A145" s="43" t="n"/>
      <c r="C145" s="44" t="n"/>
      <c r="D145" s="44" t="n"/>
      <c r="L145" s="45" t="n"/>
      <c r="O145" s="44" t="n"/>
    </row>
    <row r="146">
      <c r="A146" s="43" t="n"/>
      <c r="C146" s="44" t="n"/>
      <c r="D146" s="44" t="n"/>
      <c r="L146" s="45" t="n"/>
      <c r="O146" s="44" t="n"/>
    </row>
    <row r="147">
      <c r="A147" s="43" t="n"/>
      <c r="C147" s="44" t="n"/>
      <c r="D147" s="44" t="n"/>
      <c r="L147" s="45" t="n"/>
      <c r="O147" s="44" t="n"/>
    </row>
    <row r="148">
      <c r="A148" s="43" t="n"/>
      <c r="C148" s="44" t="n"/>
      <c r="D148" s="44" t="n"/>
      <c r="L148" s="45" t="n"/>
      <c r="O148" s="44" t="n"/>
    </row>
    <row r="149">
      <c r="A149" s="43" t="n"/>
      <c r="C149" s="44" t="n"/>
      <c r="D149" s="44" t="n"/>
      <c r="L149" s="45" t="n"/>
      <c r="O149" s="44" t="n"/>
    </row>
    <row r="150">
      <c r="A150" s="43" t="n"/>
      <c r="C150" s="44" t="n"/>
      <c r="D150" s="44" t="n"/>
      <c r="L150" s="45" t="n"/>
      <c r="O150" s="44" t="n"/>
    </row>
    <row r="151">
      <c r="A151" s="43" t="n"/>
      <c r="C151" s="44" t="n"/>
      <c r="D151" s="44" t="n"/>
      <c r="L151" s="45" t="n"/>
      <c r="O151" s="44" t="n"/>
    </row>
    <row r="152">
      <c r="A152" s="43" t="n"/>
      <c r="C152" s="44" t="n"/>
      <c r="D152" s="44" t="n"/>
      <c r="L152" s="45" t="n"/>
      <c r="O152" s="44" t="n"/>
    </row>
    <row r="153">
      <c r="A153" s="43" t="n"/>
      <c r="C153" s="44" t="n"/>
      <c r="D153" s="44" t="n"/>
      <c r="L153" s="45" t="n"/>
      <c r="O153" s="44" t="n"/>
    </row>
    <row r="154">
      <c r="A154" s="43" t="n"/>
      <c r="C154" s="44" t="n"/>
      <c r="D154" s="44" t="n"/>
      <c r="L154" s="45" t="n"/>
      <c r="O154" s="44" t="n"/>
    </row>
    <row r="155">
      <c r="A155" s="43" t="n"/>
      <c r="C155" s="44" t="n"/>
      <c r="D155" s="44" t="n"/>
      <c r="L155" s="45" t="n"/>
      <c r="O155" s="44" t="n"/>
    </row>
    <row r="156">
      <c r="A156" s="43" t="n"/>
      <c r="C156" s="44" t="n"/>
      <c r="D156" s="44" t="n"/>
      <c r="L156" s="45" t="n"/>
      <c r="O156" s="44" t="n"/>
    </row>
    <row r="157">
      <c r="A157" s="43" t="n"/>
      <c r="C157" s="44" t="n"/>
      <c r="D157" s="44" t="n"/>
      <c r="L157" s="45" t="n"/>
      <c r="O157" s="44" t="n"/>
    </row>
    <row r="158">
      <c r="A158" s="43" t="n"/>
      <c r="C158" s="44" t="n"/>
      <c r="D158" s="44" t="n"/>
      <c r="L158" s="45" t="n"/>
      <c r="O158" s="44" t="n"/>
    </row>
    <row r="159">
      <c r="A159" s="43" t="n"/>
      <c r="C159" s="44" t="n"/>
      <c r="D159" s="44" t="n"/>
      <c r="L159" s="45" t="n"/>
      <c r="O159" s="44" t="n"/>
    </row>
    <row r="160">
      <c r="A160" s="43" t="n"/>
      <c r="C160" s="44" t="n"/>
      <c r="D160" s="44" t="n"/>
      <c r="L160" s="45" t="n"/>
      <c r="O160" s="44" t="n"/>
    </row>
    <row r="161">
      <c r="A161" s="43" t="n"/>
      <c r="C161" s="44" t="n"/>
      <c r="D161" s="44" t="n"/>
      <c r="L161" s="45" t="n"/>
      <c r="O161" s="44" t="n"/>
    </row>
    <row r="162">
      <c r="A162" s="43" t="n"/>
      <c r="C162" s="44" t="n"/>
      <c r="D162" s="44" t="n"/>
      <c r="L162" s="45" t="n"/>
      <c r="O162" s="44" t="n"/>
    </row>
    <row r="163">
      <c r="A163" s="43" t="n"/>
      <c r="C163" s="44" t="n"/>
      <c r="D163" s="44" t="n"/>
      <c r="L163" s="45" t="n"/>
      <c r="O163" s="44" t="n"/>
    </row>
    <row r="164">
      <c r="A164" s="43" t="n"/>
      <c r="C164" s="44" t="n"/>
      <c r="D164" s="44" t="n"/>
      <c r="L164" s="45" t="n"/>
      <c r="O164" s="44" t="n"/>
    </row>
    <row r="165">
      <c r="A165" s="43" t="n"/>
      <c r="C165" s="44" t="n"/>
      <c r="D165" s="44" t="n"/>
      <c r="L165" s="45" t="n"/>
      <c r="O165" s="44" t="n"/>
    </row>
    <row r="166">
      <c r="A166" s="43" t="n"/>
      <c r="C166" s="44" t="n"/>
      <c r="D166" s="44" t="n"/>
      <c r="L166" s="45" t="n"/>
      <c r="O166" s="44" t="n"/>
    </row>
    <row r="167">
      <c r="A167" s="43" t="n"/>
      <c r="C167" s="44" t="n"/>
      <c r="D167" s="44" t="n"/>
      <c r="L167" s="45" t="n"/>
      <c r="O167" s="44" t="n"/>
    </row>
    <row r="168">
      <c r="A168" s="43" t="n"/>
      <c r="C168" s="44" t="n"/>
      <c r="D168" s="44" t="n"/>
      <c r="L168" s="45" t="n"/>
      <c r="O168" s="44" t="n"/>
    </row>
    <row r="169">
      <c r="A169" s="43" t="n"/>
      <c r="C169" s="44" t="n"/>
      <c r="D169" s="44" t="n"/>
      <c r="L169" s="45" t="n"/>
      <c r="O169" s="44" t="n"/>
    </row>
    <row r="170">
      <c r="A170" s="43" t="n"/>
      <c r="C170" s="44" t="n"/>
      <c r="D170" s="44" t="n"/>
      <c r="L170" s="45" t="n"/>
      <c r="O170" s="44" t="n"/>
    </row>
    <row r="171">
      <c r="A171" s="43" t="n"/>
      <c r="C171" s="44" t="n"/>
      <c r="D171" s="44" t="n"/>
      <c r="L171" s="45" t="n"/>
      <c r="O171" s="44" t="n"/>
    </row>
    <row r="172">
      <c r="A172" s="43" t="n"/>
      <c r="C172" s="44" t="n"/>
      <c r="D172" s="44" t="n"/>
      <c r="L172" s="45" t="n"/>
      <c r="O172" s="44" t="n"/>
    </row>
    <row r="173">
      <c r="A173" s="43" t="n"/>
      <c r="C173" s="44" t="n"/>
      <c r="D173" s="44" t="n"/>
      <c r="L173" s="45" t="n"/>
      <c r="O173" s="44" t="n"/>
    </row>
    <row r="174">
      <c r="A174" s="43" t="n"/>
      <c r="C174" s="44" t="n"/>
      <c r="D174" s="44" t="n"/>
      <c r="L174" s="45" t="n"/>
      <c r="O174" s="44" t="n"/>
    </row>
    <row r="175">
      <c r="A175" s="43" t="n"/>
      <c r="C175" s="44" t="n"/>
      <c r="D175" s="44" t="n"/>
      <c r="L175" s="45" t="n"/>
      <c r="O175" s="44" t="n"/>
    </row>
    <row r="176">
      <c r="A176" s="43" t="n"/>
      <c r="C176" s="44" t="n"/>
      <c r="D176" s="44" t="n"/>
      <c r="L176" s="45" t="n"/>
      <c r="O176" s="44" t="n"/>
    </row>
    <row r="177">
      <c r="A177" s="43" t="n"/>
      <c r="C177" s="44" t="n"/>
      <c r="D177" s="44" t="n"/>
      <c r="L177" s="45" t="n"/>
      <c r="O177" s="44" t="n"/>
    </row>
    <row r="178">
      <c r="A178" s="43" t="n"/>
      <c r="C178" s="44" t="n"/>
      <c r="D178" s="44" t="n"/>
      <c r="L178" s="45" t="n"/>
      <c r="O178" s="44" t="n"/>
    </row>
    <row r="179">
      <c r="A179" s="43" t="n"/>
      <c r="C179" s="44" t="n"/>
      <c r="D179" s="44" t="n"/>
      <c r="L179" s="45" t="n"/>
      <c r="O179" s="44" t="n"/>
    </row>
    <row r="180">
      <c r="A180" s="43" t="n"/>
      <c r="C180" s="44" t="n"/>
      <c r="D180" s="44" t="n"/>
      <c r="L180" s="45" t="n"/>
      <c r="O180" s="44" t="n"/>
    </row>
    <row r="181">
      <c r="A181" s="43" t="n"/>
      <c r="C181" s="44" t="n"/>
      <c r="D181" s="44" t="n"/>
      <c r="L181" s="45" t="n"/>
      <c r="O181" s="44" t="n"/>
    </row>
    <row r="182">
      <c r="A182" s="43" t="n"/>
      <c r="C182" s="44" t="n"/>
      <c r="D182" s="44" t="n"/>
      <c r="L182" s="45" t="n"/>
      <c r="O182" s="44" t="n"/>
    </row>
    <row r="183">
      <c r="A183" s="43" t="n"/>
      <c r="C183" s="44" t="n"/>
      <c r="D183" s="44" t="n"/>
      <c r="L183" s="45" t="n"/>
      <c r="O183" s="44" t="n"/>
    </row>
    <row r="184">
      <c r="A184" s="43" t="n"/>
      <c r="C184" s="44" t="n"/>
      <c r="D184" s="44" t="n"/>
      <c r="L184" s="45" t="n"/>
      <c r="O184" s="44" t="n"/>
    </row>
    <row r="185">
      <c r="A185" s="43" t="n"/>
      <c r="C185" s="44" t="n"/>
      <c r="D185" s="44" t="n"/>
      <c r="L185" s="45" t="n"/>
      <c r="O185" s="44" t="n"/>
    </row>
    <row r="186">
      <c r="A186" s="43" t="n"/>
      <c r="C186" s="44" t="n"/>
      <c r="D186" s="44" t="n"/>
      <c r="L186" s="45" t="n"/>
      <c r="O186" s="44" t="n"/>
    </row>
    <row r="187">
      <c r="A187" s="43" t="n"/>
      <c r="C187" s="44" t="n"/>
      <c r="D187" s="44" t="n"/>
      <c r="L187" s="45" t="n"/>
      <c r="O187" s="44" t="n"/>
    </row>
    <row r="188">
      <c r="A188" s="43" t="n"/>
      <c r="C188" s="44" t="n"/>
      <c r="D188" s="44" t="n"/>
      <c r="L188" s="45" t="n"/>
      <c r="O188" s="44" t="n"/>
    </row>
    <row r="189">
      <c r="A189" s="43" t="n"/>
      <c r="C189" s="44" t="n"/>
      <c r="D189" s="44" t="n"/>
      <c r="L189" s="45" t="n"/>
      <c r="O189" s="44" t="n"/>
    </row>
    <row r="190">
      <c r="A190" s="43" t="n"/>
      <c r="C190" s="44" t="n"/>
      <c r="D190" s="44" t="n"/>
      <c r="L190" s="45" t="n"/>
      <c r="O190" s="44" t="n"/>
    </row>
    <row r="191">
      <c r="A191" s="43" t="n"/>
      <c r="C191" s="44" t="n"/>
      <c r="D191" s="44" t="n"/>
      <c r="L191" s="45" t="n"/>
      <c r="O191" s="44" t="n"/>
    </row>
    <row r="192">
      <c r="A192" s="43" t="n"/>
      <c r="C192" s="44" t="n"/>
      <c r="D192" s="44" t="n"/>
      <c r="L192" s="45" t="n"/>
      <c r="O192" s="44" t="n"/>
    </row>
    <row r="193">
      <c r="A193" s="43" t="n"/>
      <c r="C193" s="44" t="n"/>
      <c r="D193" s="44" t="n"/>
      <c r="L193" s="45" t="n"/>
      <c r="O193" s="44" t="n"/>
    </row>
    <row r="194">
      <c r="A194" s="43" t="n"/>
      <c r="C194" s="44" t="n"/>
      <c r="D194" s="44" t="n"/>
      <c r="L194" s="45" t="n"/>
      <c r="O194" s="44" t="n"/>
    </row>
    <row r="195">
      <c r="A195" s="43" t="n"/>
      <c r="C195" s="44" t="n"/>
      <c r="D195" s="44" t="n"/>
      <c r="L195" s="45" t="n"/>
      <c r="O195" s="44" t="n"/>
    </row>
    <row r="196">
      <c r="A196" s="43" t="n"/>
      <c r="C196" s="44" t="n"/>
      <c r="D196" s="44" t="n"/>
      <c r="L196" s="45" t="n"/>
      <c r="O196" s="44" t="n"/>
    </row>
    <row r="197">
      <c r="A197" s="43" t="n"/>
      <c r="C197" s="44" t="n"/>
      <c r="D197" s="44" t="n"/>
      <c r="L197" s="45" t="n"/>
      <c r="O197" s="44" t="n"/>
    </row>
    <row r="198">
      <c r="A198" s="43" t="n"/>
      <c r="C198" s="44" t="n"/>
      <c r="D198" s="44" t="n"/>
      <c r="L198" s="45" t="n"/>
      <c r="O198" s="44" t="n"/>
    </row>
    <row r="199">
      <c r="A199" s="43" t="n"/>
      <c r="C199" s="44" t="n"/>
      <c r="D199" s="44" t="n"/>
      <c r="L199" s="45" t="n"/>
      <c r="O199" s="44" t="n"/>
    </row>
    <row r="200">
      <c r="A200" s="43" t="n"/>
      <c r="C200" s="44" t="n"/>
      <c r="D200" s="44" t="n"/>
      <c r="L200" s="45" t="n"/>
      <c r="O200" s="44" t="n"/>
    </row>
    <row r="201">
      <c r="A201" s="43" t="n"/>
      <c r="C201" s="44" t="n"/>
      <c r="D201" s="44" t="n"/>
      <c r="L201" s="45" t="n"/>
      <c r="O201" s="44" t="n"/>
    </row>
    <row r="202">
      <c r="A202" s="43" t="n"/>
      <c r="C202" s="44" t="n"/>
      <c r="D202" s="44" t="n"/>
      <c r="L202" s="45" t="n"/>
      <c r="O202" s="44" t="n"/>
    </row>
    <row r="203">
      <c r="A203" s="43" t="n"/>
      <c r="C203" s="44" t="n"/>
      <c r="D203" s="44" t="n"/>
      <c r="L203" s="45" t="n"/>
      <c r="O203" s="44" t="n"/>
    </row>
    <row r="204">
      <c r="A204" s="43" t="n"/>
      <c r="C204" s="44" t="n"/>
      <c r="D204" s="44" t="n"/>
      <c r="L204" s="45" t="n"/>
      <c r="O204" s="44" t="n"/>
    </row>
    <row r="205">
      <c r="A205" s="43" t="n"/>
      <c r="C205" s="44" t="n"/>
      <c r="D205" s="44" t="n"/>
      <c r="L205" s="45" t="n"/>
      <c r="O205" s="44" t="n"/>
    </row>
    <row r="206">
      <c r="A206" s="43" t="n"/>
      <c r="C206" s="44" t="n"/>
      <c r="D206" s="44" t="n"/>
      <c r="L206" s="45" t="n"/>
      <c r="O206" s="44" t="n"/>
    </row>
    <row r="207">
      <c r="A207" s="43" t="n"/>
      <c r="C207" s="44" t="n"/>
      <c r="D207" s="44" t="n"/>
      <c r="L207" s="45" t="n"/>
      <c r="O207" s="44" t="n"/>
    </row>
    <row r="208">
      <c r="A208" s="43" t="n"/>
      <c r="C208" s="44" t="n"/>
      <c r="D208" s="44" t="n"/>
      <c r="L208" s="45" t="n"/>
      <c r="O208" s="44" t="n"/>
    </row>
    <row r="209">
      <c r="A209" s="43" t="n"/>
      <c r="C209" s="44" t="n"/>
      <c r="D209" s="44" t="n"/>
      <c r="L209" s="45" t="n"/>
      <c r="O209" s="44" t="n"/>
    </row>
    <row r="210">
      <c r="A210" s="43" t="n"/>
      <c r="C210" s="44" t="n"/>
      <c r="D210" s="44" t="n"/>
      <c r="L210" s="45" t="n"/>
      <c r="O210" s="44" t="n"/>
    </row>
    <row r="211">
      <c r="A211" s="43" t="n"/>
      <c r="C211" s="44" t="n"/>
      <c r="D211" s="44" t="n"/>
      <c r="L211" s="45" t="n"/>
      <c r="O211" s="44" t="n"/>
    </row>
    <row r="212">
      <c r="A212" s="43" t="n"/>
      <c r="C212" s="44" t="n"/>
      <c r="D212" s="44" t="n"/>
      <c r="L212" s="45" t="n"/>
      <c r="O212" s="44" t="n"/>
    </row>
    <row r="213">
      <c r="A213" s="43" t="n"/>
      <c r="C213" s="44" t="n"/>
      <c r="D213" s="44" t="n"/>
      <c r="L213" s="45" t="n"/>
      <c r="O213" s="44" t="n"/>
    </row>
    <row r="214">
      <c r="A214" s="43" t="n"/>
      <c r="C214" s="44" t="n"/>
      <c r="D214" s="44" t="n"/>
      <c r="L214" s="45" t="n"/>
      <c r="O214" s="44" t="n"/>
    </row>
    <row r="215">
      <c r="A215" s="43" t="n"/>
      <c r="C215" s="44" t="n"/>
      <c r="D215" s="44" t="n"/>
      <c r="L215" s="45" t="n"/>
      <c r="O215" s="44" t="n"/>
    </row>
    <row r="216">
      <c r="A216" s="43" t="n"/>
      <c r="C216" s="44" t="n"/>
      <c r="D216" s="44" t="n"/>
      <c r="L216" s="45" t="n"/>
      <c r="O216" s="44" t="n"/>
    </row>
    <row r="217">
      <c r="A217" s="43" t="n"/>
      <c r="C217" s="44" t="n"/>
      <c r="D217" s="44" t="n"/>
      <c r="L217" s="45" t="n"/>
      <c r="O217" s="44" t="n"/>
    </row>
    <row r="218">
      <c r="A218" s="43" t="n"/>
      <c r="C218" s="44" t="n"/>
      <c r="D218" s="44" t="n"/>
      <c r="L218" s="45" t="n"/>
      <c r="O218" s="44" t="n"/>
    </row>
    <row r="219">
      <c r="A219" s="43" t="n"/>
      <c r="C219" s="44" t="n"/>
      <c r="D219" s="44" t="n"/>
      <c r="L219" s="45" t="n"/>
      <c r="O219" s="44" t="n"/>
    </row>
    <row r="220">
      <c r="A220" s="43" t="n"/>
      <c r="C220" s="44" t="n"/>
      <c r="D220" s="44" t="n"/>
      <c r="L220" s="45" t="n"/>
      <c r="O220" s="44" t="n"/>
    </row>
    <row r="221">
      <c r="A221" s="43" t="n"/>
      <c r="C221" s="44" t="n"/>
      <c r="D221" s="44" t="n"/>
      <c r="L221" s="45" t="n"/>
      <c r="O221" s="44" t="n"/>
    </row>
    <row r="222">
      <c r="A222" s="43" t="n"/>
      <c r="C222" s="44" t="n"/>
      <c r="D222" s="44" t="n"/>
      <c r="L222" s="45" t="n"/>
      <c r="O222" s="44" t="n"/>
    </row>
    <row r="223">
      <c r="A223" s="43" t="n"/>
      <c r="C223" s="44" t="n"/>
      <c r="D223" s="44" t="n"/>
      <c r="L223" s="45" t="n"/>
      <c r="O223" s="44" t="n"/>
    </row>
    <row r="224">
      <c r="A224" s="43" t="n"/>
      <c r="C224" s="44" t="n"/>
      <c r="D224" s="44" t="n"/>
      <c r="L224" s="45" t="n"/>
      <c r="O224" s="44" t="n"/>
    </row>
    <row r="225">
      <c r="A225" s="43" t="n"/>
      <c r="C225" s="44" t="n"/>
      <c r="D225" s="44" t="n"/>
      <c r="L225" s="45" t="n"/>
      <c r="O225" s="44" t="n"/>
    </row>
    <row r="226">
      <c r="A226" s="43" t="n"/>
      <c r="C226" s="44" t="n"/>
      <c r="D226" s="44" t="n"/>
      <c r="L226" s="45" t="n"/>
      <c r="O226" s="44" t="n"/>
    </row>
    <row r="227">
      <c r="A227" s="43" t="n"/>
      <c r="C227" s="44" t="n"/>
      <c r="D227" s="44" t="n"/>
      <c r="L227" s="45" t="n"/>
      <c r="O227" s="44" t="n"/>
    </row>
    <row r="228">
      <c r="A228" s="43" t="n"/>
      <c r="C228" s="44" t="n"/>
      <c r="D228" s="44" t="n"/>
      <c r="L228" s="45" t="n"/>
      <c r="O228" s="44" t="n"/>
    </row>
    <row r="229">
      <c r="A229" s="43" t="n"/>
      <c r="C229" s="44" t="n"/>
      <c r="D229" s="44" t="n"/>
      <c r="L229" s="45" t="n"/>
      <c r="O229" s="44" t="n"/>
    </row>
    <row r="230">
      <c r="A230" s="43" t="n"/>
      <c r="C230" s="44" t="n"/>
      <c r="D230" s="44" t="n"/>
      <c r="L230" s="45" t="n"/>
      <c r="O230" s="44" t="n"/>
    </row>
    <row r="231">
      <c r="A231" s="43" t="n"/>
      <c r="C231" s="44" t="n"/>
      <c r="D231" s="44" t="n"/>
      <c r="L231" s="45" t="n"/>
      <c r="O231" s="44" t="n"/>
    </row>
    <row r="232">
      <c r="A232" s="43" t="n"/>
      <c r="C232" s="44" t="n"/>
      <c r="D232" s="44" t="n"/>
      <c r="L232" s="45" t="n"/>
      <c r="O232" s="44" t="n"/>
    </row>
    <row r="233">
      <c r="A233" s="43" t="n"/>
      <c r="C233" s="44" t="n"/>
      <c r="D233" s="44" t="n"/>
      <c r="L233" s="45" t="n"/>
      <c r="O233" s="44" t="n"/>
    </row>
    <row r="234">
      <c r="A234" s="43" t="n"/>
      <c r="C234" s="44" t="n"/>
      <c r="D234" s="44" t="n"/>
      <c r="L234" s="45" t="n"/>
      <c r="O234" s="44" t="n"/>
    </row>
    <row r="235">
      <c r="A235" s="43" t="n"/>
      <c r="C235" s="44" t="n"/>
      <c r="D235" s="44" t="n"/>
      <c r="L235" s="45" t="n"/>
      <c r="O235" s="44" t="n"/>
    </row>
    <row r="236">
      <c r="A236" s="43" t="n"/>
      <c r="C236" s="44" t="n"/>
      <c r="D236" s="44" t="n"/>
      <c r="L236" s="45" t="n"/>
      <c r="O236" s="44" t="n"/>
    </row>
    <row r="237">
      <c r="A237" s="43" t="n"/>
      <c r="C237" s="44" t="n"/>
      <c r="D237" s="44" t="n"/>
      <c r="L237" s="45" t="n"/>
      <c r="O237" s="44" t="n"/>
    </row>
    <row r="238">
      <c r="A238" s="43" t="n"/>
      <c r="C238" s="44" t="n"/>
      <c r="D238" s="44" t="n"/>
      <c r="L238" s="45" t="n"/>
      <c r="O238" s="44" t="n"/>
    </row>
    <row r="239">
      <c r="A239" s="43" t="n"/>
      <c r="C239" s="44" t="n"/>
      <c r="D239" s="44" t="n"/>
      <c r="L239" s="45" t="n"/>
      <c r="O239" s="44" t="n"/>
    </row>
    <row r="240">
      <c r="A240" s="43" t="n"/>
      <c r="C240" s="44" t="n"/>
      <c r="D240" s="44" t="n"/>
      <c r="L240" s="45" t="n"/>
      <c r="O240" s="44" t="n"/>
    </row>
    <row r="241">
      <c r="A241" s="43" t="n"/>
      <c r="C241" s="44" t="n"/>
      <c r="D241" s="44" t="n"/>
      <c r="L241" s="45" t="n"/>
      <c r="O241" s="44" t="n"/>
    </row>
    <row r="242">
      <c r="A242" s="43" t="n"/>
      <c r="C242" s="44" t="n"/>
      <c r="D242" s="44" t="n"/>
      <c r="L242" s="45" t="n"/>
      <c r="O242" s="44" t="n"/>
    </row>
    <row r="243">
      <c r="A243" s="43" t="n"/>
      <c r="C243" s="44" t="n"/>
      <c r="D243" s="44" t="n"/>
      <c r="L243" s="45" t="n"/>
      <c r="O243" s="44" t="n"/>
    </row>
    <row r="244">
      <c r="A244" s="43" t="n"/>
      <c r="C244" s="44" t="n"/>
      <c r="D244" s="44" t="n"/>
      <c r="L244" s="45" t="n"/>
      <c r="O244" s="44" t="n"/>
    </row>
    <row r="245">
      <c r="A245" s="43" t="n"/>
      <c r="C245" s="44" t="n"/>
      <c r="D245" s="44" t="n"/>
      <c r="L245" s="45" t="n"/>
      <c r="O245" s="44" t="n"/>
    </row>
    <row r="246">
      <c r="A246" s="43" t="n"/>
      <c r="C246" s="44" t="n"/>
      <c r="D246" s="44" t="n"/>
      <c r="L246" s="45" t="n"/>
      <c r="O246" s="44" t="n"/>
    </row>
    <row r="247">
      <c r="A247" s="43" t="n"/>
      <c r="C247" s="44" t="n"/>
      <c r="D247" s="44" t="n"/>
      <c r="L247" s="45" t="n"/>
      <c r="O247" s="44" t="n"/>
    </row>
    <row r="248">
      <c r="A248" s="43" t="n"/>
      <c r="C248" s="44" t="n"/>
      <c r="D248" s="44" t="n"/>
      <c r="L248" s="45" t="n"/>
      <c r="O248" s="44" t="n"/>
    </row>
    <row r="249">
      <c r="A249" s="43" t="n"/>
      <c r="C249" s="44" t="n"/>
      <c r="D249" s="44" t="n"/>
      <c r="L249" s="45" t="n"/>
      <c r="O249" s="44" t="n"/>
    </row>
    <row r="250">
      <c r="A250" s="43" t="n"/>
      <c r="C250" s="44" t="n"/>
      <c r="D250" s="44" t="n"/>
      <c r="L250" s="45" t="n"/>
      <c r="O250" s="44" t="n"/>
    </row>
    <row r="251">
      <c r="A251" s="43" t="n"/>
      <c r="C251" s="44" t="n"/>
      <c r="D251" s="44" t="n"/>
      <c r="L251" s="45" t="n"/>
      <c r="O251" s="44" t="n"/>
    </row>
    <row r="252">
      <c r="A252" s="43" t="n"/>
      <c r="C252" s="44" t="n"/>
      <c r="D252" s="44" t="n"/>
      <c r="L252" s="45" t="n"/>
      <c r="O252" s="44" t="n"/>
    </row>
    <row r="253">
      <c r="A253" s="43" t="n"/>
      <c r="C253" s="44" t="n"/>
      <c r="D253" s="44" t="n"/>
      <c r="L253" s="45" t="n"/>
      <c r="O253" s="44" t="n"/>
    </row>
    <row r="254">
      <c r="A254" s="43" t="n"/>
      <c r="C254" s="44" t="n"/>
      <c r="D254" s="44" t="n"/>
      <c r="L254" s="45" t="n"/>
      <c r="O254" s="44" t="n"/>
    </row>
    <row r="255">
      <c r="A255" s="43" t="n"/>
      <c r="C255" s="44" t="n"/>
      <c r="D255" s="44" t="n"/>
      <c r="L255" s="45" t="n"/>
      <c r="O255" s="44" t="n"/>
    </row>
    <row r="256">
      <c r="A256" s="43" t="n"/>
      <c r="C256" s="44" t="n"/>
      <c r="D256" s="44" t="n"/>
      <c r="L256" s="45" t="n"/>
      <c r="O256" s="44" t="n"/>
    </row>
    <row r="257">
      <c r="A257" s="43" t="n"/>
      <c r="C257" s="44" t="n"/>
      <c r="D257" s="44" t="n"/>
      <c r="L257" s="45" t="n"/>
      <c r="O257" s="44" t="n"/>
    </row>
    <row r="258">
      <c r="A258" s="43" t="n"/>
      <c r="C258" s="44" t="n"/>
      <c r="D258" s="44" t="n"/>
      <c r="L258" s="45" t="n"/>
      <c r="O258" s="44" t="n"/>
    </row>
    <row r="259">
      <c r="A259" s="43" t="n"/>
      <c r="C259" s="44" t="n"/>
      <c r="D259" s="44" t="n"/>
      <c r="L259" s="45" t="n"/>
      <c r="O259" s="44" t="n"/>
    </row>
    <row r="260">
      <c r="A260" s="43" t="n"/>
      <c r="C260" s="44" t="n"/>
      <c r="D260" s="44" t="n"/>
      <c r="L260" s="45" t="n"/>
      <c r="O260" s="44" t="n"/>
    </row>
    <row r="261">
      <c r="A261" s="43" t="n"/>
      <c r="C261" s="44" t="n"/>
      <c r="D261" s="44" t="n"/>
      <c r="L261" s="45" t="n"/>
      <c r="O261" s="44" t="n"/>
    </row>
    <row r="262">
      <c r="A262" s="43" t="n"/>
      <c r="C262" s="44" t="n"/>
      <c r="D262" s="44" t="n"/>
      <c r="L262" s="45" t="n"/>
      <c r="O262" s="44" t="n"/>
    </row>
    <row r="263">
      <c r="A263" s="43" t="n"/>
      <c r="C263" s="44" t="n"/>
      <c r="D263" s="44" t="n"/>
      <c r="L263" s="45" t="n"/>
      <c r="O263" s="44" t="n"/>
    </row>
    <row r="264">
      <c r="A264" s="43" t="n"/>
      <c r="C264" s="44" t="n"/>
      <c r="D264" s="44" t="n"/>
      <c r="L264" s="45" t="n"/>
      <c r="O264" s="44" t="n"/>
    </row>
    <row r="265">
      <c r="A265" s="43" t="n"/>
      <c r="C265" s="44" t="n"/>
      <c r="D265" s="44" t="n"/>
      <c r="L265" s="45" t="n"/>
      <c r="O265" s="44" t="n"/>
    </row>
    <row r="266">
      <c r="A266" s="43" t="n"/>
      <c r="C266" s="44" t="n"/>
      <c r="D266" s="44" t="n"/>
      <c r="L266" s="45" t="n"/>
      <c r="O266" s="44" t="n"/>
    </row>
    <row r="267">
      <c r="A267" s="43" t="n"/>
      <c r="C267" s="44" t="n"/>
      <c r="D267" s="44" t="n"/>
      <c r="L267" s="45" t="n"/>
      <c r="O267" s="44" t="n"/>
    </row>
    <row r="268">
      <c r="A268" s="43" t="n"/>
      <c r="C268" s="44" t="n"/>
      <c r="D268" s="44" t="n"/>
      <c r="L268" s="45" t="n"/>
      <c r="O268" s="44" t="n"/>
    </row>
    <row r="269">
      <c r="A269" s="43" t="n"/>
      <c r="C269" s="44" t="n"/>
      <c r="D269" s="44" t="n"/>
      <c r="L269" s="45" t="n"/>
      <c r="O269" s="44" t="n"/>
    </row>
    <row r="270">
      <c r="A270" s="43" t="n"/>
      <c r="C270" s="44" t="n"/>
      <c r="D270" s="44" t="n"/>
      <c r="L270" s="45" t="n"/>
      <c r="O270" s="44" t="n"/>
    </row>
    <row r="271">
      <c r="A271" s="43" t="n"/>
      <c r="C271" s="44" t="n"/>
      <c r="D271" s="44" t="n"/>
      <c r="L271" s="45" t="n"/>
      <c r="O271" s="44" t="n"/>
    </row>
    <row r="272">
      <c r="A272" s="43" t="n"/>
      <c r="C272" s="44" t="n"/>
      <c r="D272" s="44" t="n"/>
      <c r="L272" s="45" t="n"/>
      <c r="O272" s="44" t="n"/>
    </row>
    <row r="273">
      <c r="A273" s="43" t="n"/>
      <c r="C273" s="44" t="n"/>
      <c r="D273" s="44" t="n"/>
      <c r="L273" s="45" t="n"/>
      <c r="O273" s="44" t="n"/>
    </row>
    <row r="274">
      <c r="A274" s="43" t="n"/>
      <c r="C274" s="44" t="n"/>
      <c r="D274" s="44" t="n"/>
      <c r="L274" s="45" t="n"/>
      <c r="O274" s="44" t="n"/>
    </row>
    <row r="275">
      <c r="A275" s="43" t="n"/>
      <c r="C275" s="44" t="n"/>
      <c r="D275" s="44" t="n"/>
      <c r="L275" s="45" t="n"/>
      <c r="O275" s="44" t="n"/>
    </row>
    <row r="276">
      <c r="A276" s="43" t="n"/>
      <c r="C276" s="44" t="n"/>
      <c r="D276" s="44" t="n"/>
      <c r="L276" s="45" t="n"/>
      <c r="O276" s="44" t="n"/>
    </row>
    <row r="277">
      <c r="A277" s="43" t="n"/>
      <c r="C277" s="44" t="n"/>
      <c r="D277" s="44" t="n"/>
      <c r="L277" s="45" t="n"/>
      <c r="O277" s="44" t="n"/>
    </row>
    <row r="278">
      <c r="A278" s="43" t="n"/>
      <c r="C278" s="44" t="n"/>
      <c r="D278" s="44" t="n"/>
      <c r="L278" s="45" t="n"/>
      <c r="O278" s="44" t="n"/>
    </row>
    <row r="279">
      <c r="A279" s="43" t="n"/>
      <c r="C279" s="44" t="n"/>
      <c r="D279" s="44" t="n"/>
      <c r="L279" s="45" t="n"/>
      <c r="O279" s="44" t="n"/>
    </row>
    <row r="280">
      <c r="A280" s="43" t="n"/>
      <c r="C280" s="44" t="n"/>
      <c r="D280" s="44" t="n"/>
      <c r="L280" s="45" t="n"/>
      <c r="O280" s="44" t="n"/>
    </row>
    <row r="281">
      <c r="A281" s="43" t="n"/>
      <c r="C281" s="44" t="n"/>
      <c r="D281" s="44" t="n"/>
      <c r="L281" s="45" t="n"/>
      <c r="O281" s="44" t="n"/>
    </row>
    <row r="282">
      <c r="A282" s="43" t="n"/>
      <c r="C282" s="44" t="n"/>
      <c r="D282" s="44" t="n"/>
      <c r="L282" s="45" t="n"/>
      <c r="O282" s="44" t="n"/>
    </row>
    <row r="283">
      <c r="A283" s="43" t="n"/>
      <c r="C283" s="44" t="n"/>
      <c r="D283" s="44" t="n"/>
      <c r="L283" s="45" t="n"/>
      <c r="O283" s="44" t="n"/>
    </row>
    <row r="284">
      <c r="A284" s="43" t="n"/>
      <c r="C284" s="44" t="n"/>
      <c r="D284" s="44" t="n"/>
      <c r="L284" s="45" t="n"/>
      <c r="O284" s="44" t="n"/>
    </row>
    <row r="285">
      <c r="A285" s="43" t="n"/>
      <c r="C285" s="44" t="n"/>
      <c r="D285" s="44" t="n"/>
      <c r="L285" s="45" t="n"/>
      <c r="O285" s="44" t="n"/>
    </row>
    <row r="286">
      <c r="A286" s="43" t="n"/>
      <c r="C286" s="44" t="n"/>
      <c r="D286" s="44" t="n"/>
      <c r="L286" s="45" t="n"/>
      <c r="O286" s="44" t="n"/>
    </row>
    <row r="287">
      <c r="A287" s="43" t="n"/>
      <c r="C287" s="44" t="n"/>
      <c r="D287" s="44" t="n"/>
      <c r="L287" s="45" t="n"/>
      <c r="O287" s="44" t="n"/>
    </row>
    <row r="288">
      <c r="A288" s="43" t="n"/>
      <c r="C288" s="44" t="n"/>
      <c r="D288" s="44" t="n"/>
      <c r="L288" s="45" t="n"/>
      <c r="O288" s="44" t="n"/>
    </row>
    <row r="289">
      <c r="A289" s="43" t="n"/>
      <c r="C289" s="44" t="n"/>
      <c r="D289" s="44" t="n"/>
      <c r="L289" s="45" t="n"/>
      <c r="O289" s="44" t="n"/>
    </row>
    <row r="290">
      <c r="A290" s="43" t="n"/>
      <c r="C290" s="44" t="n"/>
      <c r="D290" s="44" t="n"/>
      <c r="L290" s="45" t="n"/>
      <c r="O290" s="44" t="n"/>
    </row>
    <row r="291">
      <c r="A291" s="43" t="n"/>
      <c r="C291" s="44" t="n"/>
      <c r="D291" s="44" t="n"/>
      <c r="L291" s="45" t="n"/>
      <c r="O291" s="44" t="n"/>
    </row>
    <row r="292">
      <c r="A292" s="43" t="n"/>
      <c r="C292" s="44" t="n"/>
      <c r="D292" s="44" t="n"/>
      <c r="L292" s="45" t="n"/>
      <c r="O292" s="44" t="n"/>
    </row>
    <row r="293">
      <c r="A293" s="43" t="n"/>
      <c r="C293" s="44" t="n"/>
      <c r="D293" s="44" t="n"/>
      <c r="L293" s="45" t="n"/>
      <c r="O293" s="44" t="n"/>
    </row>
    <row r="294">
      <c r="A294" s="43" t="n"/>
      <c r="C294" s="44" t="n"/>
      <c r="D294" s="44" t="n"/>
      <c r="L294" s="45" t="n"/>
      <c r="O294" s="44" t="n"/>
    </row>
    <row r="295">
      <c r="A295" s="43" t="n"/>
      <c r="C295" s="44" t="n"/>
      <c r="D295" s="44" t="n"/>
      <c r="L295" s="45" t="n"/>
      <c r="O295" s="44" t="n"/>
    </row>
    <row r="296">
      <c r="A296" s="43" t="n"/>
      <c r="C296" s="44" t="n"/>
      <c r="D296" s="44" t="n"/>
      <c r="L296" s="45" t="n"/>
      <c r="O296" s="44" t="n"/>
    </row>
    <row r="297">
      <c r="A297" s="43" t="n"/>
      <c r="C297" s="44" t="n"/>
      <c r="D297" s="44" t="n"/>
      <c r="L297" s="45" t="n"/>
      <c r="O297" s="44" t="n"/>
    </row>
    <row r="298">
      <c r="A298" s="43" t="n"/>
      <c r="C298" s="44" t="n"/>
      <c r="D298" s="44" t="n"/>
      <c r="L298" s="45" t="n"/>
      <c r="O298" s="44" t="n"/>
    </row>
    <row r="299">
      <c r="A299" s="43" t="n"/>
      <c r="C299" s="44" t="n"/>
      <c r="D299" s="44" t="n"/>
      <c r="L299" s="45" t="n"/>
      <c r="O299" s="44" t="n"/>
    </row>
    <row r="300">
      <c r="A300" s="43" t="n"/>
      <c r="C300" s="44" t="n"/>
      <c r="D300" s="44" t="n"/>
      <c r="L300" s="45" t="n"/>
      <c r="O300" s="44" t="n"/>
    </row>
    <row r="301">
      <c r="A301" s="43" t="n"/>
      <c r="C301" s="44" t="n"/>
      <c r="D301" s="44" t="n"/>
      <c r="L301" s="45" t="n"/>
      <c r="O301" s="44" t="n"/>
    </row>
    <row r="302">
      <c r="A302" s="43" t="n"/>
      <c r="C302" s="44" t="n"/>
      <c r="D302" s="44" t="n"/>
      <c r="L302" s="45" t="n"/>
      <c r="O302" s="44" t="n"/>
    </row>
    <row r="303">
      <c r="A303" s="43" t="n"/>
      <c r="C303" s="44" t="n"/>
      <c r="D303" s="44" t="n"/>
      <c r="L303" s="45" t="n"/>
      <c r="O303" s="44" t="n"/>
    </row>
    <row r="304">
      <c r="A304" s="43" t="n"/>
      <c r="C304" s="44" t="n"/>
      <c r="D304" s="44" t="n"/>
      <c r="L304" s="45" t="n"/>
      <c r="O304" s="44" t="n"/>
    </row>
    <row r="305">
      <c r="A305" s="43" t="n"/>
      <c r="C305" s="44" t="n"/>
      <c r="D305" s="44" t="n"/>
      <c r="L305" s="45" t="n"/>
      <c r="O305" s="44" t="n"/>
    </row>
    <row r="306">
      <c r="A306" s="43" t="n"/>
      <c r="C306" s="44" t="n"/>
      <c r="D306" s="44" t="n"/>
      <c r="L306" s="45" t="n"/>
      <c r="O306" s="44" t="n"/>
    </row>
    <row r="307">
      <c r="A307" s="43" t="n"/>
      <c r="C307" s="44" t="n"/>
      <c r="D307" s="44" t="n"/>
      <c r="L307" s="45" t="n"/>
      <c r="O307" s="44" t="n"/>
    </row>
    <row r="308">
      <c r="A308" s="43" t="n"/>
      <c r="C308" s="44" t="n"/>
      <c r="D308" s="44" t="n"/>
      <c r="L308" s="45" t="n"/>
      <c r="O308" s="44" t="n"/>
    </row>
    <row r="309">
      <c r="A309" s="43" t="n"/>
      <c r="C309" s="44" t="n"/>
      <c r="D309" s="44" t="n"/>
      <c r="L309" s="45" t="n"/>
      <c r="O309" s="44" t="n"/>
    </row>
    <row r="310">
      <c r="A310" s="43" t="n"/>
      <c r="C310" s="44" t="n"/>
      <c r="D310" s="44" t="n"/>
      <c r="L310" s="45" t="n"/>
      <c r="O310" s="44" t="n"/>
    </row>
    <row r="311">
      <c r="A311" s="43" t="n"/>
      <c r="C311" s="44" t="n"/>
      <c r="D311" s="44" t="n"/>
      <c r="L311" s="45" t="n"/>
      <c r="O311" s="44" t="n"/>
    </row>
    <row r="312">
      <c r="A312" s="43" t="n"/>
      <c r="C312" s="44" t="n"/>
      <c r="D312" s="44" t="n"/>
      <c r="L312" s="45" t="n"/>
      <c r="O312" s="44" t="n"/>
    </row>
    <row r="313">
      <c r="A313" s="43" t="n"/>
      <c r="C313" s="44" t="n"/>
      <c r="D313" s="44" t="n"/>
      <c r="L313" s="45" t="n"/>
      <c r="O313" s="44" t="n"/>
    </row>
    <row r="314">
      <c r="A314" s="43" t="n"/>
      <c r="C314" s="44" t="n"/>
      <c r="D314" s="44" t="n"/>
      <c r="L314" s="45" t="n"/>
      <c r="O314" s="44" t="n"/>
    </row>
    <row r="315">
      <c r="A315" s="43" t="n"/>
      <c r="C315" s="44" t="n"/>
      <c r="D315" s="44" t="n"/>
      <c r="L315" s="45" t="n"/>
      <c r="O315" s="44" t="n"/>
    </row>
    <row r="316">
      <c r="A316" s="43" t="n"/>
      <c r="C316" s="44" t="n"/>
      <c r="D316" s="44" t="n"/>
      <c r="L316" s="45" t="n"/>
      <c r="O316" s="44" t="n"/>
    </row>
    <row r="317">
      <c r="A317" s="43" t="n"/>
      <c r="C317" s="44" t="n"/>
      <c r="D317" s="44" t="n"/>
      <c r="L317" s="45" t="n"/>
      <c r="O317" s="44" t="n"/>
    </row>
    <row r="318">
      <c r="A318" s="43" t="n"/>
      <c r="C318" s="44" t="n"/>
      <c r="D318" s="44" t="n"/>
      <c r="L318" s="45" t="n"/>
      <c r="O318" s="44" t="n"/>
    </row>
    <row r="319">
      <c r="A319" s="43" t="n"/>
      <c r="C319" s="44" t="n"/>
      <c r="D319" s="44" t="n"/>
      <c r="L319" s="45" t="n"/>
      <c r="O319" s="44" t="n"/>
    </row>
    <row r="320">
      <c r="A320" s="43" t="n"/>
      <c r="C320" s="44" t="n"/>
      <c r="D320" s="44" t="n"/>
      <c r="L320" s="45" t="n"/>
      <c r="O320" s="44" t="n"/>
    </row>
    <row r="321">
      <c r="A321" s="43" t="n"/>
      <c r="C321" s="44" t="n"/>
      <c r="D321" s="44" t="n"/>
      <c r="L321" s="45" t="n"/>
      <c r="O321" s="44" t="n"/>
    </row>
    <row r="322">
      <c r="A322" s="43" t="n"/>
      <c r="C322" s="44" t="n"/>
      <c r="D322" s="44" t="n"/>
      <c r="L322" s="45" t="n"/>
      <c r="O322" s="44" t="n"/>
    </row>
    <row r="323">
      <c r="A323" s="43" t="n"/>
      <c r="C323" s="44" t="n"/>
      <c r="D323" s="44" t="n"/>
      <c r="L323" s="45" t="n"/>
      <c r="O323" s="44" t="n"/>
    </row>
    <row r="324">
      <c r="A324" s="43" t="n"/>
      <c r="C324" s="44" t="n"/>
      <c r="D324" s="44" t="n"/>
      <c r="L324" s="45" t="n"/>
      <c r="O324" s="44" t="n"/>
    </row>
    <row r="325">
      <c r="A325" s="43" t="n"/>
      <c r="C325" s="44" t="n"/>
      <c r="D325" s="44" t="n"/>
      <c r="L325" s="45" t="n"/>
      <c r="O325" s="44" t="n"/>
    </row>
    <row r="326">
      <c r="A326" s="43" t="n"/>
      <c r="C326" s="44" t="n"/>
      <c r="D326" s="44" t="n"/>
      <c r="L326" s="45" t="n"/>
      <c r="O326" s="44" t="n"/>
    </row>
    <row r="327">
      <c r="A327" s="43" t="n"/>
      <c r="C327" s="44" t="n"/>
      <c r="D327" s="44" t="n"/>
      <c r="L327" s="45" t="n"/>
      <c r="O327" s="44" t="n"/>
    </row>
    <row r="328">
      <c r="A328" s="43" t="n"/>
      <c r="C328" s="44" t="n"/>
      <c r="D328" s="44" t="n"/>
      <c r="L328" s="45" t="n"/>
      <c r="O328" s="44" t="n"/>
    </row>
    <row r="329">
      <c r="A329" s="43" t="n"/>
      <c r="C329" s="44" t="n"/>
      <c r="D329" s="44" t="n"/>
      <c r="L329" s="45" t="n"/>
      <c r="O329" s="44" t="n"/>
    </row>
    <row r="330">
      <c r="A330" s="43" t="n"/>
      <c r="C330" s="44" t="n"/>
      <c r="D330" s="44" t="n"/>
      <c r="L330" s="45" t="n"/>
      <c r="O330" s="44" t="n"/>
    </row>
    <row r="331">
      <c r="A331" s="43" t="n"/>
      <c r="C331" s="44" t="n"/>
      <c r="D331" s="44" t="n"/>
      <c r="L331" s="45" t="n"/>
      <c r="O331" s="44" t="n"/>
    </row>
    <row r="332">
      <c r="A332" s="43" t="n"/>
      <c r="C332" s="44" t="n"/>
      <c r="D332" s="44" t="n"/>
      <c r="L332" s="45" t="n"/>
      <c r="O332" s="44" t="n"/>
    </row>
    <row r="333">
      <c r="A333" s="43" t="n"/>
      <c r="C333" s="44" t="n"/>
      <c r="D333" s="44" t="n"/>
      <c r="L333" s="45" t="n"/>
      <c r="O333" s="44" t="n"/>
    </row>
    <row r="334">
      <c r="A334" s="43" t="n"/>
      <c r="C334" s="44" t="n"/>
      <c r="D334" s="44" t="n"/>
      <c r="L334" s="45" t="n"/>
      <c r="O334" s="44" t="n"/>
    </row>
    <row r="335">
      <c r="A335" s="43" t="n"/>
      <c r="C335" s="44" t="n"/>
      <c r="D335" s="44" t="n"/>
      <c r="L335" s="45" t="n"/>
      <c r="O335" s="44" t="n"/>
    </row>
    <row r="336">
      <c r="A336" s="43" t="n"/>
      <c r="C336" s="44" t="n"/>
      <c r="D336" s="44" t="n"/>
      <c r="L336" s="45" t="n"/>
      <c r="O336" s="44" t="n"/>
    </row>
    <row r="337">
      <c r="A337" s="43" t="n"/>
      <c r="C337" s="44" t="n"/>
      <c r="D337" s="44" t="n"/>
      <c r="L337" s="45" t="n"/>
      <c r="O337" s="44" t="n"/>
    </row>
    <row r="338">
      <c r="A338" s="43" t="n"/>
      <c r="C338" s="44" t="n"/>
      <c r="D338" s="44" t="n"/>
      <c r="L338" s="45" t="n"/>
      <c r="O338" s="44" t="n"/>
    </row>
    <row r="339">
      <c r="A339" s="43" t="n"/>
      <c r="C339" s="44" t="n"/>
      <c r="D339" s="44" t="n"/>
      <c r="L339" s="45" t="n"/>
      <c r="O339" s="44" t="n"/>
    </row>
    <row r="340">
      <c r="A340" s="43" t="n"/>
      <c r="C340" s="44" t="n"/>
      <c r="D340" s="44" t="n"/>
      <c r="L340" s="45" t="n"/>
      <c r="O340" s="44" t="n"/>
    </row>
    <row r="341">
      <c r="A341" s="43" t="n"/>
      <c r="C341" s="44" t="n"/>
      <c r="D341" s="44" t="n"/>
      <c r="L341" s="45" t="n"/>
      <c r="O341" s="44" t="n"/>
    </row>
    <row r="342">
      <c r="A342" s="43" t="n"/>
      <c r="C342" s="44" t="n"/>
      <c r="D342" s="44" t="n"/>
      <c r="L342" s="45" t="n"/>
      <c r="O342" s="44" t="n"/>
    </row>
    <row r="343">
      <c r="A343" s="43" t="n"/>
      <c r="C343" s="44" t="n"/>
      <c r="D343" s="44" t="n"/>
      <c r="L343" s="45" t="n"/>
      <c r="O343" s="44" t="n"/>
    </row>
    <row r="344">
      <c r="A344" s="43" t="n"/>
      <c r="C344" s="44" t="n"/>
      <c r="D344" s="44" t="n"/>
      <c r="L344" s="45" t="n"/>
      <c r="O344" s="44" t="n"/>
    </row>
    <row r="345">
      <c r="A345" s="43" t="n"/>
      <c r="C345" s="44" t="n"/>
      <c r="D345" s="44" t="n"/>
      <c r="L345" s="45" t="n"/>
      <c r="O345" s="44" t="n"/>
    </row>
    <row r="346">
      <c r="A346" s="43" t="n"/>
      <c r="C346" s="44" t="n"/>
      <c r="D346" s="44" t="n"/>
      <c r="L346" s="45" t="n"/>
      <c r="O346" s="44" t="n"/>
    </row>
    <row r="347">
      <c r="A347" s="43" t="n"/>
      <c r="C347" s="44" t="n"/>
      <c r="D347" s="44" t="n"/>
      <c r="L347" s="45" t="n"/>
      <c r="O347" s="44" t="n"/>
    </row>
    <row r="348">
      <c r="A348" s="43" t="n"/>
      <c r="C348" s="44" t="n"/>
      <c r="D348" s="44" t="n"/>
      <c r="L348" s="45" t="n"/>
      <c r="O348" s="44" t="n"/>
    </row>
    <row r="349">
      <c r="A349" s="43" t="n"/>
      <c r="C349" s="44" t="n"/>
      <c r="D349" s="44" t="n"/>
      <c r="L349" s="45" t="n"/>
      <c r="O349" s="44" t="n"/>
    </row>
    <row r="350">
      <c r="A350" s="43" t="n"/>
      <c r="C350" s="44" t="n"/>
      <c r="D350" s="44" t="n"/>
      <c r="L350" s="45" t="n"/>
      <c r="O350" s="44" t="n"/>
    </row>
    <row r="351">
      <c r="A351" s="43" t="n"/>
      <c r="C351" s="44" t="n"/>
      <c r="D351" s="44" t="n"/>
      <c r="L351" s="45" t="n"/>
      <c r="O351" s="44" t="n"/>
    </row>
    <row r="352">
      <c r="A352" s="43" t="n"/>
      <c r="C352" s="44" t="n"/>
      <c r="D352" s="44" t="n"/>
      <c r="L352" s="45" t="n"/>
      <c r="O352" s="44" t="n"/>
    </row>
    <row r="353">
      <c r="A353" s="43" t="n"/>
      <c r="C353" s="44" t="n"/>
      <c r="D353" s="44" t="n"/>
      <c r="L353" s="45" t="n"/>
      <c r="O353" s="44" t="n"/>
    </row>
    <row r="354">
      <c r="A354" s="43" t="n"/>
      <c r="C354" s="44" t="n"/>
      <c r="D354" s="44" t="n"/>
      <c r="L354" s="45" t="n"/>
      <c r="O354" s="44" t="n"/>
    </row>
    <row r="355">
      <c r="A355" s="43" t="n"/>
      <c r="C355" s="44" t="n"/>
      <c r="D355" s="44" t="n"/>
      <c r="L355" s="45" t="n"/>
      <c r="O355" s="44" t="n"/>
    </row>
    <row r="356">
      <c r="A356" s="43" t="n"/>
      <c r="C356" s="44" t="n"/>
      <c r="D356" s="44" t="n"/>
      <c r="L356" s="45" t="n"/>
      <c r="O356" s="44" t="n"/>
    </row>
    <row r="357">
      <c r="A357" s="43" t="n"/>
      <c r="C357" s="44" t="n"/>
      <c r="D357" s="44" t="n"/>
      <c r="L357" s="45" t="n"/>
      <c r="O357" s="44" t="n"/>
    </row>
    <row r="358">
      <c r="A358" s="43" t="n"/>
      <c r="C358" s="44" t="n"/>
      <c r="D358" s="44" t="n"/>
      <c r="L358" s="45" t="n"/>
      <c r="O358" s="44" t="n"/>
    </row>
    <row r="359">
      <c r="A359" s="43" t="n"/>
      <c r="C359" s="44" t="n"/>
      <c r="D359" s="44" t="n"/>
      <c r="L359" s="45" t="n"/>
      <c r="O359" s="44" t="n"/>
    </row>
    <row r="360">
      <c r="A360" s="43" t="n"/>
      <c r="C360" s="44" t="n"/>
      <c r="D360" s="44" t="n"/>
      <c r="L360" s="45" t="n"/>
      <c r="O360" s="44" t="n"/>
    </row>
    <row r="361">
      <c r="A361" s="43" t="n"/>
      <c r="C361" s="44" t="n"/>
      <c r="D361" s="44" t="n"/>
      <c r="L361" s="45" t="n"/>
      <c r="O361" s="44" t="n"/>
    </row>
    <row r="362">
      <c r="A362" s="43" t="n"/>
      <c r="C362" s="44" t="n"/>
      <c r="D362" s="44" t="n"/>
      <c r="L362" s="45" t="n"/>
      <c r="O362" s="44" t="n"/>
    </row>
    <row r="363">
      <c r="A363" s="43" t="n"/>
      <c r="C363" s="44" t="n"/>
      <c r="D363" s="44" t="n"/>
      <c r="L363" s="45" t="n"/>
      <c r="O363" s="44" t="n"/>
    </row>
    <row r="364">
      <c r="A364" s="43" t="n"/>
      <c r="C364" s="44" t="n"/>
      <c r="D364" s="44" t="n"/>
      <c r="L364" s="45" t="n"/>
      <c r="O364" s="44" t="n"/>
    </row>
    <row r="365">
      <c r="A365" s="43" t="n"/>
      <c r="C365" s="44" t="n"/>
      <c r="D365" s="44" t="n"/>
      <c r="L365" s="45" t="n"/>
      <c r="O365" s="44" t="n"/>
    </row>
    <row r="366">
      <c r="A366" s="43" t="n"/>
      <c r="C366" s="44" t="n"/>
      <c r="D366" s="44" t="n"/>
      <c r="L366" s="45" t="n"/>
      <c r="O366" s="44" t="n"/>
    </row>
    <row r="367">
      <c r="A367" s="43" t="n"/>
      <c r="C367" s="44" t="n"/>
      <c r="D367" s="44" t="n"/>
      <c r="L367" s="45" t="n"/>
      <c r="O367" s="44" t="n"/>
    </row>
    <row r="368">
      <c r="A368" s="43" t="n"/>
      <c r="C368" s="44" t="n"/>
      <c r="D368" s="44" t="n"/>
      <c r="L368" s="45" t="n"/>
      <c r="O368" s="44" t="n"/>
    </row>
    <row r="369">
      <c r="A369" s="43" t="n"/>
      <c r="C369" s="44" t="n"/>
      <c r="D369" s="44" t="n"/>
      <c r="L369" s="45" t="n"/>
      <c r="O369" s="44" t="n"/>
    </row>
    <row r="370">
      <c r="A370" s="43" t="n"/>
      <c r="C370" s="44" t="n"/>
      <c r="D370" s="44" t="n"/>
      <c r="L370" s="45" t="n"/>
      <c r="O370" s="44" t="n"/>
    </row>
    <row r="371">
      <c r="A371" s="43" t="n"/>
      <c r="C371" s="44" t="n"/>
      <c r="D371" s="44" t="n"/>
      <c r="L371" s="45" t="n"/>
      <c r="O371" s="44" t="n"/>
    </row>
    <row r="372">
      <c r="A372" s="43" t="n"/>
      <c r="C372" s="44" t="n"/>
      <c r="D372" s="44" t="n"/>
      <c r="L372" s="45" t="n"/>
      <c r="O372" s="44" t="n"/>
    </row>
    <row r="373">
      <c r="A373" s="43" t="n"/>
      <c r="C373" s="44" t="n"/>
      <c r="D373" s="44" t="n"/>
      <c r="L373" s="45" t="n"/>
      <c r="O373" s="44" t="n"/>
    </row>
    <row r="374">
      <c r="A374" s="43" t="n"/>
      <c r="C374" s="44" t="n"/>
      <c r="D374" s="44" t="n"/>
      <c r="L374" s="45" t="n"/>
      <c r="O374" s="44" t="n"/>
    </row>
    <row r="375">
      <c r="A375" s="43" t="n"/>
      <c r="C375" s="44" t="n"/>
      <c r="D375" s="44" t="n"/>
      <c r="L375" s="45" t="n"/>
      <c r="O375" s="44" t="n"/>
    </row>
    <row r="376">
      <c r="A376" s="43" t="n"/>
      <c r="C376" s="44" t="n"/>
      <c r="D376" s="44" t="n"/>
      <c r="L376" s="45" t="n"/>
      <c r="O376" s="44" t="n"/>
    </row>
    <row r="377">
      <c r="A377" s="43" t="n"/>
      <c r="C377" s="44" t="n"/>
      <c r="D377" s="44" t="n"/>
      <c r="L377" s="45" t="n"/>
      <c r="O377" s="44" t="n"/>
    </row>
    <row r="378">
      <c r="A378" s="43" t="n"/>
      <c r="C378" s="44" t="n"/>
      <c r="D378" s="44" t="n"/>
      <c r="L378" s="45" t="n"/>
      <c r="O378" s="44" t="n"/>
    </row>
    <row r="379">
      <c r="A379" s="43" t="n"/>
      <c r="C379" s="44" t="n"/>
      <c r="D379" s="44" t="n"/>
      <c r="L379" s="45" t="n"/>
      <c r="O379" s="44" t="n"/>
    </row>
    <row r="380">
      <c r="A380" s="43" t="n"/>
      <c r="C380" s="44" t="n"/>
      <c r="D380" s="44" t="n"/>
      <c r="L380" s="45" t="n"/>
      <c r="O380" s="44" t="n"/>
    </row>
    <row r="381">
      <c r="A381" s="43" t="n"/>
      <c r="C381" s="44" t="n"/>
      <c r="D381" s="44" t="n"/>
      <c r="L381" s="45" t="n"/>
      <c r="O381" s="44" t="n"/>
    </row>
    <row r="382">
      <c r="A382" s="43" t="n"/>
      <c r="C382" s="44" t="n"/>
      <c r="D382" s="44" t="n"/>
      <c r="L382" s="45" t="n"/>
      <c r="O382" s="44" t="n"/>
    </row>
    <row r="383">
      <c r="A383" s="43" t="n"/>
      <c r="C383" s="44" t="n"/>
      <c r="D383" s="44" t="n"/>
      <c r="L383" s="45" t="n"/>
      <c r="O383" s="44" t="n"/>
    </row>
    <row r="384">
      <c r="A384" s="43" t="n"/>
      <c r="C384" s="44" t="n"/>
      <c r="D384" s="44" t="n"/>
      <c r="L384" s="45" t="n"/>
      <c r="O384" s="44" t="n"/>
    </row>
    <row r="385">
      <c r="A385" s="43" t="n"/>
      <c r="C385" s="44" t="n"/>
      <c r="D385" s="44" t="n"/>
      <c r="L385" s="45" t="n"/>
      <c r="O385" s="44" t="n"/>
    </row>
    <row r="386">
      <c r="A386" s="43" t="n"/>
      <c r="C386" s="44" t="n"/>
      <c r="D386" s="44" t="n"/>
      <c r="L386" s="45" t="n"/>
      <c r="O386" s="44" t="n"/>
    </row>
    <row r="387">
      <c r="A387" s="43" t="n"/>
      <c r="C387" s="44" t="n"/>
      <c r="D387" s="44" t="n"/>
      <c r="L387" s="45" t="n"/>
      <c r="O387" s="44" t="n"/>
    </row>
    <row r="388">
      <c r="A388" s="43" t="n"/>
      <c r="C388" s="44" t="n"/>
      <c r="D388" s="44" t="n"/>
      <c r="L388" s="45" t="n"/>
      <c r="O388" s="44" t="n"/>
    </row>
    <row r="389">
      <c r="A389" s="43" t="n"/>
      <c r="C389" s="44" t="n"/>
      <c r="D389" s="44" t="n"/>
      <c r="L389" s="45" t="n"/>
      <c r="O389" s="44" t="n"/>
    </row>
    <row r="390">
      <c r="A390" s="43" t="n"/>
      <c r="C390" s="44" t="n"/>
      <c r="D390" s="44" t="n"/>
      <c r="L390" s="45" t="n"/>
      <c r="O390" s="44" t="n"/>
    </row>
    <row r="391">
      <c r="A391" s="43" t="n"/>
      <c r="C391" s="44" t="n"/>
      <c r="D391" s="44" t="n"/>
      <c r="L391" s="45" t="n"/>
      <c r="O391" s="44" t="n"/>
    </row>
    <row r="392">
      <c r="A392" s="43" t="n"/>
      <c r="C392" s="44" t="n"/>
      <c r="D392" s="44" t="n"/>
      <c r="L392" s="45" t="n"/>
      <c r="O392" s="44" t="n"/>
    </row>
    <row r="393">
      <c r="A393" s="43" t="n"/>
      <c r="C393" s="44" t="n"/>
      <c r="D393" s="44" t="n"/>
      <c r="L393" s="45" t="n"/>
      <c r="O393" s="44" t="n"/>
    </row>
    <row r="394">
      <c r="A394" s="43" t="n"/>
      <c r="C394" s="44" t="n"/>
      <c r="D394" s="44" t="n"/>
      <c r="L394" s="45" t="n"/>
      <c r="O394" s="44" t="n"/>
    </row>
    <row r="395">
      <c r="A395" s="43" t="n"/>
      <c r="C395" s="44" t="n"/>
      <c r="D395" s="44" t="n"/>
      <c r="L395" s="45" t="n"/>
      <c r="O395" s="44" t="n"/>
    </row>
    <row r="396">
      <c r="A396" s="43" t="n"/>
      <c r="C396" s="44" t="n"/>
      <c r="D396" s="44" t="n"/>
      <c r="L396" s="45" t="n"/>
      <c r="O396" s="44" t="n"/>
    </row>
    <row r="397">
      <c r="A397" s="43" t="n"/>
      <c r="C397" s="44" t="n"/>
      <c r="D397" s="44" t="n"/>
      <c r="L397" s="45" t="n"/>
      <c r="O397" s="44" t="n"/>
    </row>
    <row r="398">
      <c r="A398" s="43" t="n"/>
      <c r="C398" s="44" t="n"/>
      <c r="D398" s="44" t="n"/>
      <c r="L398" s="45" t="n"/>
      <c r="O398" s="44" t="n"/>
    </row>
    <row r="399">
      <c r="A399" s="43" t="n"/>
      <c r="C399" s="44" t="n"/>
      <c r="D399" s="44" t="n"/>
      <c r="L399" s="45" t="n"/>
      <c r="O399" s="44" t="n"/>
    </row>
    <row r="400">
      <c r="A400" s="43" t="n"/>
      <c r="C400" s="44" t="n"/>
      <c r="D400" s="44" t="n"/>
      <c r="L400" s="45" t="n"/>
      <c r="O400" s="44" t="n"/>
    </row>
    <row r="401">
      <c r="A401" s="43" t="n"/>
      <c r="C401" s="44" t="n"/>
      <c r="D401" s="44" t="n"/>
      <c r="L401" s="45" t="n"/>
      <c r="O401" s="44" t="n"/>
    </row>
    <row r="402">
      <c r="A402" s="43" t="n"/>
      <c r="C402" s="44" t="n"/>
      <c r="D402" s="44" t="n"/>
      <c r="L402" s="45" t="n"/>
      <c r="O402" s="44" t="n"/>
    </row>
    <row r="403">
      <c r="A403" s="43" t="n"/>
      <c r="C403" s="44" t="n"/>
      <c r="D403" s="44" t="n"/>
      <c r="L403" s="45" t="n"/>
      <c r="O403" s="44" t="n"/>
    </row>
    <row r="404">
      <c r="A404" s="43" t="n"/>
      <c r="C404" s="44" t="n"/>
      <c r="D404" s="44" t="n"/>
      <c r="L404" s="45" t="n"/>
      <c r="O404" s="44" t="n"/>
    </row>
    <row r="405">
      <c r="A405" s="43" t="n"/>
      <c r="C405" s="44" t="n"/>
      <c r="D405" s="44" t="n"/>
      <c r="L405" s="45" t="n"/>
      <c r="O405" s="44" t="n"/>
    </row>
    <row r="406">
      <c r="A406" s="43" t="n"/>
      <c r="C406" s="44" t="n"/>
      <c r="D406" s="44" t="n"/>
      <c r="L406" s="45" t="n"/>
      <c r="O406" s="44" t="n"/>
    </row>
    <row r="407">
      <c r="A407" s="43" t="n"/>
      <c r="C407" s="44" t="n"/>
      <c r="D407" s="44" t="n"/>
      <c r="L407" s="45" t="n"/>
      <c r="O407" s="44" t="n"/>
    </row>
    <row r="408">
      <c r="A408" s="43" t="n"/>
      <c r="C408" s="44" t="n"/>
      <c r="D408" s="44" t="n"/>
      <c r="L408" s="45" t="n"/>
      <c r="O408" s="44" t="n"/>
    </row>
    <row r="409">
      <c r="A409" s="43" t="n"/>
      <c r="C409" s="44" t="n"/>
      <c r="D409" s="44" t="n"/>
      <c r="L409" s="45" t="n"/>
      <c r="O409" s="44" t="n"/>
    </row>
    <row r="410">
      <c r="A410" s="43" t="n"/>
      <c r="C410" s="44" t="n"/>
      <c r="D410" s="44" t="n"/>
      <c r="L410" s="45" t="n"/>
      <c r="O410" s="44" t="n"/>
    </row>
    <row r="411">
      <c r="A411" s="43" t="n"/>
      <c r="C411" s="44" t="n"/>
      <c r="D411" s="44" t="n"/>
      <c r="L411" s="45" t="n"/>
      <c r="O411" s="44" t="n"/>
    </row>
    <row r="412">
      <c r="A412" s="43" t="n"/>
      <c r="C412" s="44" t="n"/>
      <c r="D412" s="44" t="n"/>
      <c r="L412" s="45" t="n"/>
      <c r="O412" s="44" t="n"/>
    </row>
    <row r="413">
      <c r="A413" s="43" t="n"/>
      <c r="C413" s="44" t="n"/>
      <c r="D413" s="44" t="n"/>
      <c r="L413" s="45" t="n"/>
      <c r="O413" s="44" t="n"/>
    </row>
    <row r="414">
      <c r="A414" s="43" t="n"/>
      <c r="C414" s="44" t="n"/>
      <c r="D414" s="44" t="n"/>
      <c r="L414" s="45" t="n"/>
      <c r="O414" s="44" t="n"/>
    </row>
    <row r="415">
      <c r="A415" s="43" t="n"/>
      <c r="C415" s="44" t="n"/>
      <c r="D415" s="44" t="n"/>
      <c r="L415" s="45" t="n"/>
      <c r="O415" s="44" t="n"/>
    </row>
    <row r="416">
      <c r="A416" s="43" t="n"/>
      <c r="C416" s="44" t="n"/>
      <c r="D416" s="44" t="n"/>
      <c r="L416" s="45" t="n"/>
      <c r="O416" s="44" t="n"/>
    </row>
    <row r="417">
      <c r="A417" s="43" t="n"/>
      <c r="C417" s="44" t="n"/>
      <c r="D417" s="44" t="n"/>
      <c r="L417" s="45" t="n"/>
      <c r="O417" s="44" t="n"/>
    </row>
    <row r="418">
      <c r="A418" s="43" t="n"/>
      <c r="C418" s="44" t="n"/>
      <c r="D418" s="44" t="n"/>
      <c r="L418" s="45" t="n"/>
      <c r="O418" s="44" t="n"/>
    </row>
    <row r="419">
      <c r="A419" s="43" t="n"/>
      <c r="C419" s="44" t="n"/>
      <c r="D419" s="44" t="n"/>
      <c r="L419" s="45" t="n"/>
      <c r="O419" s="44" t="n"/>
    </row>
    <row r="420">
      <c r="A420" s="43" t="n"/>
      <c r="C420" s="44" t="n"/>
      <c r="D420" s="44" t="n"/>
      <c r="L420" s="45" t="n"/>
      <c r="O420" s="44" t="n"/>
    </row>
    <row r="421">
      <c r="A421" s="43" t="n"/>
      <c r="C421" s="44" t="n"/>
      <c r="D421" s="44" t="n"/>
      <c r="L421" s="45" t="n"/>
      <c r="O421" s="44" t="n"/>
    </row>
    <row r="422">
      <c r="A422" s="43" t="n"/>
      <c r="C422" s="44" t="n"/>
      <c r="D422" s="44" t="n"/>
      <c r="L422" s="45" t="n"/>
      <c r="O422" s="44" t="n"/>
    </row>
    <row r="423">
      <c r="A423" s="43" t="n"/>
      <c r="C423" s="44" t="n"/>
      <c r="D423" s="44" t="n"/>
      <c r="L423" s="45" t="n"/>
      <c r="O423" s="44" t="n"/>
    </row>
    <row r="424">
      <c r="A424" s="43" t="n"/>
      <c r="C424" s="44" t="n"/>
      <c r="D424" s="44" t="n"/>
      <c r="L424" s="45" t="n"/>
      <c r="O424" s="44" t="n"/>
    </row>
    <row r="425">
      <c r="A425" s="43" t="n"/>
      <c r="C425" s="44" t="n"/>
      <c r="D425" s="44" t="n"/>
      <c r="L425" s="45" t="n"/>
      <c r="O425" s="44" t="n"/>
    </row>
    <row r="426">
      <c r="A426" s="43" t="n"/>
      <c r="C426" s="44" t="n"/>
      <c r="D426" s="44" t="n"/>
      <c r="L426" s="45" t="n"/>
      <c r="O426" s="44" t="n"/>
    </row>
    <row r="427">
      <c r="A427" s="43" t="n"/>
      <c r="C427" s="44" t="n"/>
      <c r="D427" s="44" t="n"/>
      <c r="L427" s="45" t="n"/>
      <c r="O427" s="44" t="n"/>
    </row>
    <row r="428">
      <c r="A428" s="43" t="n"/>
      <c r="C428" s="44" t="n"/>
      <c r="D428" s="44" t="n"/>
      <c r="L428" s="45" t="n"/>
      <c r="O428" s="44" t="n"/>
    </row>
    <row r="429">
      <c r="A429" s="43" t="n"/>
      <c r="C429" s="44" t="n"/>
      <c r="D429" s="44" t="n"/>
      <c r="L429" s="45" t="n"/>
      <c r="O429" s="44" t="n"/>
    </row>
    <row r="430">
      <c r="A430" s="43" t="n"/>
      <c r="C430" s="44" t="n"/>
      <c r="D430" s="44" t="n"/>
      <c r="L430" s="45" t="n"/>
      <c r="O430" s="44" t="n"/>
    </row>
    <row r="431">
      <c r="A431" s="43" t="n"/>
      <c r="C431" s="44" t="n"/>
      <c r="D431" s="44" t="n"/>
      <c r="L431" s="45" t="n"/>
      <c r="O431" s="44" t="n"/>
    </row>
    <row r="432">
      <c r="A432" s="43" t="n"/>
      <c r="C432" s="44" t="n"/>
      <c r="D432" s="44" t="n"/>
      <c r="L432" s="45" t="n"/>
      <c r="O432" s="44" t="n"/>
    </row>
    <row r="433">
      <c r="A433" s="43" t="n"/>
      <c r="C433" s="44" t="n"/>
      <c r="D433" s="44" t="n"/>
      <c r="L433" s="45" t="n"/>
      <c r="O433" s="44" t="n"/>
    </row>
    <row r="434">
      <c r="A434" s="43" t="n"/>
      <c r="C434" s="44" t="n"/>
      <c r="D434" s="44" t="n"/>
      <c r="L434" s="45" t="n"/>
      <c r="O434" s="44" t="n"/>
    </row>
    <row r="435">
      <c r="A435" s="43" t="n"/>
      <c r="C435" s="44" t="n"/>
      <c r="D435" s="44" t="n"/>
      <c r="L435" s="45" t="n"/>
      <c r="O435" s="44" t="n"/>
    </row>
    <row r="436">
      <c r="A436" s="43" t="n"/>
      <c r="C436" s="44" t="n"/>
      <c r="D436" s="44" t="n"/>
      <c r="L436" s="45" t="n"/>
      <c r="O436" s="44" t="n"/>
    </row>
    <row r="437">
      <c r="A437" s="43" t="n"/>
      <c r="C437" s="44" t="n"/>
      <c r="D437" s="44" t="n"/>
      <c r="L437" s="45" t="n"/>
      <c r="O437" s="44" t="n"/>
    </row>
    <row r="438">
      <c r="A438" s="43" t="n"/>
      <c r="C438" s="44" t="n"/>
      <c r="D438" s="44" t="n"/>
      <c r="L438" s="45" t="n"/>
      <c r="O438" s="44" t="n"/>
    </row>
    <row r="439">
      <c r="A439" s="43" t="n"/>
      <c r="C439" s="44" t="n"/>
      <c r="D439" s="44" t="n"/>
      <c r="L439" s="45" t="n"/>
      <c r="O439" s="44" t="n"/>
    </row>
    <row r="440">
      <c r="A440" s="43" t="n"/>
      <c r="C440" s="44" t="n"/>
      <c r="D440" s="44" t="n"/>
      <c r="L440" s="45" t="n"/>
      <c r="O440" s="44" t="n"/>
    </row>
    <row r="441">
      <c r="A441" s="43" t="n"/>
      <c r="C441" s="44" t="n"/>
      <c r="D441" s="44" t="n"/>
      <c r="L441" s="45" t="n"/>
      <c r="O441" s="44" t="n"/>
    </row>
    <row r="442">
      <c r="A442" s="43" t="n"/>
      <c r="C442" s="44" t="n"/>
      <c r="D442" s="44" t="n"/>
      <c r="L442" s="45" t="n"/>
      <c r="O442" s="44" t="n"/>
    </row>
    <row r="443">
      <c r="A443" s="43" t="n"/>
      <c r="C443" s="44" t="n"/>
      <c r="D443" s="44" t="n"/>
      <c r="L443" s="45" t="n"/>
      <c r="O443" s="44" t="n"/>
    </row>
    <row r="444">
      <c r="A444" s="43" t="n"/>
      <c r="C444" s="44" t="n"/>
      <c r="D444" s="44" t="n"/>
      <c r="L444" s="45" t="n"/>
      <c r="O444" s="44" t="n"/>
    </row>
    <row r="445">
      <c r="A445" s="43" t="n"/>
      <c r="C445" s="44" t="n"/>
      <c r="D445" s="44" t="n"/>
      <c r="L445" s="45" t="n"/>
      <c r="O445" s="44" t="n"/>
    </row>
    <row r="446">
      <c r="A446" s="43" t="n"/>
      <c r="C446" s="44" t="n"/>
      <c r="D446" s="44" t="n"/>
      <c r="L446" s="45" t="n"/>
      <c r="O446" s="44" t="n"/>
    </row>
    <row r="447">
      <c r="A447" s="43" t="n"/>
      <c r="C447" s="44" t="n"/>
      <c r="D447" s="44" t="n"/>
      <c r="L447" s="45" t="n"/>
      <c r="O447" s="44" t="n"/>
    </row>
    <row r="448">
      <c r="A448" s="43" t="n"/>
      <c r="C448" s="44" t="n"/>
      <c r="D448" s="44" t="n"/>
      <c r="L448" s="45" t="n"/>
      <c r="O448" s="44" t="n"/>
    </row>
    <row r="449">
      <c r="A449" s="43" t="n"/>
      <c r="C449" s="44" t="n"/>
      <c r="D449" s="44" t="n"/>
      <c r="L449" s="45" t="n"/>
      <c r="O449" s="44" t="n"/>
    </row>
    <row r="450">
      <c r="A450" s="43" t="n"/>
      <c r="C450" s="44" t="n"/>
      <c r="D450" s="44" t="n"/>
      <c r="L450" s="45" t="n"/>
      <c r="O450" s="44" t="n"/>
    </row>
    <row r="451">
      <c r="A451" s="43" t="n"/>
      <c r="C451" s="44" t="n"/>
      <c r="D451" s="44" t="n"/>
      <c r="L451" s="45" t="n"/>
      <c r="O451" s="44" t="n"/>
    </row>
    <row r="452">
      <c r="A452" s="43" t="n"/>
      <c r="C452" s="44" t="n"/>
      <c r="D452" s="44" t="n"/>
      <c r="L452" s="45" t="n"/>
      <c r="O452" s="44" t="n"/>
    </row>
    <row r="453">
      <c r="A453" s="43" t="n"/>
      <c r="C453" s="44" t="n"/>
      <c r="D453" s="44" t="n"/>
      <c r="L453" s="45" t="n"/>
      <c r="O453" s="44" t="n"/>
    </row>
    <row r="454">
      <c r="A454" s="43" t="n"/>
      <c r="C454" s="44" t="n"/>
      <c r="D454" s="44" t="n"/>
      <c r="L454" s="45" t="n"/>
      <c r="O454" s="44" t="n"/>
    </row>
    <row r="455">
      <c r="A455" s="43" t="n"/>
      <c r="C455" s="44" t="n"/>
      <c r="D455" s="44" t="n"/>
      <c r="L455" s="45" t="n"/>
      <c r="O455" s="44" t="n"/>
    </row>
    <row r="456">
      <c r="A456" s="43" t="n"/>
      <c r="C456" s="44" t="n"/>
      <c r="D456" s="44" t="n"/>
      <c r="L456" s="45" t="n"/>
      <c r="O456" s="44" t="n"/>
    </row>
    <row r="457">
      <c r="A457" s="43" t="n"/>
      <c r="C457" s="44" t="n"/>
      <c r="D457" s="44" t="n"/>
      <c r="L457" s="45" t="n"/>
      <c r="O457" s="44" t="n"/>
    </row>
    <row r="458">
      <c r="A458" s="43" t="n"/>
      <c r="C458" s="44" t="n"/>
      <c r="D458" s="44" t="n"/>
      <c r="L458" s="45" t="n"/>
      <c r="O458" s="44" t="n"/>
    </row>
    <row r="459">
      <c r="A459" s="43" t="n"/>
      <c r="C459" s="44" t="n"/>
      <c r="D459" s="44" t="n"/>
      <c r="L459" s="45" t="n"/>
      <c r="O459" s="44" t="n"/>
    </row>
    <row r="460">
      <c r="A460" s="43" t="n"/>
      <c r="C460" s="44" t="n"/>
      <c r="D460" s="44" t="n"/>
      <c r="L460" s="45" t="n"/>
      <c r="O460" s="44" t="n"/>
    </row>
    <row r="461">
      <c r="A461" s="43" t="n"/>
      <c r="C461" s="44" t="n"/>
      <c r="D461" s="44" t="n"/>
      <c r="L461" s="45" t="n"/>
      <c r="O461" s="44" t="n"/>
    </row>
    <row r="462">
      <c r="A462" s="43" t="n"/>
      <c r="C462" s="44" t="n"/>
      <c r="D462" s="44" t="n"/>
      <c r="L462" s="45" t="n"/>
      <c r="O462" s="44" t="n"/>
    </row>
    <row r="463">
      <c r="A463" s="43" t="n"/>
      <c r="C463" s="44" t="n"/>
      <c r="D463" s="44" t="n"/>
      <c r="L463" s="45" t="n"/>
      <c r="O463" s="44" t="n"/>
    </row>
    <row r="464">
      <c r="A464" s="43" t="n"/>
      <c r="C464" s="44" t="n"/>
      <c r="D464" s="44" t="n"/>
      <c r="L464" s="45" t="n"/>
      <c r="O464" s="44" t="n"/>
    </row>
    <row r="465">
      <c r="A465" s="43" t="n"/>
      <c r="C465" s="44" t="n"/>
      <c r="D465" s="44" t="n"/>
      <c r="L465" s="45" t="n"/>
      <c r="O465" s="44" t="n"/>
    </row>
    <row r="466">
      <c r="A466" s="43" t="n"/>
      <c r="C466" s="44" t="n"/>
      <c r="D466" s="44" t="n"/>
      <c r="L466" s="45" t="n"/>
      <c r="O466" s="44" t="n"/>
    </row>
    <row r="467">
      <c r="A467" s="43" t="n"/>
      <c r="C467" s="44" t="n"/>
      <c r="D467" s="44" t="n"/>
      <c r="L467" s="45" t="n"/>
      <c r="O467" s="44" t="n"/>
    </row>
    <row r="468">
      <c r="A468" s="43" t="n"/>
      <c r="C468" s="44" t="n"/>
      <c r="D468" s="44" t="n"/>
      <c r="L468" s="45" t="n"/>
      <c r="O468" s="44" t="n"/>
    </row>
    <row r="469">
      <c r="A469" s="43" t="n"/>
      <c r="C469" s="44" t="n"/>
      <c r="D469" s="44" t="n"/>
      <c r="L469" s="45" t="n"/>
      <c r="O469" s="44" t="n"/>
    </row>
    <row r="470">
      <c r="A470" s="43" t="n"/>
      <c r="C470" s="44" t="n"/>
      <c r="D470" s="44" t="n"/>
      <c r="L470" s="45" t="n"/>
      <c r="O470" s="44" t="n"/>
    </row>
    <row r="471">
      <c r="A471" s="43" t="n"/>
      <c r="C471" s="44" t="n"/>
      <c r="D471" s="44" t="n"/>
      <c r="L471" s="45" t="n"/>
      <c r="O471" s="44" t="n"/>
    </row>
    <row r="472">
      <c r="A472" s="43" t="n"/>
      <c r="C472" s="44" t="n"/>
      <c r="D472" s="44" t="n"/>
      <c r="L472" s="45" t="n"/>
      <c r="O472" s="44" t="n"/>
    </row>
    <row r="473">
      <c r="A473" s="43" t="n"/>
      <c r="C473" s="44" t="n"/>
      <c r="D473" s="44" t="n"/>
      <c r="L473" s="45" t="n"/>
      <c r="O473" s="44" t="n"/>
    </row>
    <row r="474">
      <c r="A474" s="43" t="n"/>
      <c r="C474" s="44" t="n"/>
      <c r="D474" s="44" t="n"/>
      <c r="L474" s="45" t="n"/>
      <c r="O474" s="44" t="n"/>
    </row>
    <row r="475">
      <c r="A475" s="43" t="n"/>
      <c r="C475" s="44" t="n"/>
      <c r="D475" s="44" t="n"/>
      <c r="L475" s="45" t="n"/>
      <c r="O475" s="44" t="n"/>
    </row>
    <row r="476">
      <c r="A476" s="43" t="n"/>
      <c r="C476" s="44" t="n"/>
      <c r="D476" s="44" t="n"/>
      <c r="L476" s="45" t="n"/>
      <c r="O476" s="44" t="n"/>
    </row>
    <row r="477">
      <c r="A477" s="43" t="n"/>
      <c r="C477" s="44" t="n"/>
      <c r="D477" s="44" t="n"/>
      <c r="L477" s="45" t="n"/>
      <c r="O477" s="44" t="n"/>
    </row>
    <row r="478">
      <c r="A478" s="43" t="n"/>
      <c r="C478" s="44" t="n"/>
      <c r="D478" s="44" t="n"/>
      <c r="L478" s="45" t="n"/>
      <c r="O478" s="44" t="n"/>
    </row>
    <row r="479">
      <c r="A479" s="43" t="n"/>
      <c r="C479" s="44" t="n"/>
      <c r="D479" s="44" t="n"/>
      <c r="L479" s="45" t="n"/>
      <c r="O479" s="44" t="n"/>
    </row>
    <row r="480">
      <c r="A480" s="43" t="n"/>
      <c r="C480" s="44" t="n"/>
      <c r="D480" s="44" t="n"/>
      <c r="L480" s="45" t="n"/>
      <c r="O480" s="44" t="n"/>
    </row>
    <row r="481">
      <c r="A481" s="43" t="n"/>
      <c r="C481" s="44" t="n"/>
      <c r="D481" s="44" t="n"/>
      <c r="L481" s="45" t="n"/>
      <c r="O481" s="44" t="n"/>
    </row>
    <row r="482">
      <c r="A482" s="43" t="n"/>
      <c r="C482" s="44" t="n"/>
      <c r="D482" s="44" t="n"/>
      <c r="L482" s="45" t="n"/>
      <c r="O482" s="44" t="n"/>
    </row>
    <row r="483">
      <c r="A483" s="43" t="n"/>
      <c r="C483" s="44" t="n"/>
      <c r="D483" s="44" t="n"/>
      <c r="L483" s="45" t="n"/>
      <c r="O483" s="44" t="n"/>
    </row>
    <row r="484">
      <c r="A484" s="43" t="n"/>
      <c r="C484" s="44" t="n"/>
      <c r="D484" s="44" t="n"/>
      <c r="L484" s="45" t="n"/>
      <c r="O484" s="44" t="n"/>
    </row>
    <row r="485">
      <c r="A485" s="43" t="n"/>
      <c r="C485" s="44" t="n"/>
      <c r="D485" s="44" t="n"/>
      <c r="L485" s="45" t="n"/>
      <c r="O485" s="44" t="n"/>
    </row>
    <row r="486">
      <c r="A486" s="43" t="n"/>
      <c r="C486" s="44" t="n"/>
      <c r="D486" s="44" t="n"/>
      <c r="L486" s="45" t="n"/>
      <c r="O486" s="44" t="n"/>
    </row>
    <row r="487">
      <c r="A487" s="43" t="n"/>
      <c r="C487" s="44" t="n"/>
      <c r="D487" s="44" t="n"/>
      <c r="L487" s="45" t="n"/>
      <c r="O487" s="44" t="n"/>
    </row>
    <row r="488">
      <c r="A488" s="43" t="n"/>
      <c r="C488" s="44" t="n"/>
      <c r="D488" s="44" t="n"/>
      <c r="L488" s="45" t="n"/>
      <c r="O488" s="44" t="n"/>
    </row>
    <row r="489">
      <c r="A489" s="43" t="n"/>
      <c r="C489" s="44" t="n"/>
      <c r="D489" s="44" t="n"/>
      <c r="L489" s="45" t="n"/>
      <c r="O489" s="44" t="n"/>
    </row>
    <row r="490">
      <c r="A490" s="43" t="n"/>
      <c r="C490" s="44" t="n"/>
      <c r="D490" s="44" t="n"/>
      <c r="L490" s="45" t="n"/>
      <c r="O490" s="44" t="n"/>
    </row>
    <row r="491">
      <c r="A491" s="43" t="n"/>
      <c r="C491" s="44" t="n"/>
      <c r="D491" s="44" t="n"/>
      <c r="L491" s="45" t="n"/>
      <c r="O491" s="44" t="n"/>
    </row>
    <row r="492">
      <c r="A492" s="43" t="n"/>
      <c r="C492" s="44" t="n"/>
      <c r="D492" s="44" t="n"/>
      <c r="L492" s="45" t="n"/>
      <c r="O492" s="44" t="n"/>
    </row>
    <row r="493">
      <c r="A493" s="43" t="n"/>
      <c r="C493" s="44" t="n"/>
      <c r="D493" s="44" t="n"/>
      <c r="L493" s="45" t="n"/>
      <c r="O493" s="44" t="n"/>
    </row>
    <row r="494">
      <c r="A494" s="43" t="n"/>
      <c r="C494" s="44" t="n"/>
      <c r="D494" s="44" t="n"/>
      <c r="L494" s="45" t="n"/>
      <c r="O494" s="44" t="n"/>
    </row>
    <row r="495">
      <c r="A495" s="43" t="n"/>
      <c r="C495" s="44" t="n"/>
      <c r="D495" s="44" t="n"/>
      <c r="L495" s="45" t="n"/>
      <c r="O495" s="44" t="n"/>
    </row>
    <row r="496">
      <c r="A496" s="43" t="n"/>
      <c r="C496" s="44" t="n"/>
      <c r="D496" s="44" t="n"/>
      <c r="L496" s="45" t="n"/>
      <c r="O496" s="44" t="n"/>
    </row>
    <row r="497">
      <c r="A497" s="43" t="n"/>
      <c r="C497" s="44" t="n"/>
      <c r="D497" s="44" t="n"/>
      <c r="L497" s="45" t="n"/>
      <c r="O497" s="44" t="n"/>
    </row>
    <row r="498">
      <c r="A498" s="43" t="n"/>
      <c r="C498" s="44" t="n"/>
      <c r="D498" s="44" t="n"/>
      <c r="L498" s="45" t="n"/>
      <c r="O498" s="44" t="n"/>
    </row>
    <row r="499">
      <c r="A499" s="43" t="n"/>
      <c r="C499" s="44" t="n"/>
      <c r="D499" s="44" t="n"/>
      <c r="L499" s="45" t="n"/>
      <c r="O499" s="44" t="n"/>
    </row>
    <row r="500">
      <c r="A500" s="43" t="n"/>
      <c r="C500" s="44" t="n"/>
      <c r="D500" s="44" t="n"/>
      <c r="L500" s="45" t="n"/>
      <c r="O500" s="44" t="n"/>
    </row>
    <row r="501">
      <c r="A501" s="43" t="n"/>
      <c r="C501" s="44" t="n"/>
      <c r="D501" s="44" t="n"/>
      <c r="L501" s="45" t="n"/>
      <c r="O501" s="44" t="n"/>
    </row>
    <row r="502">
      <c r="A502" s="43" t="n"/>
      <c r="C502" s="44" t="n"/>
      <c r="D502" s="44" t="n"/>
      <c r="L502" s="45" t="n"/>
      <c r="O502" s="44" t="n"/>
    </row>
    <row r="503">
      <c r="A503" s="43" t="n"/>
      <c r="C503" s="44" t="n"/>
      <c r="D503" s="44" t="n"/>
      <c r="L503" s="45" t="n"/>
      <c r="O503" s="44" t="n"/>
    </row>
    <row r="504">
      <c r="A504" s="43" t="n"/>
      <c r="C504" s="44" t="n"/>
      <c r="D504" s="44" t="n"/>
      <c r="L504" s="45" t="n"/>
      <c r="O504" s="44" t="n"/>
    </row>
  </sheetData>
  <autoFilter ref="A3:X504"/>
  <conditionalFormatting sqref="F2">
    <cfRule type="cellIs" priority="1" operator="lessThan" dxfId="0">
      <formula>0</formula>
    </cfRule>
    <cfRule type="cellIs" priority="2" operator="greaterThanOrEqual" dxfId="1">
      <formula>0</formula>
    </cfRule>
  </conditionalFormatting>
  <conditionalFormatting sqref="H2">
    <cfRule type="cellIs" priority="3" operator="lessThan" dxfId="0">
      <formula>0.9</formula>
    </cfRule>
    <cfRule type="cellIs" priority="4" operator="greaterThanOrEqual" dxfId="1">
      <formula>1</formula>
    </cfRule>
  </conditionalFormatting>
  <conditionalFormatting sqref="R2">
    <cfRule type="cellIs" priority="5" operator="lessThan" dxfId="0">
      <formula>P2</formula>
    </cfRule>
  </conditionalFormatting>
  <dataValidations count="10">
    <dataValidation sqref="B5:B504" showDropDown="0" showInputMessage="0" showErrorMessage="0" allowBlank="1" type="list">
      <formula1>'選択肢マスター'!$A$2:$A$3</formula1>
    </dataValidation>
    <dataValidation sqref="E5:E504" showDropDown="0" showInputMessage="0" showErrorMessage="0" allowBlank="1" type="list">
      <formula1>'選択肢マスター'!$B$2:$B$23</formula1>
    </dataValidation>
    <dataValidation sqref="M5:M504" showDropDown="0" showInputMessage="0" showErrorMessage="0" allowBlank="1" type="list">
      <formula1>'選択肢マスター'!$C$2:$C$16</formula1>
    </dataValidation>
    <dataValidation sqref="N5:N504" showDropDown="0" showInputMessage="0" showErrorMessage="0" allowBlank="1" type="list">
      <formula1>'選択肢マスター'!$D$2:$D$7</formula1>
    </dataValidation>
    <dataValidation sqref="P5:P504" showDropDown="0" showInputMessage="0" showErrorMessage="0" allowBlank="1" type="list">
      <formula1>'選択肢マスター'!$E$2:$E$5</formula1>
    </dataValidation>
    <dataValidation sqref="Q5:Q504" showDropDown="0" showInputMessage="0" showErrorMessage="0" allowBlank="1" type="list">
      <formula1>'選択肢マスター'!$F$2:$F$5</formula1>
    </dataValidation>
    <dataValidation sqref="S5:S504" showDropDown="0" showInputMessage="0" showErrorMessage="0" allowBlank="1" type="list">
      <formula1>'選択肢マスター'!$G$2:$G$8</formula1>
    </dataValidation>
    <dataValidation sqref="T5:T504" showDropDown="0" showInputMessage="0" showErrorMessage="0" allowBlank="1" type="list">
      <formula1>'選択肢マスター'!$J$2:$J$3</formula1>
    </dataValidation>
    <dataValidation sqref="U5:U504" showDropDown="0" showInputMessage="0" showErrorMessage="0" allowBlank="1" type="list">
      <formula1>'選択肢マスター'!$H$2:$H$5</formula1>
    </dataValidation>
    <dataValidation sqref="V5:V504" showDropDown="0" showInputMessage="0" showErrorMessage="0" allowBlank="1" type="list">
      <formula1>'選択肢マスター'!$I$2:$I$5</formula1>
    </dataValidation>
  </dataValidations>
  <pageMargins left="0.75" right="0.75" top="1" bottom="1" header="0.5" footer="0.5"/>
</worksheet>
</file>

<file path=xl/worksheets/sheet15.xml><?xml version="1.0" encoding="utf-8"?>
<worksheet xmlns="http://schemas.openxmlformats.org/spreadsheetml/2006/main">
  <sheetPr>
    <tabColor rgb="00C55A11"/>
    <outlinePr summaryBelow="1" summaryRight="1"/>
    <pageSetUpPr/>
  </sheetPr>
  <dimension ref="A1:R302"/>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8" customWidth="1" min="3" max="3"/>
    <col width="26" customWidth="1" min="4" max="4"/>
    <col width="18" customWidth="1" min="5" max="5"/>
    <col width="12" customWidth="1" min="6" max="6"/>
    <col width="26" customWidth="1" min="7" max="7"/>
    <col width="11" customWidth="1" min="8" max="8"/>
    <col width="26" customWidth="1" min="13" max="13"/>
    <col width="15" customWidth="1" min="14" max="14"/>
    <col width="52" customWidth="1" min="15" max="15"/>
    <col width="20" customWidth="1" min="17" max="17"/>
    <col width="14" customWidth="1" min="18" max="18"/>
  </cols>
  <sheetData>
    <row r="1">
      <c r="A1" s="8" t="inlineStr">
        <is>
          <t>◆ 1月の経費入力。3行目から下へ足していってよい。右の月次P/Lは行が動かないので壊れない</t>
        </is>
      </c>
      <c r="M1" s="11" t="inlineStr">
        <is>
          <t>▼ 月次P/L（この位置は固定。左の経費表を何行足してもずれません）</t>
        </is>
      </c>
    </row>
    <row r="2" ht="30" customHeight="1">
      <c r="A2" s="3" t="inlineStr">
        <is>
          <t>No.</t>
        </is>
      </c>
      <c r="B2" s="3" t="inlineStr">
        <is>
          <t>日付</t>
        </is>
      </c>
      <c r="C2" s="3" t="inlineStr">
        <is>
          <t>時刻</t>
        </is>
      </c>
      <c r="D2" s="3" t="inlineStr">
        <is>
          <t>品目</t>
        </is>
      </c>
      <c r="E2" s="3" t="inlineStr">
        <is>
          <t>科目</t>
        </is>
      </c>
      <c r="F2" s="3" t="inlineStr">
        <is>
          <t>金額</t>
        </is>
      </c>
      <c r="G2" s="3" t="inlineStr">
        <is>
          <t>備考</t>
        </is>
      </c>
      <c r="H2" s="3" t="inlineStr">
        <is>
          <t>現金立替え</t>
        </is>
      </c>
      <c r="M2" s="3" t="inlineStr">
        <is>
          <t>項目</t>
        </is>
      </c>
      <c r="N2" s="3" t="inlineStr">
        <is>
          <t>金額</t>
        </is>
      </c>
      <c r="O2" s="3" t="inlineStr">
        <is>
          <t>計算の中身</t>
        </is>
      </c>
      <c r="Q2" s="11" t="inlineStr">
        <is>
          <t>▼ 科目別 集計</t>
        </is>
      </c>
    </row>
    <row r="3" ht="30" customHeight="1">
      <c r="B3" s="44" t="n"/>
      <c r="C3" s="46" t="n"/>
      <c r="F3" s="45" t="n"/>
      <c r="M3" s="47" t="inlineStr">
        <is>
          <t>売上</t>
        </is>
      </c>
      <c r="N3" s="48">
        <f>'1月_売上顧客'!$L$4</f>
        <v/>
      </c>
      <c r="O3" s="2" t="inlineStr">
        <is>
          <t>1月_売上顧客 の合計売上</t>
        </is>
      </c>
      <c r="Q3" s="3" t="inlineStr">
        <is>
          <t>科目</t>
        </is>
      </c>
      <c r="R3" s="3" t="inlineStr">
        <is>
          <t>金額</t>
        </is>
      </c>
    </row>
    <row r="4">
      <c r="B4" s="44" t="n"/>
      <c r="C4" s="46" t="n"/>
      <c r="F4" s="45" t="n"/>
      <c r="M4" s="49" t="inlineStr">
        <is>
          <t>エアコン台数(参考)</t>
        </is>
      </c>
      <c r="N4" s="50">
        <f>COUNTIFS('1月_売上顧客'!$M$5:$M$504,"エアコン(ノーマル)")+COUNTIFS('1月_売上顧客'!$M$5:$M$504,"エアコン(ロボ)")+COUNTIFS('1月_売上顧客'!$M$5:$M$504,"天カセ")+COUNTIFS('1月_売上顧客'!$M$5:$M$504,"業務用エアコン1方向")</f>
        <v/>
      </c>
      <c r="O4" s="2" t="inlineStr">
        <is>
          <t>エアコン(ノーマル/ロボ)・天カセ・業務用1方向</t>
        </is>
      </c>
      <c r="Q4" s="51" t="inlineStr">
        <is>
          <t>交通費</t>
        </is>
      </c>
      <c r="R4" s="52">
        <f>SUMIFS($F$3:$F$302,$E$3:$E$302,"交通費")</f>
        <v/>
      </c>
    </row>
    <row r="5">
      <c r="B5" s="44" t="n"/>
      <c r="C5" s="46" t="n"/>
      <c r="F5" s="45" t="n"/>
      <c r="M5" s="49" t="inlineStr">
        <is>
          <t>換気扇台数(参考)</t>
        </is>
      </c>
      <c r="N5" s="50">
        <f>COUNTIFS('1月_売上顧客'!$M$5:$M$504,"換気扇")</f>
        <v/>
      </c>
      <c r="O5" s="2" t="inlineStr">
        <is>
          <t>実施メニュー＝換気扇</t>
        </is>
      </c>
      <c r="Q5" s="51" t="inlineStr">
        <is>
          <t>保険料</t>
        </is>
      </c>
      <c r="R5" s="52">
        <f>SUMIFS($F$3:$F$302,$E$3:$E$302,"保険料")</f>
        <v/>
      </c>
    </row>
    <row r="6">
      <c r="B6" s="44" t="n"/>
      <c r="C6" s="46" t="n"/>
      <c r="F6" s="45" t="n"/>
      <c r="M6" s="49" t="inlineStr">
        <is>
          <t>浴室台数(参考)</t>
        </is>
      </c>
      <c r="N6" s="50">
        <f>COUNTIFS('1月_売上顧客'!$M$5:$M$504,"浴室")</f>
        <v/>
      </c>
      <c r="O6" s="2" t="inlineStr">
        <is>
          <t>実施メニュー＝浴室</t>
        </is>
      </c>
      <c r="Q6" s="51" t="inlineStr">
        <is>
          <t>通信費</t>
        </is>
      </c>
      <c r="R6" s="52">
        <f>SUMIFS($F$3:$F$302,$E$3:$E$302,"通信費")</f>
        <v/>
      </c>
    </row>
    <row r="7">
      <c r="B7" s="44" t="n"/>
      <c r="C7" s="46" t="n"/>
      <c r="F7" s="45" t="n"/>
      <c r="M7" s="49" t="inlineStr">
        <is>
          <t>資材費</t>
        </is>
      </c>
      <c r="N7" s="53">
        <f>N4*373+N5*176+N6*149</f>
        <v/>
      </c>
      <c r="O7" s="2" t="inlineStr">
        <is>
          <t>エアコン373 + 換気扇176 + 浴室149</t>
        </is>
      </c>
      <c r="Q7" s="51" t="inlineStr">
        <is>
          <t>広告費</t>
        </is>
      </c>
      <c r="R7" s="52">
        <f>SUMIFS($F$3:$F$302,$E$3:$E$302,"広告費")</f>
        <v/>
      </c>
    </row>
    <row r="8">
      <c r="B8" s="44" t="n"/>
      <c r="C8" s="46" t="n"/>
      <c r="F8" s="45" t="n"/>
      <c r="M8" s="49" t="inlineStr">
        <is>
          <t>外注費（協力業者）</t>
        </is>
      </c>
      <c r="N8" s="53">
        <f>SUMIFS($F$3:$F$302,$E$3:$E$302,"外注費")</f>
        <v/>
      </c>
      <c r="O8" s="2" t="inlineStr">
        <is>
          <t>経費表の科目＝外注費。★2027年から原価として独立</t>
        </is>
      </c>
      <c r="Q8" s="51" t="inlineStr">
        <is>
          <t>耐久品</t>
        </is>
      </c>
      <c r="R8" s="52">
        <f>SUMIFS($F$3:$F$302,$E$3:$E$302,"耐久品")</f>
        <v/>
      </c>
    </row>
    <row r="9">
      <c r="B9" s="44" t="n"/>
      <c r="C9" s="46" t="n"/>
      <c r="F9" s="45" t="n"/>
      <c r="M9" s="49" t="inlineStr">
        <is>
          <t>現場人件費（原価）</t>
        </is>
      </c>
      <c r="N9" s="53">
        <f>SUMIFS($F$3:$F$302,$E$3:$E$302,"現場人件費(原価)")</f>
        <v/>
      </c>
      <c r="O9" s="2" t="inlineStr">
        <is>
          <t>経費表の科目＝現場人件費(原価)</t>
        </is>
      </c>
      <c r="Q9" s="51" t="inlineStr">
        <is>
          <t>備品</t>
        </is>
      </c>
      <c r="R9" s="52">
        <f>SUMIFS($F$3:$F$302,$E$3:$E$302,"備品")</f>
        <v/>
      </c>
    </row>
    <row r="10">
      <c r="B10" s="44" t="n"/>
      <c r="C10" s="46" t="n"/>
      <c r="F10" s="45" t="n"/>
      <c r="M10" s="47" t="inlineStr">
        <is>
          <t>原価合計</t>
        </is>
      </c>
      <c r="N10" s="48">
        <f>N7+N8+N9</f>
        <v/>
      </c>
      <c r="O10" s="2" t="inlineStr">
        <is>
          <t>資材費＋外注費＋現場人件費</t>
        </is>
      </c>
      <c r="Q10" s="51" t="inlineStr">
        <is>
          <t>個別ロイ</t>
        </is>
      </c>
      <c r="R10" s="52">
        <f>SUMIFS($F$3:$F$302,$E$3:$E$302,"個別ロイ")</f>
        <v/>
      </c>
    </row>
    <row r="11">
      <c r="B11" s="44" t="n"/>
      <c r="C11" s="46" t="n"/>
      <c r="F11" s="45" t="n"/>
      <c r="M11" s="47" t="inlineStr">
        <is>
          <t>売上総利益</t>
        </is>
      </c>
      <c r="N11" s="48">
        <f>N3-N10</f>
        <v/>
      </c>
      <c r="O11" s="2" t="inlineStr">
        <is>
          <t>売上 − 原価合計</t>
        </is>
      </c>
      <c r="Q11" s="51" t="inlineStr">
        <is>
          <t>現場人件費(原価)</t>
        </is>
      </c>
      <c r="R11" s="52">
        <f>SUMIFS($F$3:$F$302,$E$3:$E$302,"現場人件費(原価)")</f>
        <v/>
      </c>
    </row>
    <row r="12">
      <c r="B12" s="44" t="n"/>
      <c r="C12" s="46" t="n"/>
      <c r="F12" s="45" t="n"/>
      <c r="Q12" s="51" t="inlineStr">
        <is>
          <t>固定給(販管費)</t>
        </is>
      </c>
      <c r="R12" s="52">
        <f>SUMIFS($F$3:$F$302,$E$3:$E$302,"固定給(販管費)")</f>
        <v/>
      </c>
    </row>
    <row r="13">
      <c r="B13" s="44" t="n"/>
      <c r="C13" s="46" t="n"/>
      <c r="F13" s="45" t="n"/>
      <c r="M13" s="49" t="inlineStr">
        <is>
          <t>経費合計（左の表）</t>
        </is>
      </c>
      <c r="N13" s="53">
        <f>SUM($F$3:$F$302)</f>
        <v/>
      </c>
      <c r="O13" s="2" t="inlineStr">
        <is>
          <t>左の経費入力表の金額合計</t>
        </is>
      </c>
      <c r="Q13" s="51" t="inlineStr">
        <is>
          <t>外注費</t>
        </is>
      </c>
      <c r="R13" s="52">
        <f>SUMIFS($F$3:$F$302,$E$3:$E$302,"外注費")</f>
        <v/>
      </c>
    </row>
    <row r="14">
      <c r="B14" s="44" t="n"/>
      <c r="C14" s="46" t="n"/>
      <c r="F14" s="45" t="n"/>
      <c r="M14" s="49" t="inlineStr">
        <is>
          <t>− 原価へ回した分</t>
        </is>
      </c>
      <c r="N14" s="53">
        <f>-(N8+N9)</f>
        <v/>
      </c>
      <c r="O14" s="2" t="inlineStr">
        <is>
          <t>外注費・現場人件費は原価で数えたので戻す</t>
        </is>
      </c>
      <c r="Q14" s="51" t="inlineStr">
        <is>
          <t>その他(備考へ)</t>
        </is>
      </c>
      <c r="R14" s="52">
        <f>SUMIFS($F$3:$F$302,$E$3:$E$302,"その他(備考へ)")</f>
        <v/>
      </c>
    </row>
    <row r="15">
      <c r="B15" s="44" t="n"/>
      <c r="C15" s="46" t="n"/>
      <c r="F15" s="45" t="n"/>
      <c r="M15" s="49" t="inlineStr">
        <is>
          <t>− 個別ロイ（下で計上）</t>
        </is>
      </c>
      <c r="N15" s="53">
        <f>-SUMIFS($F$3:$F$302,$E$3:$E$302,"個別ロイ")</f>
        <v/>
      </c>
      <c r="O15" s="2" t="inlineStr">
        <is>
          <t>★二重計上を防ぐため、ここで一度引く</t>
        </is>
      </c>
      <c r="Q15" s="13" t="inlineStr">
        <is>
          <t>合計</t>
        </is>
      </c>
      <c r="R15" s="54">
        <f>SUM(R4:R14)</f>
        <v/>
      </c>
    </row>
    <row r="16">
      <c r="B16" s="44" t="n"/>
      <c r="C16" s="46" t="n"/>
      <c r="F16" s="45" t="n"/>
      <c r="M16" s="49" t="inlineStr">
        <is>
          <t>ロイヤリティ 固定分</t>
        </is>
      </c>
      <c r="N16" s="53">
        <f>IF($N$3+$N$13=0,0,50050)</f>
        <v/>
      </c>
      <c r="O16" s="2" t="inlineStr">
        <is>
          <t>★50,050円。左の経費表には入力しないこと（まだ動いていない月は0）</t>
        </is>
      </c>
    </row>
    <row r="17">
      <c r="B17" s="44" t="n"/>
      <c r="C17" s="46" t="n"/>
      <c r="F17" s="45" t="n"/>
      <c r="M17" s="49" t="inlineStr">
        <is>
          <t>ロイヤリティ 38%分</t>
        </is>
      </c>
      <c r="N17" s="53">
        <f>SUMIFS('1月_売上顧客'!$L$5:$L$504,'1月_売上顧客'!$V$5:$V$504,"38%")*0.38</f>
        <v/>
      </c>
      <c r="O17" s="2" t="inlineStr">
        <is>
          <t>本舗ロイ区分＝38% の売上 × 38%</t>
        </is>
      </c>
    </row>
    <row r="18">
      <c r="B18" s="44" t="n"/>
      <c r="C18" s="46" t="n"/>
      <c r="F18" s="45" t="n"/>
      <c r="M18" s="49" t="inlineStr">
        <is>
          <t>ロイヤリティ 10%分</t>
        </is>
      </c>
      <c r="N18" s="53">
        <f>SUMIFS('1月_売上顧客'!$L$5:$L$504,'1月_売上顧客'!$V$5:$V$504,"10%")*0.1</f>
        <v/>
      </c>
      <c r="O18" s="2" t="inlineStr">
        <is>
          <t>本舗ロイ区分＝10% の売上 × 10%</t>
        </is>
      </c>
    </row>
    <row r="19">
      <c r="B19" s="44" t="n"/>
      <c r="C19" s="46" t="n"/>
      <c r="F19" s="45" t="n"/>
      <c r="M19" s="49" t="inlineStr">
        <is>
          <t>ロイヤリティ 個別実額</t>
        </is>
      </c>
      <c r="N19" s="53">
        <f>SUMIFS($F$3:$F$302,$E$3:$E$302,"個別ロイ")</f>
        <v/>
      </c>
      <c r="O19" s="2" t="inlineStr">
        <is>
          <t>経費表の科目＝個別ロイ（toB・楽ラクーン等）</t>
        </is>
      </c>
    </row>
    <row r="20">
      <c r="B20" s="44" t="n"/>
      <c r="C20" s="46" t="n"/>
      <c r="F20" s="45" t="n"/>
      <c r="M20" s="47" t="inlineStr">
        <is>
          <t>ロイヤリティ 合計</t>
        </is>
      </c>
      <c r="N20" s="48">
        <f>N16+N17+N18+N19</f>
        <v/>
      </c>
      <c r="O20" s="2" t="inlineStr">
        <is>
          <t>固定＋38%＋10%＋個別</t>
        </is>
      </c>
    </row>
    <row r="21">
      <c r="B21" s="44" t="n"/>
      <c r="C21" s="46" t="n"/>
      <c r="F21" s="45" t="n"/>
      <c r="M21" s="47" t="inlineStr">
        <is>
          <t>販売管理費</t>
        </is>
      </c>
      <c r="N21" s="48">
        <f>N13+N14+N15+N20</f>
        <v/>
      </c>
      <c r="O21" s="2" t="inlineStr">
        <is>
          <t>経費合計 − 原価分 − 個別ロイ ＋ ロイヤリティ合計</t>
        </is>
      </c>
    </row>
    <row r="22">
      <c r="B22" s="44" t="n"/>
      <c r="C22" s="46" t="n"/>
      <c r="F22" s="45" t="n"/>
      <c r="M22" s="47" t="inlineStr">
        <is>
          <t>営業利益</t>
        </is>
      </c>
      <c r="N22" s="48">
        <f>N11-N21</f>
        <v/>
      </c>
      <c r="O22" s="2" t="inlineStr">
        <is>
          <t>売上総利益 − 販売管理費</t>
        </is>
      </c>
    </row>
    <row r="23">
      <c r="B23" s="44" t="n"/>
      <c r="C23" s="46" t="n"/>
      <c r="F23" s="45" t="n"/>
      <c r="M23" s="49" t="inlineStr">
        <is>
          <t>融資返済</t>
        </is>
      </c>
      <c r="N23" s="53">
        <f>IF($N$3+$N$13=0,0,38059)</f>
        <v/>
      </c>
      <c r="O23" s="2" t="inlineStr">
        <is>
          <t>固定 38,059円（まだ動いていない月は0）</t>
        </is>
      </c>
    </row>
    <row r="24">
      <c r="B24" s="44" t="n"/>
      <c r="C24" s="46" t="n"/>
      <c r="F24" s="45" t="n"/>
      <c r="M24" s="47" t="inlineStr">
        <is>
          <t>経常利益</t>
        </is>
      </c>
      <c r="N24" s="48">
        <f>N22-N23</f>
        <v/>
      </c>
      <c r="O24" s="2" t="inlineStr">
        <is>
          <t>営業利益 − 融資返済</t>
        </is>
      </c>
    </row>
    <row r="25">
      <c r="B25" s="44" t="n"/>
      <c r="C25" s="46" t="n"/>
      <c r="F25" s="45" t="n"/>
    </row>
    <row r="26">
      <c r="B26" s="44" t="n"/>
      <c r="C26" s="46" t="n"/>
      <c r="F26" s="45" t="n"/>
      <c r="M26" s="49" t="inlineStr">
        <is>
          <t>経常利益率</t>
        </is>
      </c>
      <c r="N26" s="55">
        <f>IFERROR(N24/N3,0)</f>
        <v/>
      </c>
      <c r="O26" s="2" t="inlineStr">
        <is>
          <t>経常利益 ÷ 売上</t>
        </is>
      </c>
    </row>
    <row r="27">
      <c r="B27" s="44" t="n"/>
      <c r="C27" s="46" t="n"/>
      <c r="F27" s="45" t="n"/>
    </row>
    <row r="28">
      <c r="B28" s="44" t="n"/>
      <c r="C28" s="46" t="n"/>
      <c r="F28" s="45" t="n"/>
      <c r="M28" s="11" t="inlineStr">
        <is>
          <t>▼ 計画（中立）との比較</t>
        </is>
      </c>
    </row>
    <row r="29">
      <c r="B29" s="44" t="n"/>
      <c r="C29" s="46" t="n"/>
      <c r="F29" s="45" t="n"/>
      <c r="M29" s="51" t="inlineStr">
        <is>
          <t>計画 売上</t>
        </is>
      </c>
      <c r="N29" s="45" t="n">
        <v>1440000</v>
      </c>
      <c r="O29" s="2" t="inlineStr"/>
    </row>
    <row r="30">
      <c r="B30" s="44" t="n"/>
      <c r="C30" s="46" t="n"/>
      <c r="F30" s="45" t="n"/>
      <c r="M30" s="51" t="inlineStr">
        <is>
          <t>実績 − 計画（売上）</t>
        </is>
      </c>
      <c r="N30" s="45">
        <f>N3-N29</f>
        <v/>
      </c>
      <c r="O30" s="2" t="inlineStr">
        <is>
          <t>マイナスなら赤</t>
        </is>
      </c>
    </row>
    <row r="31">
      <c r="B31" s="44" t="n"/>
      <c r="C31" s="46" t="n"/>
      <c r="F31" s="45" t="n"/>
      <c r="M31" s="51" t="inlineStr">
        <is>
          <t>計画 経常利益</t>
        </is>
      </c>
      <c r="N31" s="45" t="n">
        <v>231914</v>
      </c>
      <c r="O31" s="2" t="inlineStr"/>
    </row>
    <row r="32">
      <c r="B32" s="44" t="n"/>
      <c r="C32" s="46" t="n"/>
      <c r="F32" s="45" t="n"/>
      <c r="M32" s="51" t="inlineStr">
        <is>
          <t>実績 − 計画（経常）</t>
        </is>
      </c>
      <c r="N32" s="45">
        <f>N24-N31</f>
        <v/>
      </c>
      <c r="O32" s="2" t="inlineStr">
        <is>
          <t>マイナスなら赤</t>
        </is>
      </c>
    </row>
    <row r="33">
      <c r="B33" s="44" t="n"/>
      <c r="C33" s="46" t="n"/>
      <c r="F33" s="45" t="n"/>
      <c r="M33" s="51" t="inlineStr">
        <is>
          <t>計画 件数</t>
        </is>
      </c>
      <c r="N33" s="56" t="n">
        <v>37</v>
      </c>
      <c r="O33" s="2" t="inlineStr"/>
    </row>
    <row r="34">
      <c r="B34" s="44" t="n"/>
      <c r="C34" s="46" t="n"/>
      <c r="F34" s="45" t="n"/>
      <c r="M34" s="51" t="inlineStr">
        <is>
          <t>実績 件数</t>
        </is>
      </c>
      <c r="N34" s="56">
        <f>'1月_売上顧客'!$E$4</f>
        <v/>
      </c>
      <c r="O34" s="2" t="inlineStr"/>
    </row>
    <row r="35">
      <c r="B35" s="44" t="n"/>
      <c r="C35" s="46" t="n"/>
      <c r="F35" s="45" t="n"/>
    </row>
    <row r="36">
      <c r="B36" s="44" t="n"/>
      <c r="C36" s="46" t="n"/>
      <c r="F36" s="45" t="n"/>
      <c r="M36" s="8" t="inlineStr">
        <is>
          <t>【ロイヤリティはこのP/Lだけで数えます】</t>
        </is>
      </c>
    </row>
    <row r="37">
      <c r="B37" s="44" t="n"/>
      <c r="C37" s="46" t="n"/>
      <c r="F37" s="45" t="n"/>
      <c r="M37" s="2" t="inlineStr">
        <is>
          <t xml:space="preserve">  ・固定分 50,050円は左の経費表に入力しないこと（2026年版はここが二重計上の疑いだった）</t>
        </is>
      </c>
    </row>
    <row r="38">
      <c r="B38" s="44" t="n"/>
      <c r="C38" s="46" t="n"/>
      <c r="F38" s="45" t="n"/>
      <c r="M38" s="2" t="inlineStr">
        <is>
          <t xml:space="preserve">  ・個別ロイは左の経費表に科目「個別ロイ」で入力する。P/Lは15行目で引いて19行目で足すので、数えるのは1回だけ</t>
        </is>
      </c>
    </row>
    <row r="39">
      <c r="B39" s="44" t="n"/>
      <c r="C39" s="46" t="n"/>
      <c r="F39" s="45" t="n"/>
      <c r="M39" s="8" t="inlineStr">
        <is>
          <t>【人件費は2つに分けます】</t>
        </is>
      </c>
    </row>
    <row r="40">
      <c r="B40" s="44" t="n"/>
      <c r="C40" s="46" t="n"/>
      <c r="F40" s="45" t="n"/>
      <c r="M40" s="2" t="inlineStr">
        <is>
          <t xml:space="preserve">  ・現場人件費(原価) … 現場に出た分。原価に入る</t>
        </is>
      </c>
    </row>
    <row r="41">
      <c r="B41" s="44" t="n"/>
      <c r="C41" s="46" t="n"/>
      <c r="F41" s="45" t="n"/>
      <c r="M41" s="2" t="inlineStr">
        <is>
          <t xml:space="preserve">  ・固定給(販管費) … 和真さんの固定給40万＋プール10万、新人の給与。販管費に入る</t>
        </is>
      </c>
    </row>
    <row r="42">
      <c r="B42" s="44" t="n"/>
      <c r="C42" s="46" t="n"/>
      <c r="F42" s="45" t="n"/>
      <c r="M42" s="2" t="inlineStr">
        <is>
          <t xml:space="preserve">  ・歩合（経常利益×45%）の行は2027年から使いません</t>
        </is>
      </c>
    </row>
    <row r="43">
      <c r="B43" s="44" t="n"/>
      <c r="C43" s="46" t="n"/>
      <c r="F43" s="45" t="n"/>
      <c r="M43" s="8" t="inlineStr">
        <is>
          <t>【保険料・通信費は「その他」に入れないこと】</t>
        </is>
      </c>
    </row>
    <row r="44">
      <c r="B44" s="44" t="n"/>
      <c r="C44" s="46" t="n"/>
      <c r="F44" s="45" t="n"/>
      <c r="M44" s="2" t="inlineStr">
        <is>
          <t xml:space="preserve">  ・賠償保険 43,760／通信費 8,470／日新火災 18,050 ＝ 月70,280円。科目を独立させました</t>
        </is>
      </c>
    </row>
    <row r="45">
      <c r="B45" s="44" t="n"/>
      <c r="C45" s="46" t="n"/>
      <c r="F45" s="45" t="n"/>
    </row>
    <row r="46">
      <c r="B46" s="44" t="n"/>
      <c r="C46" s="46" t="n"/>
      <c r="F46" s="45" t="n"/>
    </row>
    <row r="47">
      <c r="B47" s="44" t="n"/>
      <c r="C47" s="46" t="n"/>
      <c r="F47" s="45" t="n"/>
    </row>
    <row r="48">
      <c r="B48" s="44" t="n"/>
      <c r="C48" s="46" t="n"/>
      <c r="F48" s="45" t="n"/>
    </row>
    <row r="49">
      <c r="B49" s="44" t="n"/>
      <c r="C49" s="46" t="n"/>
      <c r="F49" s="45" t="n"/>
    </row>
    <row r="50">
      <c r="B50" s="44" t="n"/>
      <c r="C50" s="46" t="n"/>
      <c r="F50" s="45" t="n"/>
    </row>
    <row r="51">
      <c r="B51" s="44" t="n"/>
      <c r="C51" s="46" t="n"/>
      <c r="F51" s="45" t="n"/>
    </row>
    <row r="52">
      <c r="B52" s="44" t="n"/>
      <c r="C52" s="46" t="n"/>
      <c r="F52" s="45" t="n"/>
    </row>
    <row r="53">
      <c r="B53" s="44" t="n"/>
      <c r="C53" s="46" t="n"/>
      <c r="F53" s="45" t="n"/>
    </row>
    <row r="54">
      <c r="B54" s="44" t="n"/>
      <c r="C54" s="46" t="n"/>
      <c r="F54" s="45" t="n"/>
    </row>
    <row r="55">
      <c r="B55" s="44" t="n"/>
      <c r="C55" s="46" t="n"/>
      <c r="F55" s="45" t="n"/>
    </row>
    <row r="56">
      <c r="B56" s="44" t="n"/>
      <c r="C56" s="46" t="n"/>
      <c r="F56" s="45" t="n"/>
    </row>
    <row r="57">
      <c r="B57" s="44" t="n"/>
      <c r="C57" s="46" t="n"/>
      <c r="F57" s="45" t="n"/>
    </row>
    <row r="58">
      <c r="B58" s="44" t="n"/>
      <c r="C58" s="46" t="n"/>
      <c r="F58" s="45" t="n"/>
    </row>
    <row r="59">
      <c r="B59" s="44" t="n"/>
      <c r="C59" s="46" t="n"/>
      <c r="F59" s="45" t="n"/>
    </row>
    <row r="60">
      <c r="B60" s="44" t="n"/>
      <c r="C60" s="46" t="n"/>
      <c r="F60" s="45" t="n"/>
    </row>
    <row r="61">
      <c r="B61" s="44" t="n"/>
      <c r="C61" s="46" t="n"/>
      <c r="F61" s="45" t="n"/>
    </row>
    <row r="62">
      <c r="B62" s="44" t="n"/>
      <c r="C62" s="46" t="n"/>
      <c r="F62" s="45" t="n"/>
    </row>
    <row r="63">
      <c r="B63" s="44" t="n"/>
      <c r="C63" s="46" t="n"/>
      <c r="F63" s="45" t="n"/>
    </row>
    <row r="64">
      <c r="B64" s="44" t="n"/>
      <c r="C64" s="46" t="n"/>
      <c r="F64" s="45" t="n"/>
    </row>
    <row r="65">
      <c r="B65" s="44" t="n"/>
      <c r="C65" s="46" t="n"/>
      <c r="F65" s="45" t="n"/>
    </row>
    <row r="66">
      <c r="B66" s="44" t="n"/>
      <c r="C66" s="46" t="n"/>
      <c r="F66" s="45" t="n"/>
    </row>
    <row r="67">
      <c r="B67" s="44" t="n"/>
      <c r="C67" s="46" t="n"/>
      <c r="F67" s="45" t="n"/>
    </row>
    <row r="68">
      <c r="B68" s="44" t="n"/>
      <c r="C68" s="46" t="n"/>
      <c r="F68" s="45" t="n"/>
    </row>
    <row r="69">
      <c r="B69" s="44" t="n"/>
      <c r="C69" s="46" t="n"/>
      <c r="F69" s="45" t="n"/>
    </row>
    <row r="70">
      <c r="B70" s="44" t="n"/>
      <c r="C70" s="46" t="n"/>
      <c r="F70" s="45" t="n"/>
    </row>
    <row r="71">
      <c r="B71" s="44" t="n"/>
      <c r="C71" s="46" t="n"/>
      <c r="F71" s="45" t="n"/>
    </row>
    <row r="72">
      <c r="B72" s="44" t="n"/>
      <c r="C72" s="46" t="n"/>
      <c r="F72" s="45" t="n"/>
    </row>
    <row r="73">
      <c r="B73" s="44" t="n"/>
      <c r="C73" s="46" t="n"/>
      <c r="F73" s="45" t="n"/>
    </row>
    <row r="74">
      <c r="B74" s="44" t="n"/>
      <c r="C74" s="46" t="n"/>
      <c r="F74" s="45" t="n"/>
    </row>
    <row r="75">
      <c r="B75" s="44" t="n"/>
      <c r="C75" s="46" t="n"/>
      <c r="F75" s="45" t="n"/>
    </row>
    <row r="76">
      <c r="B76" s="44" t="n"/>
      <c r="C76" s="46" t="n"/>
      <c r="F76" s="45" t="n"/>
    </row>
    <row r="77">
      <c r="B77" s="44" t="n"/>
      <c r="C77" s="46" t="n"/>
      <c r="F77" s="45" t="n"/>
    </row>
    <row r="78">
      <c r="B78" s="44" t="n"/>
      <c r="C78" s="46" t="n"/>
      <c r="F78" s="45" t="n"/>
    </row>
    <row r="79">
      <c r="B79" s="44" t="n"/>
      <c r="C79" s="46" t="n"/>
      <c r="F79" s="45" t="n"/>
    </row>
    <row r="80">
      <c r="B80" s="44" t="n"/>
      <c r="C80" s="46" t="n"/>
      <c r="F80" s="45" t="n"/>
    </row>
    <row r="81">
      <c r="B81" s="44" t="n"/>
      <c r="C81" s="46" t="n"/>
      <c r="F81" s="45" t="n"/>
    </row>
    <row r="82">
      <c r="B82" s="44" t="n"/>
      <c r="C82" s="46" t="n"/>
      <c r="F82" s="45" t="n"/>
    </row>
    <row r="83">
      <c r="B83" s="44" t="n"/>
      <c r="C83" s="46" t="n"/>
      <c r="F83" s="45" t="n"/>
    </row>
    <row r="84">
      <c r="B84" s="44" t="n"/>
      <c r="C84" s="46" t="n"/>
      <c r="F84" s="45" t="n"/>
    </row>
    <row r="85">
      <c r="B85" s="44" t="n"/>
      <c r="C85" s="46" t="n"/>
      <c r="F85" s="45" t="n"/>
    </row>
    <row r="86">
      <c r="B86" s="44" t="n"/>
      <c r="C86" s="46" t="n"/>
      <c r="F86" s="45" t="n"/>
    </row>
    <row r="87">
      <c r="B87" s="44" t="n"/>
      <c r="C87" s="46" t="n"/>
      <c r="F87" s="45" t="n"/>
    </row>
    <row r="88">
      <c r="B88" s="44" t="n"/>
      <c r="C88" s="46" t="n"/>
      <c r="F88" s="45" t="n"/>
    </row>
    <row r="89">
      <c r="B89" s="44" t="n"/>
      <c r="C89" s="46" t="n"/>
      <c r="F89" s="45" t="n"/>
    </row>
    <row r="90">
      <c r="B90" s="44" t="n"/>
      <c r="C90" s="46" t="n"/>
      <c r="F90" s="45" t="n"/>
    </row>
    <row r="91">
      <c r="B91" s="44" t="n"/>
      <c r="C91" s="46" t="n"/>
      <c r="F91" s="45" t="n"/>
    </row>
    <row r="92">
      <c r="B92" s="44" t="n"/>
      <c r="C92" s="46" t="n"/>
      <c r="F92" s="45" t="n"/>
    </row>
    <row r="93">
      <c r="B93" s="44" t="n"/>
      <c r="C93" s="46" t="n"/>
      <c r="F93" s="45" t="n"/>
    </row>
    <row r="94">
      <c r="B94" s="44" t="n"/>
      <c r="C94" s="46" t="n"/>
      <c r="F94" s="45" t="n"/>
    </row>
    <row r="95">
      <c r="B95" s="44" t="n"/>
      <c r="C95" s="46" t="n"/>
      <c r="F95" s="45" t="n"/>
    </row>
    <row r="96">
      <c r="B96" s="44" t="n"/>
      <c r="C96" s="46" t="n"/>
      <c r="F96" s="45" t="n"/>
    </row>
    <row r="97">
      <c r="B97" s="44" t="n"/>
      <c r="C97" s="46" t="n"/>
      <c r="F97" s="45" t="n"/>
    </row>
    <row r="98">
      <c r="B98" s="44" t="n"/>
      <c r="C98" s="46" t="n"/>
      <c r="F98" s="45" t="n"/>
    </row>
    <row r="99">
      <c r="B99" s="44" t="n"/>
      <c r="C99" s="46" t="n"/>
      <c r="F99" s="45" t="n"/>
    </row>
    <row r="100">
      <c r="B100" s="44" t="n"/>
      <c r="C100" s="46" t="n"/>
      <c r="F100" s="45" t="n"/>
    </row>
    <row r="101">
      <c r="B101" s="44" t="n"/>
      <c r="C101" s="46" t="n"/>
      <c r="F101" s="45" t="n"/>
    </row>
    <row r="102">
      <c r="B102" s="44" t="n"/>
      <c r="C102" s="46" t="n"/>
      <c r="F102" s="45" t="n"/>
    </row>
    <row r="103">
      <c r="B103" s="44" t="n"/>
      <c r="C103" s="46" t="n"/>
      <c r="F103" s="45" t="n"/>
    </row>
    <row r="104">
      <c r="B104" s="44" t="n"/>
      <c r="C104" s="46" t="n"/>
      <c r="F104" s="45" t="n"/>
    </row>
    <row r="105">
      <c r="B105" s="44" t="n"/>
      <c r="C105" s="46" t="n"/>
      <c r="F105" s="45" t="n"/>
    </row>
    <row r="106">
      <c r="B106" s="44" t="n"/>
      <c r="C106" s="46" t="n"/>
      <c r="F106" s="45" t="n"/>
    </row>
    <row r="107">
      <c r="B107" s="44" t="n"/>
      <c r="C107" s="46" t="n"/>
      <c r="F107" s="45" t="n"/>
    </row>
    <row r="108">
      <c r="B108" s="44" t="n"/>
      <c r="C108" s="46" t="n"/>
      <c r="F108" s="45" t="n"/>
    </row>
    <row r="109">
      <c r="B109" s="44" t="n"/>
      <c r="C109" s="46" t="n"/>
      <c r="F109" s="45" t="n"/>
    </row>
    <row r="110">
      <c r="B110" s="44" t="n"/>
      <c r="C110" s="46" t="n"/>
      <c r="F110" s="45" t="n"/>
    </row>
    <row r="111">
      <c r="B111" s="44" t="n"/>
      <c r="C111" s="46" t="n"/>
      <c r="F111" s="45" t="n"/>
    </row>
    <row r="112">
      <c r="B112" s="44" t="n"/>
      <c r="C112" s="46" t="n"/>
      <c r="F112" s="45" t="n"/>
    </row>
    <row r="113">
      <c r="B113" s="44" t="n"/>
      <c r="C113" s="46" t="n"/>
      <c r="F113" s="45" t="n"/>
    </row>
    <row r="114">
      <c r="B114" s="44" t="n"/>
      <c r="C114" s="46" t="n"/>
      <c r="F114" s="45" t="n"/>
    </row>
    <row r="115">
      <c r="B115" s="44" t="n"/>
      <c r="C115" s="46" t="n"/>
      <c r="F115" s="45" t="n"/>
    </row>
    <row r="116">
      <c r="B116" s="44" t="n"/>
      <c r="C116" s="46" t="n"/>
      <c r="F116" s="45" t="n"/>
    </row>
    <row r="117">
      <c r="B117" s="44" t="n"/>
      <c r="C117" s="46" t="n"/>
      <c r="F117" s="45" t="n"/>
    </row>
    <row r="118">
      <c r="B118" s="44" t="n"/>
      <c r="C118" s="46" t="n"/>
      <c r="F118" s="45" t="n"/>
    </row>
    <row r="119">
      <c r="B119" s="44" t="n"/>
      <c r="C119" s="46" t="n"/>
      <c r="F119" s="45" t="n"/>
    </row>
    <row r="120">
      <c r="B120" s="44" t="n"/>
      <c r="C120" s="46" t="n"/>
      <c r="F120" s="45" t="n"/>
    </row>
    <row r="121">
      <c r="B121" s="44" t="n"/>
      <c r="C121" s="46" t="n"/>
      <c r="F121" s="45" t="n"/>
    </row>
    <row r="122">
      <c r="B122" s="44" t="n"/>
      <c r="C122" s="46" t="n"/>
      <c r="F122" s="45" t="n"/>
    </row>
    <row r="123">
      <c r="B123" s="44" t="n"/>
      <c r="C123" s="46" t="n"/>
      <c r="F123" s="45" t="n"/>
    </row>
    <row r="124">
      <c r="B124" s="44" t="n"/>
      <c r="C124" s="46" t="n"/>
      <c r="F124" s="45" t="n"/>
    </row>
    <row r="125">
      <c r="B125" s="44" t="n"/>
      <c r="C125" s="46" t="n"/>
      <c r="F125" s="45" t="n"/>
    </row>
    <row r="126">
      <c r="B126" s="44" t="n"/>
      <c r="C126" s="46" t="n"/>
      <c r="F126" s="45" t="n"/>
    </row>
    <row r="127">
      <c r="B127" s="44" t="n"/>
      <c r="C127" s="46" t="n"/>
      <c r="F127" s="45" t="n"/>
    </row>
    <row r="128">
      <c r="B128" s="44" t="n"/>
      <c r="C128" s="46" t="n"/>
      <c r="F128" s="45" t="n"/>
    </row>
    <row r="129">
      <c r="B129" s="44" t="n"/>
      <c r="C129" s="46" t="n"/>
      <c r="F129" s="45" t="n"/>
    </row>
    <row r="130">
      <c r="B130" s="44" t="n"/>
      <c r="C130" s="46" t="n"/>
      <c r="F130" s="45" t="n"/>
    </row>
    <row r="131">
      <c r="B131" s="44" t="n"/>
      <c r="C131" s="46" t="n"/>
      <c r="F131" s="45" t="n"/>
    </row>
    <row r="132">
      <c r="B132" s="44" t="n"/>
      <c r="C132" s="46" t="n"/>
      <c r="F132" s="45" t="n"/>
    </row>
    <row r="133">
      <c r="B133" s="44" t="n"/>
      <c r="C133" s="46" t="n"/>
      <c r="F133" s="45" t="n"/>
    </row>
    <row r="134">
      <c r="B134" s="44" t="n"/>
      <c r="C134" s="46" t="n"/>
      <c r="F134" s="45" t="n"/>
    </row>
    <row r="135">
      <c r="B135" s="44" t="n"/>
      <c r="C135" s="46" t="n"/>
      <c r="F135" s="45" t="n"/>
    </row>
    <row r="136">
      <c r="B136" s="44" t="n"/>
      <c r="C136" s="46" t="n"/>
      <c r="F136" s="45" t="n"/>
    </row>
    <row r="137">
      <c r="B137" s="44" t="n"/>
      <c r="C137" s="46" t="n"/>
      <c r="F137" s="45" t="n"/>
    </row>
    <row r="138">
      <c r="B138" s="44" t="n"/>
      <c r="C138" s="46" t="n"/>
      <c r="F138" s="45" t="n"/>
    </row>
    <row r="139">
      <c r="B139" s="44" t="n"/>
      <c r="C139" s="46" t="n"/>
      <c r="F139" s="45" t="n"/>
    </row>
    <row r="140">
      <c r="B140" s="44" t="n"/>
      <c r="C140" s="46" t="n"/>
      <c r="F140" s="45" t="n"/>
    </row>
    <row r="141">
      <c r="B141" s="44" t="n"/>
      <c r="C141" s="46" t="n"/>
      <c r="F141" s="45" t="n"/>
    </row>
    <row r="142">
      <c r="B142" s="44" t="n"/>
      <c r="C142" s="46" t="n"/>
      <c r="F142" s="45" t="n"/>
    </row>
    <row r="143">
      <c r="B143" s="44" t="n"/>
      <c r="C143" s="46" t="n"/>
      <c r="F143" s="45" t="n"/>
    </row>
    <row r="144">
      <c r="B144" s="44" t="n"/>
      <c r="C144" s="46" t="n"/>
      <c r="F144" s="45" t="n"/>
    </row>
    <row r="145">
      <c r="B145" s="44" t="n"/>
      <c r="C145" s="46" t="n"/>
      <c r="F145" s="45" t="n"/>
    </row>
    <row r="146">
      <c r="B146" s="44" t="n"/>
      <c r="C146" s="46" t="n"/>
      <c r="F146" s="45" t="n"/>
    </row>
    <row r="147">
      <c r="B147" s="44" t="n"/>
      <c r="C147" s="46" t="n"/>
      <c r="F147" s="45" t="n"/>
    </row>
    <row r="148">
      <c r="B148" s="44" t="n"/>
      <c r="C148" s="46" t="n"/>
      <c r="F148" s="45" t="n"/>
    </row>
    <row r="149">
      <c r="B149" s="44" t="n"/>
      <c r="C149" s="46" t="n"/>
      <c r="F149" s="45" t="n"/>
    </row>
    <row r="150">
      <c r="B150" s="44" t="n"/>
      <c r="C150" s="46" t="n"/>
      <c r="F150" s="45" t="n"/>
    </row>
    <row r="151">
      <c r="B151" s="44" t="n"/>
      <c r="C151" s="46" t="n"/>
      <c r="F151" s="45" t="n"/>
    </row>
    <row r="152">
      <c r="B152" s="44" t="n"/>
      <c r="C152" s="46" t="n"/>
      <c r="F152" s="45" t="n"/>
    </row>
    <row r="153">
      <c r="B153" s="44" t="n"/>
      <c r="C153" s="46" t="n"/>
      <c r="F153" s="45" t="n"/>
    </row>
    <row r="154">
      <c r="B154" s="44" t="n"/>
      <c r="C154" s="46" t="n"/>
      <c r="F154" s="45" t="n"/>
    </row>
    <row r="155">
      <c r="B155" s="44" t="n"/>
      <c r="C155" s="46" t="n"/>
      <c r="F155" s="45" t="n"/>
    </row>
    <row r="156">
      <c r="B156" s="44" t="n"/>
      <c r="C156" s="46" t="n"/>
      <c r="F156" s="45" t="n"/>
    </row>
    <row r="157">
      <c r="B157" s="44" t="n"/>
      <c r="C157" s="46" t="n"/>
      <c r="F157" s="45" t="n"/>
    </row>
    <row r="158">
      <c r="B158" s="44" t="n"/>
      <c r="C158" s="46" t="n"/>
      <c r="F158" s="45" t="n"/>
    </row>
    <row r="159">
      <c r="B159" s="44" t="n"/>
      <c r="C159" s="46" t="n"/>
      <c r="F159" s="45" t="n"/>
    </row>
    <row r="160">
      <c r="B160" s="44" t="n"/>
      <c r="C160" s="46" t="n"/>
      <c r="F160" s="45" t="n"/>
    </row>
    <row r="161">
      <c r="B161" s="44" t="n"/>
      <c r="C161" s="46" t="n"/>
      <c r="F161" s="45" t="n"/>
    </row>
    <row r="162">
      <c r="B162" s="44" t="n"/>
      <c r="C162" s="46" t="n"/>
      <c r="F162" s="45" t="n"/>
    </row>
    <row r="163">
      <c r="B163" s="44" t="n"/>
      <c r="C163" s="46" t="n"/>
      <c r="F163" s="45" t="n"/>
    </row>
    <row r="164">
      <c r="B164" s="44" t="n"/>
      <c r="C164" s="46" t="n"/>
      <c r="F164" s="45" t="n"/>
    </row>
    <row r="165">
      <c r="B165" s="44" t="n"/>
      <c r="C165" s="46" t="n"/>
      <c r="F165" s="45" t="n"/>
    </row>
    <row r="166">
      <c r="B166" s="44" t="n"/>
      <c r="C166" s="46" t="n"/>
      <c r="F166" s="45" t="n"/>
    </row>
    <row r="167">
      <c r="B167" s="44" t="n"/>
      <c r="C167" s="46" t="n"/>
      <c r="F167" s="45" t="n"/>
    </row>
    <row r="168">
      <c r="B168" s="44" t="n"/>
      <c r="C168" s="46" t="n"/>
      <c r="F168" s="45" t="n"/>
    </row>
    <row r="169">
      <c r="B169" s="44" t="n"/>
      <c r="C169" s="46" t="n"/>
      <c r="F169" s="45" t="n"/>
    </row>
    <row r="170">
      <c r="B170" s="44" t="n"/>
      <c r="C170" s="46" t="n"/>
      <c r="F170" s="45" t="n"/>
    </row>
    <row r="171">
      <c r="B171" s="44" t="n"/>
      <c r="C171" s="46" t="n"/>
      <c r="F171" s="45" t="n"/>
    </row>
    <row r="172">
      <c r="B172" s="44" t="n"/>
      <c r="C172" s="46" t="n"/>
      <c r="F172" s="45" t="n"/>
    </row>
    <row r="173">
      <c r="B173" s="44" t="n"/>
      <c r="C173" s="46" t="n"/>
      <c r="F173" s="45" t="n"/>
    </row>
    <row r="174">
      <c r="B174" s="44" t="n"/>
      <c r="C174" s="46" t="n"/>
      <c r="F174" s="45" t="n"/>
    </row>
    <row r="175">
      <c r="B175" s="44" t="n"/>
      <c r="C175" s="46" t="n"/>
      <c r="F175" s="45" t="n"/>
    </row>
    <row r="176">
      <c r="B176" s="44" t="n"/>
      <c r="C176" s="46" t="n"/>
      <c r="F176" s="45" t="n"/>
    </row>
    <row r="177">
      <c r="B177" s="44" t="n"/>
      <c r="C177" s="46" t="n"/>
      <c r="F177" s="45" t="n"/>
    </row>
    <row r="178">
      <c r="B178" s="44" t="n"/>
      <c r="C178" s="46" t="n"/>
      <c r="F178" s="45" t="n"/>
    </row>
    <row r="179">
      <c r="B179" s="44" t="n"/>
      <c r="C179" s="46" t="n"/>
      <c r="F179" s="45" t="n"/>
    </row>
    <row r="180">
      <c r="B180" s="44" t="n"/>
      <c r="C180" s="46" t="n"/>
      <c r="F180" s="45" t="n"/>
    </row>
    <row r="181">
      <c r="B181" s="44" t="n"/>
      <c r="C181" s="46" t="n"/>
      <c r="F181" s="45" t="n"/>
    </row>
    <row r="182">
      <c r="B182" s="44" t="n"/>
      <c r="C182" s="46" t="n"/>
      <c r="F182" s="45" t="n"/>
    </row>
    <row r="183">
      <c r="B183" s="44" t="n"/>
      <c r="C183" s="46" t="n"/>
      <c r="F183" s="45" t="n"/>
    </row>
    <row r="184">
      <c r="B184" s="44" t="n"/>
      <c r="C184" s="46" t="n"/>
      <c r="F184" s="45" t="n"/>
    </row>
    <row r="185">
      <c r="B185" s="44" t="n"/>
      <c r="C185" s="46" t="n"/>
      <c r="F185" s="45" t="n"/>
    </row>
    <row r="186">
      <c r="B186" s="44" t="n"/>
      <c r="C186" s="46" t="n"/>
      <c r="F186" s="45" t="n"/>
    </row>
    <row r="187">
      <c r="B187" s="44" t="n"/>
      <c r="C187" s="46" t="n"/>
      <c r="F187" s="45" t="n"/>
    </row>
    <row r="188">
      <c r="B188" s="44" t="n"/>
      <c r="C188" s="46" t="n"/>
      <c r="F188" s="45" t="n"/>
    </row>
    <row r="189">
      <c r="B189" s="44" t="n"/>
      <c r="C189" s="46" t="n"/>
      <c r="F189" s="45" t="n"/>
    </row>
    <row r="190">
      <c r="B190" s="44" t="n"/>
      <c r="C190" s="46" t="n"/>
      <c r="F190" s="45" t="n"/>
    </row>
    <row r="191">
      <c r="B191" s="44" t="n"/>
      <c r="C191" s="46" t="n"/>
      <c r="F191" s="45" t="n"/>
    </row>
    <row r="192">
      <c r="B192" s="44" t="n"/>
      <c r="C192" s="46" t="n"/>
      <c r="F192" s="45" t="n"/>
    </row>
    <row r="193">
      <c r="B193" s="44" t="n"/>
      <c r="C193" s="46" t="n"/>
      <c r="F193" s="45" t="n"/>
    </row>
    <row r="194">
      <c r="B194" s="44" t="n"/>
      <c r="C194" s="46" t="n"/>
      <c r="F194" s="45" t="n"/>
    </row>
    <row r="195">
      <c r="B195" s="44" t="n"/>
      <c r="C195" s="46" t="n"/>
      <c r="F195" s="45" t="n"/>
    </row>
    <row r="196">
      <c r="B196" s="44" t="n"/>
      <c r="C196" s="46" t="n"/>
      <c r="F196" s="45" t="n"/>
    </row>
    <row r="197">
      <c r="B197" s="44" t="n"/>
      <c r="C197" s="46" t="n"/>
      <c r="F197" s="45" t="n"/>
    </row>
    <row r="198">
      <c r="B198" s="44" t="n"/>
      <c r="C198" s="46" t="n"/>
      <c r="F198" s="45" t="n"/>
    </row>
    <row r="199">
      <c r="B199" s="44" t="n"/>
      <c r="C199" s="46" t="n"/>
      <c r="F199" s="45" t="n"/>
    </row>
    <row r="200">
      <c r="B200" s="44" t="n"/>
      <c r="C200" s="46" t="n"/>
      <c r="F200" s="45" t="n"/>
    </row>
    <row r="201">
      <c r="B201" s="44" t="n"/>
      <c r="C201" s="46" t="n"/>
      <c r="F201" s="45" t="n"/>
    </row>
    <row r="202">
      <c r="B202" s="44" t="n"/>
      <c r="C202" s="46" t="n"/>
      <c r="F202" s="45" t="n"/>
    </row>
    <row r="203">
      <c r="B203" s="44" t="n"/>
      <c r="C203" s="46" t="n"/>
      <c r="F203" s="45" t="n"/>
    </row>
    <row r="204">
      <c r="B204" s="44" t="n"/>
      <c r="C204" s="46" t="n"/>
      <c r="F204" s="45" t="n"/>
    </row>
    <row r="205">
      <c r="B205" s="44" t="n"/>
      <c r="C205" s="46" t="n"/>
      <c r="F205" s="45" t="n"/>
    </row>
    <row r="206">
      <c r="B206" s="44" t="n"/>
      <c r="C206" s="46" t="n"/>
      <c r="F206" s="45" t="n"/>
    </row>
    <row r="207">
      <c r="B207" s="44" t="n"/>
      <c r="C207" s="46" t="n"/>
      <c r="F207" s="45" t="n"/>
    </row>
    <row r="208">
      <c r="B208" s="44" t="n"/>
      <c r="C208" s="46" t="n"/>
      <c r="F208" s="45" t="n"/>
    </row>
    <row r="209">
      <c r="B209" s="44" t="n"/>
      <c r="C209" s="46" t="n"/>
      <c r="F209" s="45" t="n"/>
    </row>
    <row r="210">
      <c r="B210" s="44" t="n"/>
      <c r="C210" s="46" t="n"/>
      <c r="F210" s="45" t="n"/>
    </row>
    <row r="211">
      <c r="B211" s="44" t="n"/>
      <c r="C211" s="46" t="n"/>
      <c r="F211" s="45" t="n"/>
    </row>
    <row r="212">
      <c r="B212" s="44" t="n"/>
      <c r="C212" s="46" t="n"/>
      <c r="F212" s="45" t="n"/>
    </row>
    <row r="213">
      <c r="B213" s="44" t="n"/>
      <c r="C213" s="46" t="n"/>
      <c r="F213" s="45" t="n"/>
    </row>
    <row r="214">
      <c r="B214" s="44" t="n"/>
      <c r="C214" s="46" t="n"/>
      <c r="F214" s="45" t="n"/>
    </row>
    <row r="215">
      <c r="B215" s="44" t="n"/>
      <c r="C215" s="46" t="n"/>
      <c r="F215" s="45" t="n"/>
    </row>
    <row r="216">
      <c r="B216" s="44" t="n"/>
      <c r="C216" s="46" t="n"/>
      <c r="F216" s="45" t="n"/>
    </row>
    <row r="217">
      <c r="B217" s="44" t="n"/>
      <c r="C217" s="46" t="n"/>
      <c r="F217" s="45" t="n"/>
    </row>
    <row r="218">
      <c r="B218" s="44" t="n"/>
      <c r="C218" s="46" t="n"/>
      <c r="F218" s="45" t="n"/>
    </row>
    <row r="219">
      <c r="B219" s="44" t="n"/>
      <c r="C219" s="46" t="n"/>
      <c r="F219" s="45" t="n"/>
    </row>
    <row r="220">
      <c r="B220" s="44" t="n"/>
      <c r="C220" s="46" t="n"/>
      <c r="F220" s="45" t="n"/>
    </row>
    <row r="221">
      <c r="B221" s="44" t="n"/>
      <c r="C221" s="46" t="n"/>
      <c r="F221" s="45" t="n"/>
    </row>
    <row r="222">
      <c r="B222" s="44" t="n"/>
      <c r="C222" s="46" t="n"/>
      <c r="F222" s="45" t="n"/>
    </row>
    <row r="223">
      <c r="B223" s="44" t="n"/>
      <c r="C223" s="46" t="n"/>
      <c r="F223" s="45" t="n"/>
    </row>
    <row r="224">
      <c r="B224" s="44" t="n"/>
      <c r="C224" s="46" t="n"/>
      <c r="F224" s="45" t="n"/>
    </row>
    <row r="225">
      <c r="B225" s="44" t="n"/>
      <c r="C225" s="46" t="n"/>
      <c r="F225" s="45" t="n"/>
    </row>
    <row r="226">
      <c r="B226" s="44" t="n"/>
      <c r="C226" s="46" t="n"/>
      <c r="F226" s="45" t="n"/>
    </row>
    <row r="227">
      <c r="B227" s="44" t="n"/>
      <c r="C227" s="46" t="n"/>
      <c r="F227" s="45" t="n"/>
    </row>
    <row r="228">
      <c r="B228" s="44" t="n"/>
      <c r="C228" s="46" t="n"/>
      <c r="F228" s="45" t="n"/>
    </row>
    <row r="229">
      <c r="B229" s="44" t="n"/>
      <c r="C229" s="46" t="n"/>
      <c r="F229" s="45" t="n"/>
    </row>
    <row r="230">
      <c r="B230" s="44" t="n"/>
      <c r="C230" s="46" t="n"/>
      <c r="F230" s="45" t="n"/>
    </row>
    <row r="231">
      <c r="B231" s="44" t="n"/>
      <c r="C231" s="46" t="n"/>
      <c r="F231" s="45" t="n"/>
    </row>
    <row r="232">
      <c r="B232" s="44" t="n"/>
      <c r="C232" s="46" t="n"/>
      <c r="F232" s="45" t="n"/>
    </row>
    <row r="233">
      <c r="B233" s="44" t="n"/>
      <c r="C233" s="46" t="n"/>
      <c r="F233" s="45" t="n"/>
    </row>
    <row r="234">
      <c r="B234" s="44" t="n"/>
      <c r="C234" s="46" t="n"/>
      <c r="F234" s="45" t="n"/>
    </row>
    <row r="235">
      <c r="B235" s="44" t="n"/>
      <c r="C235" s="46" t="n"/>
      <c r="F235" s="45" t="n"/>
    </row>
    <row r="236">
      <c r="B236" s="44" t="n"/>
      <c r="C236" s="46" t="n"/>
      <c r="F236" s="45" t="n"/>
    </row>
    <row r="237">
      <c r="B237" s="44" t="n"/>
      <c r="C237" s="46" t="n"/>
      <c r="F237" s="45" t="n"/>
    </row>
    <row r="238">
      <c r="B238" s="44" t="n"/>
      <c r="C238" s="46" t="n"/>
      <c r="F238" s="45" t="n"/>
    </row>
    <row r="239">
      <c r="B239" s="44" t="n"/>
      <c r="C239" s="46" t="n"/>
      <c r="F239" s="45" t="n"/>
    </row>
    <row r="240">
      <c r="B240" s="44" t="n"/>
      <c r="C240" s="46" t="n"/>
      <c r="F240" s="45" t="n"/>
    </row>
    <row r="241">
      <c r="B241" s="44" t="n"/>
      <c r="C241" s="46" t="n"/>
      <c r="F241" s="45" t="n"/>
    </row>
    <row r="242">
      <c r="B242" s="44" t="n"/>
      <c r="C242" s="46" t="n"/>
      <c r="F242" s="45" t="n"/>
    </row>
    <row r="243">
      <c r="B243" s="44" t="n"/>
      <c r="C243" s="46" t="n"/>
      <c r="F243" s="45" t="n"/>
    </row>
    <row r="244">
      <c r="B244" s="44" t="n"/>
      <c r="C244" s="46" t="n"/>
      <c r="F244" s="45" t="n"/>
    </row>
    <row r="245">
      <c r="B245" s="44" t="n"/>
      <c r="C245" s="46" t="n"/>
      <c r="F245" s="45" t="n"/>
    </row>
    <row r="246">
      <c r="B246" s="44" t="n"/>
      <c r="C246" s="46" t="n"/>
      <c r="F246" s="45" t="n"/>
    </row>
    <row r="247">
      <c r="B247" s="44" t="n"/>
      <c r="C247" s="46" t="n"/>
      <c r="F247" s="45" t="n"/>
    </row>
    <row r="248">
      <c r="B248" s="44" t="n"/>
      <c r="C248" s="46" t="n"/>
      <c r="F248" s="45" t="n"/>
    </row>
    <row r="249">
      <c r="B249" s="44" t="n"/>
      <c r="C249" s="46" t="n"/>
      <c r="F249" s="45" t="n"/>
    </row>
    <row r="250">
      <c r="B250" s="44" t="n"/>
      <c r="C250" s="46" t="n"/>
      <c r="F250" s="45" t="n"/>
    </row>
    <row r="251">
      <c r="B251" s="44" t="n"/>
      <c r="C251" s="46" t="n"/>
      <c r="F251" s="45" t="n"/>
    </row>
    <row r="252">
      <c r="B252" s="44" t="n"/>
      <c r="C252" s="46" t="n"/>
      <c r="F252" s="45" t="n"/>
    </row>
    <row r="253">
      <c r="B253" s="44" t="n"/>
      <c r="C253" s="46" t="n"/>
      <c r="F253" s="45" t="n"/>
    </row>
    <row r="254">
      <c r="B254" s="44" t="n"/>
      <c r="C254" s="46" t="n"/>
      <c r="F254" s="45" t="n"/>
    </row>
    <row r="255">
      <c r="B255" s="44" t="n"/>
      <c r="C255" s="46" t="n"/>
      <c r="F255" s="45" t="n"/>
    </row>
    <row r="256">
      <c r="B256" s="44" t="n"/>
      <c r="C256" s="46" t="n"/>
      <c r="F256" s="45" t="n"/>
    </row>
    <row r="257">
      <c r="B257" s="44" t="n"/>
      <c r="C257" s="46" t="n"/>
      <c r="F257" s="45" t="n"/>
    </row>
    <row r="258">
      <c r="B258" s="44" t="n"/>
      <c r="C258" s="46" t="n"/>
      <c r="F258" s="45" t="n"/>
    </row>
    <row r="259">
      <c r="B259" s="44" t="n"/>
      <c r="C259" s="46" t="n"/>
      <c r="F259" s="45" t="n"/>
    </row>
    <row r="260">
      <c r="B260" s="44" t="n"/>
      <c r="C260" s="46" t="n"/>
      <c r="F260" s="45" t="n"/>
    </row>
    <row r="261">
      <c r="B261" s="44" t="n"/>
      <c r="C261" s="46" t="n"/>
      <c r="F261" s="45" t="n"/>
    </row>
    <row r="262">
      <c r="B262" s="44" t="n"/>
      <c r="C262" s="46" t="n"/>
      <c r="F262" s="45" t="n"/>
    </row>
    <row r="263">
      <c r="B263" s="44" t="n"/>
      <c r="C263" s="46" t="n"/>
      <c r="F263" s="45" t="n"/>
    </row>
    <row r="264">
      <c r="B264" s="44" t="n"/>
      <c r="C264" s="46" t="n"/>
      <c r="F264" s="45" t="n"/>
    </row>
    <row r="265">
      <c r="B265" s="44" t="n"/>
      <c r="C265" s="46" t="n"/>
      <c r="F265" s="45" t="n"/>
    </row>
    <row r="266">
      <c r="B266" s="44" t="n"/>
      <c r="C266" s="46" t="n"/>
      <c r="F266" s="45" t="n"/>
    </row>
    <row r="267">
      <c r="B267" s="44" t="n"/>
      <c r="C267" s="46" t="n"/>
      <c r="F267" s="45" t="n"/>
    </row>
    <row r="268">
      <c r="B268" s="44" t="n"/>
      <c r="C268" s="46" t="n"/>
      <c r="F268" s="45" t="n"/>
    </row>
    <row r="269">
      <c r="B269" s="44" t="n"/>
      <c r="C269" s="46" t="n"/>
      <c r="F269" s="45" t="n"/>
    </row>
    <row r="270">
      <c r="B270" s="44" t="n"/>
      <c r="C270" s="46" t="n"/>
      <c r="F270" s="45" t="n"/>
    </row>
    <row r="271">
      <c r="B271" s="44" t="n"/>
      <c r="C271" s="46" t="n"/>
      <c r="F271" s="45" t="n"/>
    </row>
    <row r="272">
      <c r="B272" s="44" t="n"/>
      <c r="C272" s="46" t="n"/>
      <c r="F272" s="45" t="n"/>
    </row>
    <row r="273">
      <c r="B273" s="44" t="n"/>
      <c r="C273" s="46" t="n"/>
      <c r="F273" s="45" t="n"/>
    </row>
    <row r="274">
      <c r="B274" s="44" t="n"/>
      <c r="C274" s="46" t="n"/>
      <c r="F274" s="45" t="n"/>
    </row>
    <row r="275">
      <c r="B275" s="44" t="n"/>
      <c r="C275" s="46" t="n"/>
      <c r="F275" s="45" t="n"/>
    </row>
    <row r="276">
      <c r="B276" s="44" t="n"/>
      <c r="C276" s="46" t="n"/>
      <c r="F276" s="45" t="n"/>
    </row>
    <row r="277">
      <c r="B277" s="44" t="n"/>
      <c r="C277" s="46" t="n"/>
      <c r="F277" s="45" t="n"/>
    </row>
    <row r="278">
      <c r="B278" s="44" t="n"/>
      <c r="C278" s="46" t="n"/>
      <c r="F278" s="45" t="n"/>
    </row>
    <row r="279">
      <c r="B279" s="44" t="n"/>
      <c r="C279" s="46" t="n"/>
      <c r="F279" s="45" t="n"/>
    </row>
    <row r="280">
      <c r="B280" s="44" t="n"/>
      <c r="C280" s="46" t="n"/>
      <c r="F280" s="45" t="n"/>
    </row>
    <row r="281">
      <c r="B281" s="44" t="n"/>
      <c r="C281" s="46" t="n"/>
      <c r="F281" s="45" t="n"/>
    </row>
    <row r="282">
      <c r="B282" s="44" t="n"/>
      <c r="C282" s="46" t="n"/>
      <c r="F282" s="45" t="n"/>
    </row>
    <row r="283">
      <c r="B283" s="44" t="n"/>
      <c r="C283" s="46" t="n"/>
      <c r="F283" s="45" t="n"/>
    </row>
    <row r="284">
      <c r="B284" s="44" t="n"/>
      <c r="C284" s="46" t="n"/>
      <c r="F284" s="45" t="n"/>
    </row>
    <row r="285">
      <c r="B285" s="44" t="n"/>
      <c r="C285" s="46" t="n"/>
      <c r="F285" s="45" t="n"/>
    </row>
    <row r="286">
      <c r="B286" s="44" t="n"/>
      <c r="C286" s="46" t="n"/>
      <c r="F286" s="45" t="n"/>
    </row>
    <row r="287">
      <c r="B287" s="44" t="n"/>
      <c r="C287" s="46" t="n"/>
      <c r="F287" s="45" t="n"/>
    </row>
    <row r="288">
      <c r="B288" s="44" t="n"/>
      <c r="C288" s="46" t="n"/>
      <c r="F288" s="45" t="n"/>
    </row>
    <row r="289">
      <c r="B289" s="44" t="n"/>
      <c r="C289" s="46" t="n"/>
      <c r="F289" s="45" t="n"/>
    </row>
    <row r="290">
      <c r="B290" s="44" t="n"/>
      <c r="C290" s="46" t="n"/>
      <c r="F290" s="45" t="n"/>
    </row>
    <row r="291">
      <c r="B291" s="44" t="n"/>
      <c r="C291" s="46" t="n"/>
      <c r="F291" s="45" t="n"/>
    </row>
    <row r="292">
      <c r="B292" s="44" t="n"/>
      <c r="C292" s="46" t="n"/>
      <c r="F292" s="45" t="n"/>
    </row>
    <row r="293">
      <c r="B293" s="44" t="n"/>
      <c r="C293" s="46" t="n"/>
      <c r="F293" s="45" t="n"/>
    </row>
    <row r="294">
      <c r="B294" s="44" t="n"/>
      <c r="C294" s="46" t="n"/>
      <c r="F294" s="45" t="n"/>
    </row>
    <row r="295">
      <c r="B295" s="44" t="n"/>
      <c r="C295" s="46" t="n"/>
      <c r="F295" s="45" t="n"/>
    </row>
    <row r="296">
      <c r="B296" s="44" t="n"/>
      <c r="C296" s="46" t="n"/>
      <c r="F296" s="45" t="n"/>
    </row>
    <row r="297">
      <c r="B297" s="44" t="n"/>
      <c r="C297" s="46" t="n"/>
      <c r="F297" s="45" t="n"/>
    </row>
    <row r="298">
      <c r="B298" s="44" t="n"/>
      <c r="C298" s="46" t="n"/>
      <c r="F298" s="45" t="n"/>
    </row>
    <row r="299">
      <c r="B299" s="44" t="n"/>
      <c r="C299" s="46" t="n"/>
      <c r="F299" s="45" t="n"/>
    </row>
    <row r="300">
      <c r="B300" s="44" t="n"/>
      <c r="C300" s="46" t="n"/>
      <c r="F300" s="45" t="n"/>
    </row>
    <row r="301">
      <c r="B301" s="44" t="n"/>
      <c r="C301" s="46" t="n"/>
      <c r="F301" s="45" t="n"/>
    </row>
    <row r="302">
      <c r="B302" s="44" t="n"/>
      <c r="C302" s="46" t="n"/>
      <c r="F302" s="45" t="n"/>
    </row>
  </sheetData>
  <conditionalFormatting sqref="N22">
    <cfRule type="cellIs" priority="1" operator="lessThan" dxfId="0">
      <formula>0</formula>
    </cfRule>
  </conditionalFormatting>
  <conditionalFormatting sqref="N24">
    <cfRule type="cellIs" priority="2" operator="lessThan" dxfId="0">
      <formula>0</formula>
    </cfRule>
    <cfRule type="cellIs" priority="3" operator="greaterThan" dxfId="1">
      <formula>0</formula>
    </cfRule>
  </conditionalFormatting>
  <conditionalFormatting sqref="N30">
    <cfRule type="expression" priority="4" dxfId="0">
      <formula>AND($N$3&gt;0,N30&lt;0)</formula>
    </cfRule>
    <cfRule type="expression" priority="5" dxfId="1">
      <formula>AND($N$3&gt;0,N30&gt;=0)</formula>
    </cfRule>
  </conditionalFormatting>
  <conditionalFormatting sqref="N32">
    <cfRule type="expression" priority="6" dxfId="0">
      <formula>AND($N$3&gt;0,N32&lt;0)</formula>
    </cfRule>
    <cfRule type="expression" priority="7" dxfId="1">
      <formula>AND($N$3&gt;0,N32&gt;=0)</formula>
    </cfRule>
  </conditionalFormatting>
  <dataValidations count="2">
    <dataValidation sqref="E3:E302" showDropDown="0" showInputMessage="0" showErrorMessage="0" allowBlank="1" type="list">
      <formula1>'選択肢マスター'!$K$2:$K$12</formula1>
    </dataValidation>
    <dataValidation sqref="H3:H302" showDropDown="0" showInputMessage="0" showErrorMessage="0" allowBlank="1" type="list">
      <formula1>'選択肢マスター'!$J$2:$J$3</formula1>
    </dataValidation>
  </dataValidations>
  <pageMargins left="0.75" right="0.75" top="1" bottom="1" header="0.5" footer="0.5"/>
</worksheet>
</file>

<file path=xl/worksheets/sheet16.xml><?xml version="1.0" encoding="utf-8"?>
<worksheet xmlns="http://schemas.openxmlformats.org/spreadsheetml/2006/main">
  <sheetPr>
    <tabColor rgb="00C55A11"/>
    <outlinePr summaryBelow="1" summaryRight="1"/>
    <pageSetUpPr/>
  </sheetPr>
  <dimension ref="A1:R302"/>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8" customWidth="1" min="3" max="3"/>
    <col width="26" customWidth="1" min="4" max="4"/>
    <col width="18" customWidth="1" min="5" max="5"/>
    <col width="12" customWidth="1" min="6" max="6"/>
    <col width="26" customWidth="1" min="7" max="7"/>
    <col width="11" customWidth="1" min="8" max="8"/>
    <col width="26" customWidth="1" min="13" max="13"/>
    <col width="15" customWidth="1" min="14" max="14"/>
    <col width="52" customWidth="1" min="15" max="15"/>
    <col width="20" customWidth="1" min="17" max="17"/>
    <col width="14" customWidth="1" min="18" max="18"/>
  </cols>
  <sheetData>
    <row r="1">
      <c r="A1" s="8" t="inlineStr">
        <is>
          <t>◆ 2月の経費入力。3行目から下へ足していってよい。右の月次P/Lは行が動かないので壊れない</t>
        </is>
      </c>
      <c r="M1" s="11" t="inlineStr">
        <is>
          <t>▼ 月次P/L（この位置は固定。左の経費表を何行足してもずれません）</t>
        </is>
      </c>
    </row>
    <row r="2" ht="30" customHeight="1">
      <c r="A2" s="3" t="inlineStr">
        <is>
          <t>No.</t>
        </is>
      </c>
      <c r="B2" s="3" t="inlineStr">
        <is>
          <t>日付</t>
        </is>
      </c>
      <c r="C2" s="3" t="inlineStr">
        <is>
          <t>時刻</t>
        </is>
      </c>
      <c r="D2" s="3" t="inlineStr">
        <is>
          <t>品目</t>
        </is>
      </c>
      <c r="E2" s="3" t="inlineStr">
        <is>
          <t>科目</t>
        </is>
      </c>
      <c r="F2" s="3" t="inlineStr">
        <is>
          <t>金額</t>
        </is>
      </c>
      <c r="G2" s="3" t="inlineStr">
        <is>
          <t>備考</t>
        </is>
      </c>
      <c r="H2" s="3" t="inlineStr">
        <is>
          <t>現金立替え</t>
        </is>
      </c>
      <c r="M2" s="3" t="inlineStr">
        <is>
          <t>項目</t>
        </is>
      </c>
      <c r="N2" s="3" t="inlineStr">
        <is>
          <t>金額</t>
        </is>
      </c>
      <c r="O2" s="3" t="inlineStr">
        <is>
          <t>計算の中身</t>
        </is>
      </c>
      <c r="Q2" s="11" t="inlineStr">
        <is>
          <t>▼ 科目別 集計</t>
        </is>
      </c>
    </row>
    <row r="3" ht="30" customHeight="1">
      <c r="B3" s="44" t="n"/>
      <c r="C3" s="46" t="n"/>
      <c r="F3" s="45" t="n"/>
      <c r="M3" s="47" t="inlineStr">
        <is>
          <t>売上</t>
        </is>
      </c>
      <c r="N3" s="48">
        <f>'2月_売上顧客'!$L$4</f>
        <v/>
      </c>
      <c r="O3" s="2" t="inlineStr">
        <is>
          <t>2月_売上顧客 の合計売上</t>
        </is>
      </c>
      <c r="Q3" s="3" t="inlineStr">
        <is>
          <t>科目</t>
        </is>
      </c>
      <c r="R3" s="3" t="inlineStr">
        <is>
          <t>金額</t>
        </is>
      </c>
    </row>
    <row r="4">
      <c r="B4" s="44" t="n"/>
      <c r="C4" s="46" t="n"/>
      <c r="F4" s="45" t="n"/>
      <c r="M4" s="49" t="inlineStr">
        <is>
          <t>エアコン台数(参考)</t>
        </is>
      </c>
      <c r="N4" s="50">
        <f>COUNTIFS('2月_売上顧客'!$M$5:$M$504,"エアコン(ノーマル)")+COUNTIFS('2月_売上顧客'!$M$5:$M$504,"エアコン(ロボ)")+COUNTIFS('2月_売上顧客'!$M$5:$M$504,"天カセ")+COUNTIFS('2月_売上顧客'!$M$5:$M$504,"業務用エアコン1方向")</f>
        <v/>
      </c>
      <c r="O4" s="2" t="inlineStr">
        <is>
          <t>エアコン(ノーマル/ロボ)・天カセ・業務用1方向</t>
        </is>
      </c>
      <c r="Q4" s="51" t="inlineStr">
        <is>
          <t>交通費</t>
        </is>
      </c>
      <c r="R4" s="52">
        <f>SUMIFS($F$3:$F$302,$E$3:$E$302,"交通費")</f>
        <v/>
      </c>
    </row>
    <row r="5">
      <c r="B5" s="44" t="n"/>
      <c r="C5" s="46" t="n"/>
      <c r="F5" s="45" t="n"/>
      <c r="M5" s="49" t="inlineStr">
        <is>
          <t>換気扇台数(参考)</t>
        </is>
      </c>
      <c r="N5" s="50">
        <f>COUNTIFS('2月_売上顧客'!$M$5:$M$504,"換気扇")</f>
        <v/>
      </c>
      <c r="O5" s="2" t="inlineStr">
        <is>
          <t>実施メニュー＝換気扇</t>
        </is>
      </c>
      <c r="Q5" s="51" t="inlineStr">
        <is>
          <t>保険料</t>
        </is>
      </c>
      <c r="R5" s="52">
        <f>SUMIFS($F$3:$F$302,$E$3:$E$302,"保険料")</f>
        <v/>
      </c>
    </row>
    <row r="6">
      <c r="B6" s="44" t="n"/>
      <c r="C6" s="46" t="n"/>
      <c r="F6" s="45" t="n"/>
      <c r="M6" s="49" t="inlineStr">
        <is>
          <t>浴室台数(参考)</t>
        </is>
      </c>
      <c r="N6" s="50">
        <f>COUNTIFS('2月_売上顧客'!$M$5:$M$504,"浴室")</f>
        <v/>
      </c>
      <c r="O6" s="2" t="inlineStr">
        <is>
          <t>実施メニュー＝浴室</t>
        </is>
      </c>
      <c r="Q6" s="51" t="inlineStr">
        <is>
          <t>通信費</t>
        </is>
      </c>
      <c r="R6" s="52">
        <f>SUMIFS($F$3:$F$302,$E$3:$E$302,"通信費")</f>
        <v/>
      </c>
    </row>
    <row r="7">
      <c r="B7" s="44" t="n"/>
      <c r="C7" s="46" t="n"/>
      <c r="F7" s="45" t="n"/>
      <c r="M7" s="49" t="inlineStr">
        <is>
          <t>資材費</t>
        </is>
      </c>
      <c r="N7" s="53">
        <f>N4*373+N5*176+N6*149</f>
        <v/>
      </c>
      <c r="O7" s="2" t="inlineStr">
        <is>
          <t>エアコン373 + 換気扇176 + 浴室149</t>
        </is>
      </c>
      <c r="Q7" s="51" t="inlineStr">
        <is>
          <t>広告費</t>
        </is>
      </c>
      <c r="R7" s="52">
        <f>SUMIFS($F$3:$F$302,$E$3:$E$302,"広告費")</f>
        <v/>
      </c>
    </row>
    <row r="8">
      <c r="B8" s="44" t="n"/>
      <c r="C8" s="46" t="n"/>
      <c r="F8" s="45" t="n"/>
      <c r="M8" s="49" t="inlineStr">
        <is>
          <t>外注費（協力業者）</t>
        </is>
      </c>
      <c r="N8" s="53">
        <f>SUMIFS($F$3:$F$302,$E$3:$E$302,"外注費")</f>
        <v/>
      </c>
      <c r="O8" s="2" t="inlineStr">
        <is>
          <t>経費表の科目＝外注費。★2027年から原価として独立</t>
        </is>
      </c>
      <c r="Q8" s="51" t="inlineStr">
        <is>
          <t>耐久品</t>
        </is>
      </c>
      <c r="R8" s="52">
        <f>SUMIFS($F$3:$F$302,$E$3:$E$302,"耐久品")</f>
        <v/>
      </c>
    </row>
    <row r="9">
      <c r="B9" s="44" t="n"/>
      <c r="C9" s="46" t="n"/>
      <c r="F9" s="45" t="n"/>
      <c r="M9" s="49" t="inlineStr">
        <is>
          <t>現場人件費（原価）</t>
        </is>
      </c>
      <c r="N9" s="53">
        <f>SUMIFS($F$3:$F$302,$E$3:$E$302,"現場人件費(原価)")</f>
        <v/>
      </c>
      <c r="O9" s="2" t="inlineStr">
        <is>
          <t>経費表の科目＝現場人件費(原価)</t>
        </is>
      </c>
      <c r="Q9" s="51" t="inlineStr">
        <is>
          <t>備品</t>
        </is>
      </c>
      <c r="R9" s="52">
        <f>SUMIFS($F$3:$F$302,$E$3:$E$302,"備品")</f>
        <v/>
      </c>
    </row>
    <row r="10">
      <c r="B10" s="44" t="n"/>
      <c r="C10" s="46" t="n"/>
      <c r="F10" s="45" t="n"/>
      <c r="M10" s="47" t="inlineStr">
        <is>
          <t>原価合計</t>
        </is>
      </c>
      <c r="N10" s="48">
        <f>N7+N8+N9</f>
        <v/>
      </c>
      <c r="O10" s="2" t="inlineStr">
        <is>
          <t>資材費＋外注費＋現場人件費</t>
        </is>
      </c>
      <c r="Q10" s="51" t="inlineStr">
        <is>
          <t>個別ロイ</t>
        </is>
      </c>
      <c r="R10" s="52">
        <f>SUMIFS($F$3:$F$302,$E$3:$E$302,"個別ロイ")</f>
        <v/>
      </c>
    </row>
    <row r="11">
      <c r="B11" s="44" t="n"/>
      <c r="C11" s="46" t="n"/>
      <c r="F11" s="45" t="n"/>
      <c r="M11" s="47" t="inlineStr">
        <is>
          <t>売上総利益</t>
        </is>
      </c>
      <c r="N11" s="48">
        <f>N3-N10</f>
        <v/>
      </c>
      <c r="O11" s="2" t="inlineStr">
        <is>
          <t>売上 − 原価合計</t>
        </is>
      </c>
      <c r="Q11" s="51" t="inlineStr">
        <is>
          <t>現場人件費(原価)</t>
        </is>
      </c>
      <c r="R11" s="52">
        <f>SUMIFS($F$3:$F$302,$E$3:$E$302,"現場人件費(原価)")</f>
        <v/>
      </c>
    </row>
    <row r="12">
      <c r="B12" s="44" t="n"/>
      <c r="C12" s="46" t="n"/>
      <c r="F12" s="45" t="n"/>
      <c r="Q12" s="51" t="inlineStr">
        <is>
          <t>固定給(販管費)</t>
        </is>
      </c>
      <c r="R12" s="52">
        <f>SUMIFS($F$3:$F$302,$E$3:$E$302,"固定給(販管費)")</f>
        <v/>
      </c>
    </row>
    <row r="13">
      <c r="B13" s="44" t="n"/>
      <c r="C13" s="46" t="n"/>
      <c r="F13" s="45" t="n"/>
      <c r="M13" s="49" t="inlineStr">
        <is>
          <t>経費合計（左の表）</t>
        </is>
      </c>
      <c r="N13" s="53">
        <f>SUM($F$3:$F$302)</f>
        <v/>
      </c>
      <c r="O13" s="2" t="inlineStr">
        <is>
          <t>左の経費入力表の金額合計</t>
        </is>
      </c>
      <c r="Q13" s="51" t="inlineStr">
        <is>
          <t>外注費</t>
        </is>
      </c>
      <c r="R13" s="52">
        <f>SUMIFS($F$3:$F$302,$E$3:$E$302,"外注費")</f>
        <v/>
      </c>
    </row>
    <row r="14">
      <c r="B14" s="44" t="n"/>
      <c r="C14" s="46" t="n"/>
      <c r="F14" s="45" t="n"/>
      <c r="M14" s="49" t="inlineStr">
        <is>
          <t>− 原価へ回した分</t>
        </is>
      </c>
      <c r="N14" s="53">
        <f>-(N8+N9)</f>
        <v/>
      </c>
      <c r="O14" s="2" t="inlineStr">
        <is>
          <t>外注費・現場人件費は原価で数えたので戻す</t>
        </is>
      </c>
      <c r="Q14" s="51" t="inlineStr">
        <is>
          <t>その他(備考へ)</t>
        </is>
      </c>
      <c r="R14" s="52">
        <f>SUMIFS($F$3:$F$302,$E$3:$E$302,"その他(備考へ)")</f>
        <v/>
      </c>
    </row>
    <row r="15">
      <c r="B15" s="44" t="n"/>
      <c r="C15" s="46" t="n"/>
      <c r="F15" s="45" t="n"/>
      <c r="M15" s="49" t="inlineStr">
        <is>
          <t>− 個別ロイ（下で計上）</t>
        </is>
      </c>
      <c r="N15" s="53">
        <f>-SUMIFS($F$3:$F$302,$E$3:$E$302,"個別ロイ")</f>
        <v/>
      </c>
      <c r="O15" s="2" t="inlineStr">
        <is>
          <t>★二重計上を防ぐため、ここで一度引く</t>
        </is>
      </c>
      <c r="Q15" s="13" t="inlineStr">
        <is>
          <t>合計</t>
        </is>
      </c>
      <c r="R15" s="54">
        <f>SUM(R4:R14)</f>
        <v/>
      </c>
    </row>
    <row r="16">
      <c r="B16" s="44" t="n"/>
      <c r="C16" s="46" t="n"/>
      <c r="F16" s="45" t="n"/>
      <c r="M16" s="49" t="inlineStr">
        <is>
          <t>ロイヤリティ 固定分</t>
        </is>
      </c>
      <c r="N16" s="53">
        <f>IF($N$3+$N$13=0,0,50050)</f>
        <v/>
      </c>
      <c r="O16" s="2" t="inlineStr">
        <is>
          <t>★50,050円。左の経費表には入力しないこと（まだ動いていない月は0）</t>
        </is>
      </c>
    </row>
    <row r="17">
      <c r="B17" s="44" t="n"/>
      <c r="C17" s="46" t="n"/>
      <c r="F17" s="45" t="n"/>
      <c r="M17" s="49" t="inlineStr">
        <is>
          <t>ロイヤリティ 38%分</t>
        </is>
      </c>
      <c r="N17" s="53">
        <f>SUMIFS('2月_売上顧客'!$L$5:$L$504,'2月_売上顧客'!$V$5:$V$504,"38%")*0.38</f>
        <v/>
      </c>
      <c r="O17" s="2" t="inlineStr">
        <is>
          <t>本舗ロイ区分＝38% の売上 × 38%</t>
        </is>
      </c>
    </row>
    <row r="18">
      <c r="B18" s="44" t="n"/>
      <c r="C18" s="46" t="n"/>
      <c r="F18" s="45" t="n"/>
      <c r="M18" s="49" t="inlineStr">
        <is>
          <t>ロイヤリティ 10%分</t>
        </is>
      </c>
      <c r="N18" s="53">
        <f>SUMIFS('2月_売上顧客'!$L$5:$L$504,'2月_売上顧客'!$V$5:$V$504,"10%")*0.1</f>
        <v/>
      </c>
      <c r="O18" s="2" t="inlineStr">
        <is>
          <t>本舗ロイ区分＝10% の売上 × 10%</t>
        </is>
      </c>
    </row>
    <row r="19">
      <c r="B19" s="44" t="n"/>
      <c r="C19" s="46" t="n"/>
      <c r="F19" s="45" t="n"/>
      <c r="M19" s="49" t="inlineStr">
        <is>
          <t>ロイヤリティ 個別実額</t>
        </is>
      </c>
      <c r="N19" s="53">
        <f>SUMIFS($F$3:$F$302,$E$3:$E$302,"個別ロイ")</f>
        <v/>
      </c>
      <c r="O19" s="2" t="inlineStr">
        <is>
          <t>経費表の科目＝個別ロイ（toB・楽ラクーン等）</t>
        </is>
      </c>
    </row>
    <row r="20">
      <c r="B20" s="44" t="n"/>
      <c r="C20" s="46" t="n"/>
      <c r="F20" s="45" t="n"/>
      <c r="M20" s="47" t="inlineStr">
        <is>
          <t>ロイヤリティ 合計</t>
        </is>
      </c>
      <c r="N20" s="48">
        <f>N16+N17+N18+N19</f>
        <v/>
      </c>
      <c r="O20" s="2" t="inlineStr">
        <is>
          <t>固定＋38%＋10%＋個別</t>
        </is>
      </c>
    </row>
    <row r="21">
      <c r="B21" s="44" t="n"/>
      <c r="C21" s="46" t="n"/>
      <c r="F21" s="45" t="n"/>
      <c r="M21" s="47" t="inlineStr">
        <is>
          <t>販売管理費</t>
        </is>
      </c>
      <c r="N21" s="48">
        <f>N13+N14+N15+N20</f>
        <v/>
      </c>
      <c r="O21" s="2" t="inlineStr">
        <is>
          <t>経費合計 − 原価分 − 個別ロイ ＋ ロイヤリティ合計</t>
        </is>
      </c>
    </row>
    <row r="22">
      <c r="B22" s="44" t="n"/>
      <c r="C22" s="46" t="n"/>
      <c r="F22" s="45" t="n"/>
      <c r="M22" s="47" t="inlineStr">
        <is>
          <t>営業利益</t>
        </is>
      </c>
      <c r="N22" s="48">
        <f>N11-N21</f>
        <v/>
      </c>
      <c r="O22" s="2" t="inlineStr">
        <is>
          <t>売上総利益 − 販売管理費</t>
        </is>
      </c>
    </row>
    <row r="23">
      <c r="B23" s="44" t="n"/>
      <c r="C23" s="46" t="n"/>
      <c r="F23" s="45" t="n"/>
      <c r="M23" s="49" t="inlineStr">
        <is>
          <t>融資返済</t>
        </is>
      </c>
      <c r="N23" s="53">
        <f>IF($N$3+$N$13=0,0,38059)</f>
        <v/>
      </c>
      <c r="O23" s="2" t="inlineStr">
        <is>
          <t>固定 38,059円（まだ動いていない月は0）</t>
        </is>
      </c>
    </row>
    <row r="24">
      <c r="B24" s="44" t="n"/>
      <c r="C24" s="46" t="n"/>
      <c r="F24" s="45" t="n"/>
      <c r="M24" s="47" t="inlineStr">
        <is>
          <t>経常利益</t>
        </is>
      </c>
      <c r="N24" s="48">
        <f>N22-N23</f>
        <v/>
      </c>
      <c r="O24" s="2" t="inlineStr">
        <is>
          <t>営業利益 − 融資返済</t>
        </is>
      </c>
    </row>
    <row r="25">
      <c r="B25" s="44" t="n"/>
      <c r="C25" s="46" t="n"/>
      <c r="F25" s="45" t="n"/>
    </row>
    <row r="26">
      <c r="B26" s="44" t="n"/>
      <c r="C26" s="46" t="n"/>
      <c r="F26" s="45" t="n"/>
      <c r="M26" s="49" t="inlineStr">
        <is>
          <t>経常利益率</t>
        </is>
      </c>
      <c r="N26" s="55">
        <f>IFERROR(N24/N3,0)</f>
        <v/>
      </c>
      <c r="O26" s="2" t="inlineStr">
        <is>
          <t>経常利益 ÷ 売上</t>
        </is>
      </c>
    </row>
    <row r="27">
      <c r="B27" s="44" t="n"/>
      <c r="C27" s="46" t="n"/>
      <c r="F27" s="45" t="n"/>
    </row>
    <row r="28">
      <c r="B28" s="44" t="n"/>
      <c r="C28" s="46" t="n"/>
      <c r="F28" s="45" t="n"/>
      <c r="M28" s="11" t="inlineStr">
        <is>
          <t>▼ 計画（中立）との比較</t>
        </is>
      </c>
    </row>
    <row r="29">
      <c r="B29" s="44" t="n"/>
      <c r="C29" s="46" t="n"/>
      <c r="F29" s="45" t="n"/>
      <c r="M29" s="51" t="inlineStr">
        <is>
          <t>計画 売上</t>
        </is>
      </c>
      <c r="N29" s="45" t="n">
        <v>1280000</v>
      </c>
      <c r="O29" s="2" t="inlineStr"/>
    </row>
    <row r="30">
      <c r="B30" s="44" t="n"/>
      <c r="C30" s="46" t="n"/>
      <c r="F30" s="45" t="n"/>
      <c r="M30" s="51" t="inlineStr">
        <is>
          <t>実績 − 計画（売上）</t>
        </is>
      </c>
      <c r="N30" s="45">
        <f>N3-N29</f>
        <v/>
      </c>
      <c r="O30" s="2" t="inlineStr">
        <is>
          <t>マイナスなら赤</t>
        </is>
      </c>
    </row>
    <row r="31">
      <c r="B31" s="44" t="n"/>
      <c r="C31" s="46" t="n"/>
      <c r="F31" s="45" t="n"/>
      <c r="M31" s="51" t="inlineStr">
        <is>
          <t>計画 経常利益</t>
        </is>
      </c>
      <c r="N31" s="45" t="n">
        <v>-6745</v>
      </c>
      <c r="O31" s="2" t="inlineStr"/>
    </row>
    <row r="32">
      <c r="B32" s="44" t="n"/>
      <c r="C32" s="46" t="n"/>
      <c r="F32" s="45" t="n"/>
      <c r="M32" s="51" t="inlineStr">
        <is>
          <t>実績 − 計画（経常）</t>
        </is>
      </c>
      <c r="N32" s="45">
        <f>N24-N31</f>
        <v/>
      </c>
      <c r="O32" s="2" t="inlineStr">
        <is>
          <t>マイナスなら赤</t>
        </is>
      </c>
    </row>
    <row r="33">
      <c r="B33" s="44" t="n"/>
      <c r="C33" s="46" t="n"/>
      <c r="F33" s="45" t="n"/>
      <c r="M33" s="51" t="inlineStr">
        <is>
          <t>計画 件数</t>
        </is>
      </c>
      <c r="N33" s="56" t="n">
        <v>32</v>
      </c>
      <c r="O33" s="2" t="inlineStr"/>
    </row>
    <row r="34">
      <c r="B34" s="44" t="n"/>
      <c r="C34" s="46" t="n"/>
      <c r="F34" s="45" t="n"/>
      <c r="M34" s="51" t="inlineStr">
        <is>
          <t>実績 件数</t>
        </is>
      </c>
      <c r="N34" s="56">
        <f>'2月_売上顧客'!$E$4</f>
        <v/>
      </c>
      <c r="O34" s="2" t="inlineStr"/>
    </row>
    <row r="35">
      <c r="B35" s="44" t="n"/>
      <c r="C35" s="46" t="n"/>
      <c r="F35" s="45" t="n"/>
    </row>
    <row r="36">
      <c r="B36" s="44" t="n"/>
      <c r="C36" s="46" t="n"/>
      <c r="F36" s="45" t="n"/>
      <c r="M36" s="8" t="inlineStr">
        <is>
          <t>【ロイヤリティはこのP/Lだけで数えます】</t>
        </is>
      </c>
    </row>
    <row r="37">
      <c r="B37" s="44" t="n"/>
      <c r="C37" s="46" t="n"/>
      <c r="F37" s="45" t="n"/>
      <c r="M37" s="2" t="inlineStr">
        <is>
          <t xml:space="preserve">  ・固定分 50,050円は左の経費表に入力しないこと（2026年版はここが二重計上の疑いだった）</t>
        </is>
      </c>
    </row>
    <row r="38">
      <c r="B38" s="44" t="n"/>
      <c r="C38" s="46" t="n"/>
      <c r="F38" s="45" t="n"/>
      <c r="M38" s="2" t="inlineStr">
        <is>
          <t xml:space="preserve">  ・個別ロイは左の経費表に科目「個別ロイ」で入力する。P/Lは15行目で引いて19行目で足すので、数えるのは1回だけ</t>
        </is>
      </c>
    </row>
    <row r="39">
      <c r="B39" s="44" t="n"/>
      <c r="C39" s="46" t="n"/>
      <c r="F39" s="45" t="n"/>
      <c r="M39" s="8" t="inlineStr">
        <is>
          <t>【人件費は2つに分けます】</t>
        </is>
      </c>
    </row>
    <row r="40">
      <c r="B40" s="44" t="n"/>
      <c r="C40" s="46" t="n"/>
      <c r="F40" s="45" t="n"/>
      <c r="M40" s="2" t="inlineStr">
        <is>
          <t xml:space="preserve">  ・現場人件費(原価) … 現場に出た分。原価に入る</t>
        </is>
      </c>
    </row>
    <row r="41">
      <c r="B41" s="44" t="n"/>
      <c r="C41" s="46" t="n"/>
      <c r="F41" s="45" t="n"/>
      <c r="M41" s="2" t="inlineStr">
        <is>
          <t xml:space="preserve">  ・固定給(販管費) … 和真さんの固定給40万＋プール10万、新人の給与。販管費に入る</t>
        </is>
      </c>
    </row>
    <row r="42">
      <c r="B42" s="44" t="n"/>
      <c r="C42" s="46" t="n"/>
      <c r="F42" s="45" t="n"/>
      <c r="M42" s="2" t="inlineStr">
        <is>
          <t xml:space="preserve">  ・歩合（経常利益×45%）の行は2027年から使いません</t>
        </is>
      </c>
    </row>
    <row r="43">
      <c r="B43" s="44" t="n"/>
      <c r="C43" s="46" t="n"/>
      <c r="F43" s="45" t="n"/>
      <c r="M43" s="8" t="inlineStr">
        <is>
          <t>【保険料・通信費は「その他」に入れないこと】</t>
        </is>
      </c>
    </row>
    <row r="44">
      <c r="B44" s="44" t="n"/>
      <c r="C44" s="46" t="n"/>
      <c r="F44" s="45" t="n"/>
      <c r="M44" s="2" t="inlineStr">
        <is>
          <t xml:space="preserve">  ・賠償保険 43,760／通信費 8,470／日新火災 18,050 ＝ 月70,280円。科目を独立させました</t>
        </is>
      </c>
    </row>
    <row r="45">
      <c r="B45" s="44" t="n"/>
      <c r="C45" s="46" t="n"/>
      <c r="F45" s="45" t="n"/>
    </row>
    <row r="46">
      <c r="B46" s="44" t="n"/>
      <c r="C46" s="46" t="n"/>
      <c r="F46" s="45" t="n"/>
    </row>
    <row r="47">
      <c r="B47" s="44" t="n"/>
      <c r="C47" s="46" t="n"/>
      <c r="F47" s="45" t="n"/>
    </row>
    <row r="48">
      <c r="B48" s="44" t="n"/>
      <c r="C48" s="46" t="n"/>
      <c r="F48" s="45" t="n"/>
    </row>
    <row r="49">
      <c r="B49" s="44" t="n"/>
      <c r="C49" s="46" t="n"/>
      <c r="F49" s="45" t="n"/>
    </row>
    <row r="50">
      <c r="B50" s="44" t="n"/>
      <c r="C50" s="46" t="n"/>
      <c r="F50" s="45" t="n"/>
    </row>
    <row r="51">
      <c r="B51" s="44" t="n"/>
      <c r="C51" s="46" t="n"/>
      <c r="F51" s="45" t="n"/>
    </row>
    <row r="52">
      <c r="B52" s="44" t="n"/>
      <c r="C52" s="46" t="n"/>
      <c r="F52" s="45" t="n"/>
    </row>
    <row r="53">
      <c r="B53" s="44" t="n"/>
      <c r="C53" s="46" t="n"/>
      <c r="F53" s="45" t="n"/>
    </row>
    <row r="54">
      <c r="B54" s="44" t="n"/>
      <c r="C54" s="46" t="n"/>
      <c r="F54" s="45" t="n"/>
    </row>
    <row r="55">
      <c r="B55" s="44" t="n"/>
      <c r="C55" s="46" t="n"/>
      <c r="F55" s="45" t="n"/>
    </row>
    <row r="56">
      <c r="B56" s="44" t="n"/>
      <c r="C56" s="46" t="n"/>
      <c r="F56" s="45" t="n"/>
    </row>
    <row r="57">
      <c r="B57" s="44" t="n"/>
      <c r="C57" s="46" t="n"/>
      <c r="F57" s="45" t="n"/>
    </row>
    <row r="58">
      <c r="B58" s="44" t="n"/>
      <c r="C58" s="46" t="n"/>
      <c r="F58" s="45" t="n"/>
    </row>
    <row r="59">
      <c r="B59" s="44" t="n"/>
      <c r="C59" s="46" t="n"/>
      <c r="F59" s="45" t="n"/>
    </row>
    <row r="60">
      <c r="B60" s="44" t="n"/>
      <c r="C60" s="46" t="n"/>
      <c r="F60" s="45" t="n"/>
    </row>
    <row r="61">
      <c r="B61" s="44" t="n"/>
      <c r="C61" s="46" t="n"/>
      <c r="F61" s="45" t="n"/>
    </row>
    <row r="62">
      <c r="B62" s="44" t="n"/>
      <c r="C62" s="46" t="n"/>
      <c r="F62" s="45" t="n"/>
    </row>
    <row r="63">
      <c r="B63" s="44" t="n"/>
      <c r="C63" s="46" t="n"/>
      <c r="F63" s="45" t="n"/>
    </row>
    <row r="64">
      <c r="B64" s="44" t="n"/>
      <c r="C64" s="46" t="n"/>
      <c r="F64" s="45" t="n"/>
    </row>
    <row r="65">
      <c r="B65" s="44" t="n"/>
      <c r="C65" s="46" t="n"/>
      <c r="F65" s="45" t="n"/>
    </row>
    <row r="66">
      <c r="B66" s="44" t="n"/>
      <c r="C66" s="46" t="n"/>
      <c r="F66" s="45" t="n"/>
    </row>
    <row r="67">
      <c r="B67" s="44" t="n"/>
      <c r="C67" s="46" t="n"/>
      <c r="F67" s="45" t="n"/>
    </row>
    <row r="68">
      <c r="B68" s="44" t="n"/>
      <c r="C68" s="46" t="n"/>
      <c r="F68" s="45" t="n"/>
    </row>
    <row r="69">
      <c r="B69" s="44" t="n"/>
      <c r="C69" s="46" t="n"/>
      <c r="F69" s="45" t="n"/>
    </row>
    <row r="70">
      <c r="B70" s="44" t="n"/>
      <c r="C70" s="46" t="n"/>
      <c r="F70" s="45" t="n"/>
    </row>
    <row r="71">
      <c r="B71" s="44" t="n"/>
      <c r="C71" s="46" t="n"/>
      <c r="F71" s="45" t="n"/>
    </row>
    <row r="72">
      <c r="B72" s="44" t="n"/>
      <c r="C72" s="46" t="n"/>
      <c r="F72" s="45" t="n"/>
    </row>
    <row r="73">
      <c r="B73" s="44" t="n"/>
      <c r="C73" s="46" t="n"/>
      <c r="F73" s="45" t="n"/>
    </row>
    <row r="74">
      <c r="B74" s="44" t="n"/>
      <c r="C74" s="46" t="n"/>
      <c r="F74" s="45" t="n"/>
    </row>
    <row r="75">
      <c r="B75" s="44" t="n"/>
      <c r="C75" s="46" t="n"/>
      <c r="F75" s="45" t="n"/>
    </row>
    <row r="76">
      <c r="B76" s="44" t="n"/>
      <c r="C76" s="46" t="n"/>
      <c r="F76" s="45" t="n"/>
    </row>
    <row r="77">
      <c r="B77" s="44" t="n"/>
      <c r="C77" s="46" t="n"/>
      <c r="F77" s="45" t="n"/>
    </row>
    <row r="78">
      <c r="B78" s="44" t="n"/>
      <c r="C78" s="46" t="n"/>
      <c r="F78" s="45" t="n"/>
    </row>
    <row r="79">
      <c r="B79" s="44" t="n"/>
      <c r="C79" s="46" t="n"/>
      <c r="F79" s="45" t="n"/>
    </row>
    <row r="80">
      <c r="B80" s="44" t="n"/>
      <c r="C80" s="46" t="n"/>
      <c r="F80" s="45" t="n"/>
    </row>
    <row r="81">
      <c r="B81" s="44" t="n"/>
      <c r="C81" s="46" t="n"/>
      <c r="F81" s="45" t="n"/>
    </row>
    <row r="82">
      <c r="B82" s="44" t="n"/>
      <c r="C82" s="46" t="n"/>
      <c r="F82" s="45" t="n"/>
    </row>
    <row r="83">
      <c r="B83" s="44" t="n"/>
      <c r="C83" s="46" t="n"/>
      <c r="F83" s="45" t="n"/>
    </row>
    <row r="84">
      <c r="B84" s="44" t="n"/>
      <c r="C84" s="46" t="n"/>
      <c r="F84" s="45" t="n"/>
    </row>
    <row r="85">
      <c r="B85" s="44" t="n"/>
      <c r="C85" s="46" t="n"/>
      <c r="F85" s="45" t="n"/>
    </row>
    <row r="86">
      <c r="B86" s="44" t="n"/>
      <c r="C86" s="46" t="n"/>
      <c r="F86" s="45" t="n"/>
    </row>
    <row r="87">
      <c r="B87" s="44" t="n"/>
      <c r="C87" s="46" t="n"/>
      <c r="F87" s="45" t="n"/>
    </row>
    <row r="88">
      <c r="B88" s="44" t="n"/>
      <c r="C88" s="46" t="n"/>
      <c r="F88" s="45" t="n"/>
    </row>
    <row r="89">
      <c r="B89" s="44" t="n"/>
      <c r="C89" s="46" t="n"/>
      <c r="F89" s="45" t="n"/>
    </row>
    <row r="90">
      <c r="B90" s="44" t="n"/>
      <c r="C90" s="46" t="n"/>
      <c r="F90" s="45" t="n"/>
    </row>
    <row r="91">
      <c r="B91" s="44" t="n"/>
      <c r="C91" s="46" t="n"/>
      <c r="F91" s="45" t="n"/>
    </row>
    <row r="92">
      <c r="B92" s="44" t="n"/>
      <c r="C92" s="46" t="n"/>
      <c r="F92" s="45" t="n"/>
    </row>
    <row r="93">
      <c r="B93" s="44" t="n"/>
      <c r="C93" s="46" t="n"/>
      <c r="F93" s="45" t="n"/>
    </row>
    <row r="94">
      <c r="B94" s="44" t="n"/>
      <c r="C94" s="46" t="n"/>
      <c r="F94" s="45" t="n"/>
    </row>
    <row r="95">
      <c r="B95" s="44" t="n"/>
      <c r="C95" s="46" t="n"/>
      <c r="F95" s="45" t="n"/>
    </row>
    <row r="96">
      <c r="B96" s="44" t="n"/>
      <c r="C96" s="46" t="n"/>
      <c r="F96" s="45" t="n"/>
    </row>
    <row r="97">
      <c r="B97" s="44" t="n"/>
      <c r="C97" s="46" t="n"/>
      <c r="F97" s="45" t="n"/>
    </row>
    <row r="98">
      <c r="B98" s="44" t="n"/>
      <c r="C98" s="46" t="n"/>
      <c r="F98" s="45" t="n"/>
    </row>
    <row r="99">
      <c r="B99" s="44" t="n"/>
      <c r="C99" s="46" t="n"/>
      <c r="F99" s="45" t="n"/>
    </row>
    <row r="100">
      <c r="B100" s="44" t="n"/>
      <c r="C100" s="46" t="n"/>
      <c r="F100" s="45" t="n"/>
    </row>
    <row r="101">
      <c r="B101" s="44" t="n"/>
      <c r="C101" s="46" t="n"/>
      <c r="F101" s="45" t="n"/>
    </row>
    <row r="102">
      <c r="B102" s="44" t="n"/>
      <c r="C102" s="46" t="n"/>
      <c r="F102" s="45" t="n"/>
    </row>
    <row r="103">
      <c r="B103" s="44" t="n"/>
      <c r="C103" s="46" t="n"/>
      <c r="F103" s="45" t="n"/>
    </row>
    <row r="104">
      <c r="B104" s="44" t="n"/>
      <c r="C104" s="46" t="n"/>
      <c r="F104" s="45" t="n"/>
    </row>
    <row r="105">
      <c r="B105" s="44" t="n"/>
      <c r="C105" s="46" t="n"/>
      <c r="F105" s="45" t="n"/>
    </row>
    <row r="106">
      <c r="B106" s="44" t="n"/>
      <c r="C106" s="46" t="n"/>
      <c r="F106" s="45" t="n"/>
    </row>
    <row r="107">
      <c r="B107" s="44" t="n"/>
      <c r="C107" s="46" t="n"/>
      <c r="F107" s="45" t="n"/>
    </row>
    <row r="108">
      <c r="B108" s="44" t="n"/>
      <c r="C108" s="46" t="n"/>
      <c r="F108" s="45" t="n"/>
    </row>
    <row r="109">
      <c r="B109" s="44" t="n"/>
      <c r="C109" s="46" t="n"/>
      <c r="F109" s="45" t="n"/>
    </row>
    <row r="110">
      <c r="B110" s="44" t="n"/>
      <c r="C110" s="46" t="n"/>
      <c r="F110" s="45" t="n"/>
    </row>
    <row r="111">
      <c r="B111" s="44" t="n"/>
      <c r="C111" s="46" t="n"/>
      <c r="F111" s="45" t="n"/>
    </row>
    <row r="112">
      <c r="B112" s="44" t="n"/>
      <c r="C112" s="46" t="n"/>
      <c r="F112" s="45" t="n"/>
    </row>
    <row r="113">
      <c r="B113" s="44" t="n"/>
      <c r="C113" s="46" t="n"/>
      <c r="F113" s="45" t="n"/>
    </row>
    <row r="114">
      <c r="B114" s="44" t="n"/>
      <c r="C114" s="46" t="n"/>
      <c r="F114" s="45" t="n"/>
    </row>
    <row r="115">
      <c r="B115" s="44" t="n"/>
      <c r="C115" s="46" t="n"/>
      <c r="F115" s="45" t="n"/>
    </row>
    <row r="116">
      <c r="B116" s="44" t="n"/>
      <c r="C116" s="46" t="n"/>
      <c r="F116" s="45" t="n"/>
    </row>
    <row r="117">
      <c r="B117" s="44" t="n"/>
      <c r="C117" s="46" t="n"/>
      <c r="F117" s="45" t="n"/>
    </row>
    <row r="118">
      <c r="B118" s="44" t="n"/>
      <c r="C118" s="46" t="n"/>
      <c r="F118" s="45" t="n"/>
    </row>
    <row r="119">
      <c r="B119" s="44" t="n"/>
      <c r="C119" s="46" t="n"/>
      <c r="F119" s="45" t="n"/>
    </row>
    <row r="120">
      <c r="B120" s="44" t="n"/>
      <c r="C120" s="46" t="n"/>
      <c r="F120" s="45" t="n"/>
    </row>
    <row r="121">
      <c r="B121" s="44" t="n"/>
      <c r="C121" s="46" t="n"/>
      <c r="F121" s="45" t="n"/>
    </row>
    <row r="122">
      <c r="B122" s="44" t="n"/>
      <c r="C122" s="46" t="n"/>
      <c r="F122" s="45" t="n"/>
    </row>
    <row r="123">
      <c r="B123" s="44" t="n"/>
      <c r="C123" s="46" t="n"/>
      <c r="F123" s="45" t="n"/>
    </row>
    <row r="124">
      <c r="B124" s="44" t="n"/>
      <c r="C124" s="46" t="n"/>
      <c r="F124" s="45" t="n"/>
    </row>
    <row r="125">
      <c r="B125" s="44" t="n"/>
      <c r="C125" s="46" t="n"/>
      <c r="F125" s="45" t="n"/>
    </row>
    <row r="126">
      <c r="B126" s="44" t="n"/>
      <c r="C126" s="46" t="n"/>
      <c r="F126" s="45" t="n"/>
    </row>
    <row r="127">
      <c r="B127" s="44" t="n"/>
      <c r="C127" s="46" t="n"/>
      <c r="F127" s="45" t="n"/>
    </row>
    <row r="128">
      <c r="B128" s="44" t="n"/>
      <c r="C128" s="46" t="n"/>
      <c r="F128" s="45" t="n"/>
    </row>
    <row r="129">
      <c r="B129" s="44" t="n"/>
      <c r="C129" s="46" t="n"/>
      <c r="F129" s="45" t="n"/>
    </row>
    <row r="130">
      <c r="B130" s="44" t="n"/>
      <c r="C130" s="46" t="n"/>
      <c r="F130" s="45" t="n"/>
    </row>
    <row r="131">
      <c r="B131" s="44" t="n"/>
      <c r="C131" s="46" t="n"/>
      <c r="F131" s="45" t="n"/>
    </row>
    <row r="132">
      <c r="B132" s="44" t="n"/>
      <c r="C132" s="46" t="n"/>
      <c r="F132" s="45" t="n"/>
    </row>
    <row r="133">
      <c r="B133" s="44" t="n"/>
      <c r="C133" s="46" t="n"/>
      <c r="F133" s="45" t="n"/>
    </row>
    <row r="134">
      <c r="B134" s="44" t="n"/>
      <c r="C134" s="46" t="n"/>
      <c r="F134" s="45" t="n"/>
    </row>
    <row r="135">
      <c r="B135" s="44" t="n"/>
      <c r="C135" s="46" t="n"/>
      <c r="F135" s="45" t="n"/>
    </row>
    <row r="136">
      <c r="B136" s="44" t="n"/>
      <c r="C136" s="46" t="n"/>
      <c r="F136" s="45" t="n"/>
    </row>
    <row r="137">
      <c r="B137" s="44" t="n"/>
      <c r="C137" s="46" t="n"/>
      <c r="F137" s="45" t="n"/>
    </row>
    <row r="138">
      <c r="B138" s="44" t="n"/>
      <c r="C138" s="46" t="n"/>
      <c r="F138" s="45" t="n"/>
    </row>
    <row r="139">
      <c r="B139" s="44" t="n"/>
      <c r="C139" s="46" t="n"/>
      <c r="F139" s="45" t="n"/>
    </row>
    <row r="140">
      <c r="B140" s="44" t="n"/>
      <c r="C140" s="46" t="n"/>
      <c r="F140" s="45" t="n"/>
    </row>
    <row r="141">
      <c r="B141" s="44" t="n"/>
      <c r="C141" s="46" t="n"/>
      <c r="F141" s="45" t="n"/>
    </row>
    <row r="142">
      <c r="B142" s="44" t="n"/>
      <c r="C142" s="46" t="n"/>
      <c r="F142" s="45" t="n"/>
    </row>
    <row r="143">
      <c r="B143" s="44" t="n"/>
      <c r="C143" s="46" t="n"/>
      <c r="F143" s="45" t="n"/>
    </row>
    <row r="144">
      <c r="B144" s="44" t="n"/>
      <c r="C144" s="46" t="n"/>
      <c r="F144" s="45" t="n"/>
    </row>
    <row r="145">
      <c r="B145" s="44" t="n"/>
      <c r="C145" s="46" t="n"/>
      <c r="F145" s="45" t="n"/>
    </row>
    <row r="146">
      <c r="B146" s="44" t="n"/>
      <c r="C146" s="46" t="n"/>
      <c r="F146" s="45" t="n"/>
    </row>
    <row r="147">
      <c r="B147" s="44" t="n"/>
      <c r="C147" s="46" t="n"/>
      <c r="F147" s="45" t="n"/>
    </row>
    <row r="148">
      <c r="B148" s="44" t="n"/>
      <c r="C148" s="46" t="n"/>
      <c r="F148" s="45" t="n"/>
    </row>
    <row r="149">
      <c r="B149" s="44" t="n"/>
      <c r="C149" s="46" t="n"/>
      <c r="F149" s="45" t="n"/>
    </row>
    <row r="150">
      <c r="B150" s="44" t="n"/>
      <c r="C150" s="46" t="n"/>
      <c r="F150" s="45" t="n"/>
    </row>
    <row r="151">
      <c r="B151" s="44" t="n"/>
      <c r="C151" s="46" t="n"/>
      <c r="F151" s="45" t="n"/>
    </row>
    <row r="152">
      <c r="B152" s="44" t="n"/>
      <c r="C152" s="46" t="n"/>
      <c r="F152" s="45" t="n"/>
    </row>
    <row r="153">
      <c r="B153" s="44" t="n"/>
      <c r="C153" s="46" t="n"/>
      <c r="F153" s="45" t="n"/>
    </row>
    <row r="154">
      <c r="B154" s="44" t="n"/>
      <c r="C154" s="46" t="n"/>
      <c r="F154" s="45" t="n"/>
    </row>
    <row r="155">
      <c r="B155" s="44" t="n"/>
      <c r="C155" s="46" t="n"/>
      <c r="F155" s="45" t="n"/>
    </row>
    <row r="156">
      <c r="B156" s="44" t="n"/>
      <c r="C156" s="46" t="n"/>
      <c r="F156" s="45" t="n"/>
    </row>
    <row r="157">
      <c r="B157" s="44" t="n"/>
      <c r="C157" s="46" t="n"/>
      <c r="F157" s="45" t="n"/>
    </row>
    <row r="158">
      <c r="B158" s="44" t="n"/>
      <c r="C158" s="46" t="n"/>
      <c r="F158" s="45" t="n"/>
    </row>
    <row r="159">
      <c r="B159" s="44" t="n"/>
      <c r="C159" s="46" t="n"/>
      <c r="F159" s="45" t="n"/>
    </row>
    <row r="160">
      <c r="B160" s="44" t="n"/>
      <c r="C160" s="46" t="n"/>
      <c r="F160" s="45" t="n"/>
    </row>
    <row r="161">
      <c r="B161" s="44" t="n"/>
      <c r="C161" s="46" t="n"/>
      <c r="F161" s="45" t="n"/>
    </row>
    <row r="162">
      <c r="B162" s="44" t="n"/>
      <c r="C162" s="46" t="n"/>
      <c r="F162" s="45" t="n"/>
    </row>
    <row r="163">
      <c r="B163" s="44" t="n"/>
      <c r="C163" s="46" t="n"/>
      <c r="F163" s="45" t="n"/>
    </row>
    <row r="164">
      <c r="B164" s="44" t="n"/>
      <c r="C164" s="46" t="n"/>
      <c r="F164" s="45" t="n"/>
    </row>
    <row r="165">
      <c r="B165" s="44" t="n"/>
      <c r="C165" s="46" t="n"/>
      <c r="F165" s="45" t="n"/>
    </row>
    <row r="166">
      <c r="B166" s="44" t="n"/>
      <c r="C166" s="46" t="n"/>
      <c r="F166" s="45" t="n"/>
    </row>
    <row r="167">
      <c r="B167" s="44" t="n"/>
      <c r="C167" s="46" t="n"/>
      <c r="F167" s="45" t="n"/>
    </row>
    <row r="168">
      <c r="B168" s="44" t="n"/>
      <c r="C168" s="46" t="n"/>
      <c r="F168" s="45" t="n"/>
    </row>
    <row r="169">
      <c r="B169" s="44" t="n"/>
      <c r="C169" s="46" t="n"/>
      <c r="F169" s="45" t="n"/>
    </row>
    <row r="170">
      <c r="B170" s="44" t="n"/>
      <c r="C170" s="46" t="n"/>
      <c r="F170" s="45" t="n"/>
    </row>
    <row r="171">
      <c r="B171" s="44" t="n"/>
      <c r="C171" s="46" t="n"/>
      <c r="F171" s="45" t="n"/>
    </row>
    <row r="172">
      <c r="B172" s="44" t="n"/>
      <c r="C172" s="46" t="n"/>
      <c r="F172" s="45" t="n"/>
    </row>
    <row r="173">
      <c r="B173" s="44" t="n"/>
      <c r="C173" s="46" t="n"/>
      <c r="F173" s="45" t="n"/>
    </row>
    <row r="174">
      <c r="B174" s="44" t="n"/>
      <c r="C174" s="46" t="n"/>
      <c r="F174" s="45" t="n"/>
    </row>
    <row r="175">
      <c r="B175" s="44" t="n"/>
      <c r="C175" s="46" t="n"/>
      <c r="F175" s="45" t="n"/>
    </row>
    <row r="176">
      <c r="B176" s="44" t="n"/>
      <c r="C176" s="46" t="n"/>
      <c r="F176" s="45" t="n"/>
    </row>
    <row r="177">
      <c r="B177" s="44" t="n"/>
      <c r="C177" s="46" t="n"/>
      <c r="F177" s="45" t="n"/>
    </row>
    <row r="178">
      <c r="B178" s="44" t="n"/>
      <c r="C178" s="46" t="n"/>
      <c r="F178" s="45" t="n"/>
    </row>
    <row r="179">
      <c r="B179" s="44" t="n"/>
      <c r="C179" s="46" t="n"/>
      <c r="F179" s="45" t="n"/>
    </row>
    <row r="180">
      <c r="B180" s="44" t="n"/>
      <c r="C180" s="46" t="n"/>
      <c r="F180" s="45" t="n"/>
    </row>
    <row r="181">
      <c r="B181" s="44" t="n"/>
      <c r="C181" s="46" t="n"/>
      <c r="F181" s="45" t="n"/>
    </row>
    <row r="182">
      <c r="B182" s="44" t="n"/>
      <c r="C182" s="46" t="n"/>
      <c r="F182" s="45" t="n"/>
    </row>
    <row r="183">
      <c r="B183" s="44" t="n"/>
      <c r="C183" s="46" t="n"/>
      <c r="F183" s="45" t="n"/>
    </row>
    <row r="184">
      <c r="B184" s="44" t="n"/>
      <c r="C184" s="46" t="n"/>
      <c r="F184" s="45" t="n"/>
    </row>
    <row r="185">
      <c r="B185" s="44" t="n"/>
      <c r="C185" s="46" t="n"/>
      <c r="F185" s="45" t="n"/>
    </row>
    <row r="186">
      <c r="B186" s="44" t="n"/>
      <c r="C186" s="46" t="n"/>
      <c r="F186" s="45" t="n"/>
    </row>
    <row r="187">
      <c r="B187" s="44" t="n"/>
      <c r="C187" s="46" t="n"/>
      <c r="F187" s="45" t="n"/>
    </row>
    <row r="188">
      <c r="B188" s="44" t="n"/>
      <c r="C188" s="46" t="n"/>
      <c r="F188" s="45" t="n"/>
    </row>
    <row r="189">
      <c r="B189" s="44" t="n"/>
      <c r="C189" s="46" t="n"/>
      <c r="F189" s="45" t="n"/>
    </row>
    <row r="190">
      <c r="B190" s="44" t="n"/>
      <c r="C190" s="46" t="n"/>
      <c r="F190" s="45" t="n"/>
    </row>
    <row r="191">
      <c r="B191" s="44" t="n"/>
      <c r="C191" s="46" t="n"/>
      <c r="F191" s="45" t="n"/>
    </row>
    <row r="192">
      <c r="B192" s="44" t="n"/>
      <c r="C192" s="46" t="n"/>
      <c r="F192" s="45" t="n"/>
    </row>
    <row r="193">
      <c r="B193" s="44" t="n"/>
      <c r="C193" s="46" t="n"/>
      <c r="F193" s="45" t="n"/>
    </row>
    <row r="194">
      <c r="B194" s="44" t="n"/>
      <c r="C194" s="46" t="n"/>
      <c r="F194" s="45" t="n"/>
    </row>
    <row r="195">
      <c r="B195" s="44" t="n"/>
      <c r="C195" s="46" t="n"/>
      <c r="F195" s="45" t="n"/>
    </row>
    <row r="196">
      <c r="B196" s="44" t="n"/>
      <c r="C196" s="46" t="n"/>
      <c r="F196" s="45" t="n"/>
    </row>
    <row r="197">
      <c r="B197" s="44" t="n"/>
      <c r="C197" s="46" t="n"/>
      <c r="F197" s="45" t="n"/>
    </row>
    <row r="198">
      <c r="B198" s="44" t="n"/>
      <c r="C198" s="46" t="n"/>
      <c r="F198" s="45" t="n"/>
    </row>
    <row r="199">
      <c r="B199" s="44" t="n"/>
      <c r="C199" s="46" t="n"/>
      <c r="F199" s="45" t="n"/>
    </row>
    <row r="200">
      <c r="B200" s="44" t="n"/>
      <c r="C200" s="46" t="n"/>
      <c r="F200" s="45" t="n"/>
    </row>
    <row r="201">
      <c r="B201" s="44" t="n"/>
      <c r="C201" s="46" t="n"/>
      <c r="F201" s="45" t="n"/>
    </row>
    <row r="202">
      <c r="B202" s="44" t="n"/>
      <c r="C202" s="46" t="n"/>
      <c r="F202" s="45" t="n"/>
    </row>
    <row r="203">
      <c r="B203" s="44" t="n"/>
      <c r="C203" s="46" t="n"/>
      <c r="F203" s="45" t="n"/>
    </row>
    <row r="204">
      <c r="B204" s="44" t="n"/>
      <c r="C204" s="46" t="n"/>
      <c r="F204" s="45" t="n"/>
    </row>
    <row r="205">
      <c r="B205" s="44" t="n"/>
      <c r="C205" s="46" t="n"/>
      <c r="F205" s="45" t="n"/>
    </row>
    <row r="206">
      <c r="B206" s="44" t="n"/>
      <c r="C206" s="46" t="n"/>
      <c r="F206" s="45" t="n"/>
    </row>
    <row r="207">
      <c r="B207" s="44" t="n"/>
      <c r="C207" s="46" t="n"/>
      <c r="F207" s="45" t="n"/>
    </row>
    <row r="208">
      <c r="B208" s="44" t="n"/>
      <c r="C208" s="46" t="n"/>
      <c r="F208" s="45" t="n"/>
    </row>
    <row r="209">
      <c r="B209" s="44" t="n"/>
      <c r="C209" s="46" t="n"/>
      <c r="F209" s="45" t="n"/>
    </row>
    <row r="210">
      <c r="B210" s="44" t="n"/>
      <c r="C210" s="46" t="n"/>
      <c r="F210" s="45" t="n"/>
    </row>
    <row r="211">
      <c r="B211" s="44" t="n"/>
      <c r="C211" s="46" t="n"/>
      <c r="F211" s="45" t="n"/>
    </row>
    <row r="212">
      <c r="B212" s="44" t="n"/>
      <c r="C212" s="46" t="n"/>
      <c r="F212" s="45" t="n"/>
    </row>
    <row r="213">
      <c r="B213" s="44" t="n"/>
      <c r="C213" s="46" t="n"/>
      <c r="F213" s="45" t="n"/>
    </row>
    <row r="214">
      <c r="B214" s="44" t="n"/>
      <c r="C214" s="46" t="n"/>
      <c r="F214" s="45" t="n"/>
    </row>
    <row r="215">
      <c r="B215" s="44" t="n"/>
      <c r="C215" s="46" t="n"/>
      <c r="F215" s="45" t="n"/>
    </row>
    <row r="216">
      <c r="B216" s="44" t="n"/>
      <c r="C216" s="46" t="n"/>
      <c r="F216" s="45" t="n"/>
    </row>
    <row r="217">
      <c r="B217" s="44" t="n"/>
      <c r="C217" s="46" t="n"/>
      <c r="F217" s="45" t="n"/>
    </row>
    <row r="218">
      <c r="B218" s="44" t="n"/>
      <c r="C218" s="46" t="n"/>
      <c r="F218" s="45" t="n"/>
    </row>
    <row r="219">
      <c r="B219" s="44" t="n"/>
      <c r="C219" s="46" t="n"/>
      <c r="F219" s="45" t="n"/>
    </row>
    <row r="220">
      <c r="B220" s="44" t="n"/>
      <c r="C220" s="46" t="n"/>
      <c r="F220" s="45" t="n"/>
    </row>
    <row r="221">
      <c r="B221" s="44" t="n"/>
      <c r="C221" s="46" t="n"/>
      <c r="F221" s="45" t="n"/>
    </row>
    <row r="222">
      <c r="B222" s="44" t="n"/>
      <c r="C222" s="46" t="n"/>
      <c r="F222" s="45" t="n"/>
    </row>
    <row r="223">
      <c r="B223" s="44" t="n"/>
      <c r="C223" s="46" t="n"/>
      <c r="F223" s="45" t="n"/>
    </row>
    <row r="224">
      <c r="B224" s="44" t="n"/>
      <c r="C224" s="46" t="n"/>
      <c r="F224" s="45" t="n"/>
    </row>
    <row r="225">
      <c r="B225" s="44" t="n"/>
      <c r="C225" s="46" t="n"/>
      <c r="F225" s="45" t="n"/>
    </row>
    <row r="226">
      <c r="B226" s="44" t="n"/>
      <c r="C226" s="46" t="n"/>
      <c r="F226" s="45" t="n"/>
    </row>
    <row r="227">
      <c r="B227" s="44" t="n"/>
      <c r="C227" s="46" t="n"/>
      <c r="F227" s="45" t="n"/>
    </row>
    <row r="228">
      <c r="B228" s="44" t="n"/>
      <c r="C228" s="46" t="n"/>
      <c r="F228" s="45" t="n"/>
    </row>
    <row r="229">
      <c r="B229" s="44" t="n"/>
      <c r="C229" s="46" t="n"/>
      <c r="F229" s="45" t="n"/>
    </row>
    <row r="230">
      <c r="B230" s="44" t="n"/>
      <c r="C230" s="46" t="n"/>
      <c r="F230" s="45" t="n"/>
    </row>
    <row r="231">
      <c r="B231" s="44" t="n"/>
      <c r="C231" s="46" t="n"/>
      <c r="F231" s="45" t="n"/>
    </row>
    <row r="232">
      <c r="B232" s="44" t="n"/>
      <c r="C232" s="46" t="n"/>
      <c r="F232" s="45" t="n"/>
    </row>
    <row r="233">
      <c r="B233" s="44" t="n"/>
      <c r="C233" s="46" t="n"/>
      <c r="F233" s="45" t="n"/>
    </row>
    <row r="234">
      <c r="B234" s="44" t="n"/>
      <c r="C234" s="46" t="n"/>
      <c r="F234" s="45" t="n"/>
    </row>
    <row r="235">
      <c r="B235" s="44" t="n"/>
      <c r="C235" s="46" t="n"/>
      <c r="F235" s="45" t="n"/>
    </row>
    <row r="236">
      <c r="B236" s="44" t="n"/>
      <c r="C236" s="46" t="n"/>
      <c r="F236" s="45" t="n"/>
    </row>
    <row r="237">
      <c r="B237" s="44" t="n"/>
      <c r="C237" s="46" t="n"/>
      <c r="F237" s="45" t="n"/>
    </row>
    <row r="238">
      <c r="B238" s="44" t="n"/>
      <c r="C238" s="46" t="n"/>
      <c r="F238" s="45" t="n"/>
    </row>
    <row r="239">
      <c r="B239" s="44" t="n"/>
      <c r="C239" s="46" t="n"/>
      <c r="F239" s="45" t="n"/>
    </row>
    <row r="240">
      <c r="B240" s="44" t="n"/>
      <c r="C240" s="46" t="n"/>
      <c r="F240" s="45" t="n"/>
    </row>
    <row r="241">
      <c r="B241" s="44" t="n"/>
      <c r="C241" s="46" t="n"/>
      <c r="F241" s="45" t="n"/>
    </row>
    <row r="242">
      <c r="B242" s="44" t="n"/>
      <c r="C242" s="46" t="n"/>
      <c r="F242" s="45" t="n"/>
    </row>
    <row r="243">
      <c r="B243" s="44" t="n"/>
      <c r="C243" s="46" t="n"/>
      <c r="F243" s="45" t="n"/>
    </row>
    <row r="244">
      <c r="B244" s="44" t="n"/>
      <c r="C244" s="46" t="n"/>
      <c r="F244" s="45" t="n"/>
    </row>
    <row r="245">
      <c r="B245" s="44" t="n"/>
      <c r="C245" s="46" t="n"/>
      <c r="F245" s="45" t="n"/>
    </row>
    <row r="246">
      <c r="B246" s="44" t="n"/>
      <c r="C246" s="46" t="n"/>
      <c r="F246" s="45" t="n"/>
    </row>
    <row r="247">
      <c r="B247" s="44" t="n"/>
      <c r="C247" s="46" t="n"/>
      <c r="F247" s="45" t="n"/>
    </row>
    <row r="248">
      <c r="B248" s="44" t="n"/>
      <c r="C248" s="46" t="n"/>
      <c r="F248" s="45" t="n"/>
    </row>
    <row r="249">
      <c r="B249" s="44" t="n"/>
      <c r="C249" s="46" t="n"/>
      <c r="F249" s="45" t="n"/>
    </row>
    <row r="250">
      <c r="B250" s="44" t="n"/>
      <c r="C250" s="46" t="n"/>
      <c r="F250" s="45" t="n"/>
    </row>
    <row r="251">
      <c r="B251" s="44" t="n"/>
      <c r="C251" s="46" t="n"/>
      <c r="F251" s="45" t="n"/>
    </row>
    <row r="252">
      <c r="B252" s="44" t="n"/>
      <c r="C252" s="46" t="n"/>
      <c r="F252" s="45" t="n"/>
    </row>
    <row r="253">
      <c r="B253" s="44" t="n"/>
      <c r="C253" s="46" t="n"/>
      <c r="F253" s="45" t="n"/>
    </row>
    <row r="254">
      <c r="B254" s="44" t="n"/>
      <c r="C254" s="46" t="n"/>
      <c r="F254" s="45" t="n"/>
    </row>
    <row r="255">
      <c r="B255" s="44" t="n"/>
      <c r="C255" s="46" t="n"/>
      <c r="F255" s="45" t="n"/>
    </row>
    <row r="256">
      <c r="B256" s="44" t="n"/>
      <c r="C256" s="46" t="n"/>
      <c r="F256" s="45" t="n"/>
    </row>
    <row r="257">
      <c r="B257" s="44" t="n"/>
      <c r="C257" s="46" t="n"/>
      <c r="F257" s="45" t="n"/>
    </row>
    <row r="258">
      <c r="B258" s="44" t="n"/>
      <c r="C258" s="46" t="n"/>
      <c r="F258" s="45" t="n"/>
    </row>
    <row r="259">
      <c r="B259" s="44" t="n"/>
      <c r="C259" s="46" t="n"/>
      <c r="F259" s="45" t="n"/>
    </row>
    <row r="260">
      <c r="B260" s="44" t="n"/>
      <c r="C260" s="46" t="n"/>
      <c r="F260" s="45" t="n"/>
    </row>
    <row r="261">
      <c r="B261" s="44" t="n"/>
      <c r="C261" s="46" t="n"/>
      <c r="F261" s="45" t="n"/>
    </row>
    <row r="262">
      <c r="B262" s="44" t="n"/>
      <c r="C262" s="46" t="n"/>
      <c r="F262" s="45" t="n"/>
    </row>
    <row r="263">
      <c r="B263" s="44" t="n"/>
      <c r="C263" s="46" t="n"/>
      <c r="F263" s="45" t="n"/>
    </row>
    <row r="264">
      <c r="B264" s="44" t="n"/>
      <c r="C264" s="46" t="n"/>
      <c r="F264" s="45" t="n"/>
    </row>
    <row r="265">
      <c r="B265" s="44" t="n"/>
      <c r="C265" s="46" t="n"/>
      <c r="F265" s="45" t="n"/>
    </row>
    <row r="266">
      <c r="B266" s="44" t="n"/>
      <c r="C266" s="46" t="n"/>
      <c r="F266" s="45" t="n"/>
    </row>
    <row r="267">
      <c r="B267" s="44" t="n"/>
      <c r="C267" s="46" t="n"/>
      <c r="F267" s="45" t="n"/>
    </row>
    <row r="268">
      <c r="B268" s="44" t="n"/>
      <c r="C268" s="46" t="n"/>
      <c r="F268" s="45" t="n"/>
    </row>
    <row r="269">
      <c r="B269" s="44" t="n"/>
      <c r="C269" s="46" t="n"/>
      <c r="F269" s="45" t="n"/>
    </row>
    <row r="270">
      <c r="B270" s="44" t="n"/>
      <c r="C270" s="46" t="n"/>
      <c r="F270" s="45" t="n"/>
    </row>
    <row r="271">
      <c r="B271" s="44" t="n"/>
      <c r="C271" s="46" t="n"/>
      <c r="F271" s="45" t="n"/>
    </row>
    <row r="272">
      <c r="B272" s="44" t="n"/>
      <c r="C272" s="46" t="n"/>
      <c r="F272" s="45" t="n"/>
    </row>
    <row r="273">
      <c r="B273" s="44" t="n"/>
      <c r="C273" s="46" t="n"/>
      <c r="F273" s="45" t="n"/>
    </row>
    <row r="274">
      <c r="B274" s="44" t="n"/>
      <c r="C274" s="46" t="n"/>
      <c r="F274" s="45" t="n"/>
    </row>
    <row r="275">
      <c r="B275" s="44" t="n"/>
      <c r="C275" s="46" t="n"/>
      <c r="F275" s="45" t="n"/>
    </row>
    <row r="276">
      <c r="B276" s="44" t="n"/>
      <c r="C276" s="46" t="n"/>
      <c r="F276" s="45" t="n"/>
    </row>
    <row r="277">
      <c r="B277" s="44" t="n"/>
      <c r="C277" s="46" t="n"/>
      <c r="F277" s="45" t="n"/>
    </row>
    <row r="278">
      <c r="B278" s="44" t="n"/>
      <c r="C278" s="46" t="n"/>
      <c r="F278" s="45" t="n"/>
    </row>
    <row r="279">
      <c r="B279" s="44" t="n"/>
      <c r="C279" s="46" t="n"/>
      <c r="F279" s="45" t="n"/>
    </row>
    <row r="280">
      <c r="B280" s="44" t="n"/>
      <c r="C280" s="46" t="n"/>
      <c r="F280" s="45" t="n"/>
    </row>
    <row r="281">
      <c r="B281" s="44" t="n"/>
      <c r="C281" s="46" t="n"/>
      <c r="F281" s="45" t="n"/>
    </row>
    <row r="282">
      <c r="B282" s="44" t="n"/>
      <c r="C282" s="46" t="n"/>
      <c r="F282" s="45" t="n"/>
    </row>
    <row r="283">
      <c r="B283" s="44" t="n"/>
      <c r="C283" s="46" t="n"/>
      <c r="F283" s="45" t="n"/>
    </row>
    <row r="284">
      <c r="B284" s="44" t="n"/>
      <c r="C284" s="46" t="n"/>
      <c r="F284" s="45" t="n"/>
    </row>
    <row r="285">
      <c r="B285" s="44" t="n"/>
      <c r="C285" s="46" t="n"/>
      <c r="F285" s="45" t="n"/>
    </row>
    <row r="286">
      <c r="B286" s="44" t="n"/>
      <c r="C286" s="46" t="n"/>
      <c r="F286" s="45" t="n"/>
    </row>
    <row r="287">
      <c r="B287" s="44" t="n"/>
      <c r="C287" s="46" t="n"/>
      <c r="F287" s="45" t="n"/>
    </row>
    <row r="288">
      <c r="B288" s="44" t="n"/>
      <c r="C288" s="46" t="n"/>
      <c r="F288" s="45" t="n"/>
    </row>
    <row r="289">
      <c r="B289" s="44" t="n"/>
      <c r="C289" s="46" t="n"/>
      <c r="F289" s="45" t="n"/>
    </row>
    <row r="290">
      <c r="B290" s="44" t="n"/>
      <c r="C290" s="46" t="n"/>
      <c r="F290" s="45" t="n"/>
    </row>
    <row r="291">
      <c r="B291" s="44" t="n"/>
      <c r="C291" s="46" t="n"/>
      <c r="F291" s="45" t="n"/>
    </row>
    <row r="292">
      <c r="B292" s="44" t="n"/>
      <c r="C292" s="46" t="n"/>
      <c r="F292" s="45" t="n"/>
    </row>
    <row r="293">
      <c r="B293" s="44" t="n"/>
      <c r="C293" s="46" t="n"/>
      <c r="F293" s="45" t="n"/>
    </row>
    <row r="294">
      <c r="B294" s="44" t="n"/>
      <c r="C294" s="46" t="n"/>
      <c r="F294" s="45" t="n"/>
    </row>
    <row r="295">
      <c r="B295" s="44" t="n"/>
      <c r="C295" s="46" t="n"/>
      <c r="F295" s="45" t="n"/>
    </row>
    <row r="296">
      <c r="B296" s="44" t="n"/>
      <c r="C296" s="46" t="n"/>
      <c r="F296" s="45" t="n"/>
    </row>
    <row r="297">
      <c r="B297" s="44" t="n"/>
      <c r="C297" s="46" t="n"/>
      <c r="F297" s="45" t="n"/>
    </row>
    <row r="298">
      <c r="B298" s="44" t="n"/>
      <c r="C298" s="46" t="n"/>
      <c r="F298" s="45" t="n"/>
    </row>
    <row r="299">
      <c r="B299" s="44" t="n"/>
      <c r="C299" s="46" t="n"/>
      <c r="F299" s="45" t="n"/>
    </row>
    <row r="300">
      <c r="B300" s="44" t="n"/>
      <c r="C300" s="46" t="n"/>
      <c r="F300" s="45" t="n"/>
    </row>
    <row r="301">
      <c r="B301" s="44" t="n"/>
      <c r="C301" s="46" t="n"/>
      <c r="F301" s="45" t="n"/>
    </row>
    <row r="302">
      <c r="B302" s="44" t="n"/>
      <c r="C302" s="46" t="n"/>
      <c r="F302" s="45" t="n"/>
    </row>
  </sheetData>
  <conditionalFormatting sqref="N22">
    <cfRule type="cellIs" priority="1" operator="lessThan" dxfId="0">
      <formula>0</formula>
    </cfRule>
  </conditionalFormatting>
  <conditionalFormatting sqref="N24">
    <cfRule type="cellIs" priority="2" operator="lessThan" dxfId="0">
      <formula>0</formula>
    </cfRule>
    <cfRule type="cellIs" priority="3" operator="greaterThan" dxfId="1">
      <formula>0</formula>
    </cfRule>
  </conditionalFormatting>
  <conditionalFormatting sqref="N30">
    <cfRule type="expression" priority="4" dxfId="0">
      <formula>AND($N$3&gt;0,N30&lt;0)</formula>
    </cfRule>
    <cfRule type="expression" priority="5" dxfId="1">
      <formula>AND($N$3&gt;0,N30&gt;=0)</formula>
    </cfRule>
  </conditionalFormatting>
  <conditionalFormatting sqref="N32">
    <cfRule type="expression" priority="6" dxfId="0">
      <formula>AND($N$3&gt;0,N32&lt;0)</formula>
    </cfRule>
    <cfRule type="expression" priority="7" dxfId="1">
      <formula>AND($N$3&gt;0,N32&gt;=0)</formula>
    </cfRule>
  </conditionalFormatting>
  <dataValidations count="2">
    <dataValidation sqref="E3:E302" showDropDown="0" showInputMessage="0" showErrorMessage="0" allowBlank="1" type="list">
      <formula1>'選択肢マスター'!$K$2:$K$12</formula1>
    </dataValidation>
    <dataValidation sqref="H3:H302" showDropDown="0" showInputMessage="0" showErrorMessage="0" allowBlank="1" type="list">
      <formula1>'選択肢マスター'!$J$2:$J$3</formula1>
    </dataValidation>
  </dataValidations>
  <pageMargins left="0.75" right="0.75" top="1" bottom="1" header="0.5" footer="0.5"/>
</worksheet>
</file>

<file path=xl/worksheets/sheet17.xml><?xml version="1.0" encoding="utf-8"?>
<worksheet xmlns="http://schemas.openxmlformats.org/spreadsheetml/2006/main">
  <sheetPr>
    <tabColor rgb="00C55A11"/>
    <outlinePr summaryBelow="1" summaryRight="1"/>
    <pageSetUpPr/>
  </sheetPr>
  <dimension ref="A1:R302"/>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8" customWidth="1" min="3" max="3"/>
    <col width="26" customWidth="1" min="4" max="4"/>
    <col width="18" customWidth="1" min="5" max="5"/>
    <col width="12" customWidth="1" min="6" max="6"/>
    <col width="26" customWidth="1" min="7" max="7"/>
    <col width="11" customWidth="1" min="8" max="8"/>
    <col width="26" customWidth="1" min="13" max="13"/>
    <col width="15" customWidth="1" min="14" max="14"/>
    <col width="52" customWidth="1" min="15" max="15"/>
    <col width="20" customWidth="1" min="17" max="17"/>
    <col width="14" customWidth="1" min="18" max="18"/>
  </cols>
  <sheetData>
    <row r="1">
      <c r="A1" s="8" t="inlineStr">
        <is>
          <t>◆ 3月の経費入力。3行目から下へ足していってよい。右の月次P/Lは行が動かないので壊れない</t>
        </is>
      </c>
      <c r="M1" s="11" t="inlineStr">
        <is>
          <t>▼ 月次P/L（この位置は固定。左の経費表を何行足してもずれません）</t>
        </is>
      </c>
    </row>
    <row r="2" ht="30" customHeight="1">
      <c r="A2" s="3" t="inlineStr">
        <is>
          <t>No.</t>
        </is>
      </c>
      <c r="B2" s="3" t="inlineStr">
        <is>
          <t>日付</t>
        </is>
      </c>
      <c r="C2" s="3" t="inlineStr">
        <is>
          <t>時刻</t>
        </is>
      </c>
      <c r="D2" s="3" t="inlineStr">
        <is>
          <t>品目</t>
        </is>
      </c>
      <c r="E2" s="3" t="inlineStr">
        <is>
          <t>科目</t>
        </is>
      </c>
      <c r="F2" s="3" t="inlineStr">
        <is>
          <t>金額</t>
        </is>
      </c>
      <c r="G2" s="3" t="inlineStr">
        <is>
          <t>備考</t>
        </is>
      </c>
      <c r="H2" s="3" t="inlineStr">
        <is>
          <t>現金立替え</t>
        </is>
      </c>
      <c r="M2" s="3" t="inlineStr">
        <is>
          <t>項目</t>
        </is>
      </c>
      <c r="N2" s="3" t="inlineStr">
        <is>
          <t>金額</t>
        </is>
      </c>
      <c r="O2" s="3" t="inlineStr">
        <is>
          <t>計算の中身</t>
        </is>
      </c>
      <c r="Q2" s="11" t="inlineStr">
        <is>
          <t>▼ 科目別 集計</t>
        </is>
      </c>
    </row>
    <row r="3" ht="30" customHeight="1">
      <c r="B3" s="44" t="n"/>
      <c r="C3" s="46" t="n"/>
      <c r="F3" s="45" t="n"/>
      <c r="M3" s="47" t="inlineStr">
        <is>
          <t>売上</t>
        </is>
      </c>
      <c r="N3" s="48">
        <f>'3月_売上顧客'!$L$4</f>
        <v/>
      </c>
      <c r="O3" s="2" t="inlineStr">
        <is>
          <t>3月_売上顧客 の合計売上</t>
        </is>
      </c>
      <c r="Q3" s="3" t="inlineStr">
        <is>
          <t>科目</t>
        </is>
      </c>
      <c r="R3" s="3" t="inlineStr">
        <is>
          <t>金額</t>
        </is>
      </c>
    </row>
    <row r="4">
      <c r="B4" s="44" t="n"/>
      <c r="C4" s="46" t="n"/>
      <c r="F4" s="45" t="n"/>
      <c r="M4" s="49" t="inlineStr">
        <is>
          <t>エアコン台数(参考)</t>
        </is>
      </c>
      <c r="N4" s="50">
        <f>COUNTIFS('3月_売上顧客'!$M$5:$M$504,"エアコン(ノーマル)")+COUNTIFS('3月_売上顧客'!$M$5:$M$504,"エアコン(ロボ)")+COUNTIFS('3月_売上顧客'!$M$5:$M$504,"天カセ")+COUNTIFS('3月_売上顧客'!$M$5:$M$504,"業務用エアコン1方向")</f>
        <v/>
      </c>
      <c r="O4" s="2" t="inlineStr">
        <is>
          <t>エアコン(ノーマル/ロボ)・天カセ・業務用1方向</t>
        </is>
      </c>
      <c r="Q4" s="51" t="inlineStr">
        <is>
          <t>交通費</t>
        </is>
      </c>
      <c r="R4" s="52">
        <f>SUMIFS($F$3:$F$302,$E$3:$E$302,"交通費")</f>
        <v/>
      </c>
    </row>
    <row r="5">
      <c r="B5" s="44" t="n"/>
      <c r="C5" s="46" t="n"/>
      <c r="F5" s="45" t="n"/>
      <c r="M5" s="49" t="inlineStr">
        <is>
          <t>換気扇台数(参考)</t>
        </is>
      </c>
      <c r="N5" s="50">
        <f>COUNTIFS('3月_売上顧客'!$M$5:$M$504,"換気扇")</f>
        <v/>
      </c>
      <c r="O5" s="2" t="inlineStr">
        <is>
          <t>実施メニュー＝換気扇</t>
        </is>
      </c>
      <c r="Q5" s="51" t="inlineStr">
        <is>
          <t>保険料</t>
        </is>
      </c>
      <c r="R5" s="52">
        <f>SUMIFS($F$3:$F$302,$E$3:$E$302,"保険料")</f>
        <v/>
      </c>
    </row>
    <row r="6">
      <c r="B6" s="44" t="n"/>
      <c r="C6" s="46" t="n"/>
      <c r="F6" s="45" t="n"/>
      <c r="M6" s="49" t="inlineStr">
        <is>
          <t>浴室台数(参考)</t>
        </is>
      </c>
      <c r="N6" s="50">
        <f>COUNTIFS('3月_売上顧客'!$M$5:$M$504,"浴室")</f>
        <v/>
      </c>
      <c r="O6" s="2" t="inlineStr">
        <is>
          <t>実施メニュー＝浴室</t>
        </is>
      </c>
      <c r="Q6" s="51" t="inlineStr">
        <is>
          <t>通信費</t>
        </is>
      </c>
      <c r="R6" s="52">
        <f>SUMIFS($F$3:$F$302,$E$3:$E$302,"通信費")</f>
        <v/>
      </c>
    </row>
    <row r="7">
      <c r="B7" s="44" t="n"/>
      <c r="C7" s="46" t="n"/>
      <c r="F7" s="45" t="n"/>
      <c r="M7" s="49" t="inlineStr">
        <is>
          <t>資材費</t>
        </is>
      </c>
      <c r="N7" s="53">
        <f>N4*373+N5*176+N6*149</f>
        <v/>
      </c>
      <c r="O7" s="2" t="inlineStr">
        <is>
          <t>エアコン373 + 換気扇176 + 浴室149</t>
        </is>
      </c>
      <c r="Q7" s="51" t="inlineStr">
        <is>
          <t>広告費</t>
        </is>
      </c>
      <c r="R7" s="52">
        <f>SUMIFS($F$3:$F$302,$E$3:$E$302,"広告費")</f>
        <v/>
      </c>
    </row>
    <row r="8">
      <c r="B8" s="44" t="n"/>
      <c r="C8" s="46" t="n"/>
      <c r="F8" s="45" t="n"/>
      <c r="M8" s="49" t="inlineStr">
        <is>
          <t>外注費（協力業者）</t>
        </is>
      </c>
      <c r="N8" s="53">
        <f>SUMIFS($F$3:$F$302,$E$3:$E$302,"外注費")</f>
        <v/>
      </c>
      <c r="O8" s="2" t="inlineStr">
        <is>
          <t>経費表の科目＝外注費。★2027年から原価として独立</t>
        </is>
      </c>
      <c r="Q8" s="51" t="inlineStr">
        <is>
          <t>耐久品</t>
        </is>
      </c>
      <c r="R8" s="52">
        <f>SUMIFS($F$3:$F$302,$E$3:$E$302,"耐久品")</f>
        <v/>
      </c>
    </row>
    <row r="9">
      <c r="B9" s="44" t="n"/>
      <c r="C9" s="46" t="n"/>
      <c r="F9" s="45" t="n"/>
      <c r="M9" s="49" t="inlineStr">
        <is>
          <t>現場人件費（原価）</t>
        </is>
      </c>
      <c r="N9" s="53">
        <f>SUMIFS($F$3:$F$302,$E$3:$E$302,"現場人件費(原価)")</f>
        <v/>
      </c>
      <c r="O9" s="2" t="inlineStr">
        <is>
          <t>経費表の科目＝現場人件費(原価)</t>
        </is>
      </c>
      <c r="Q9" s="51" t="inlineStr">
        <is>
          <t>備品</t>
        </is>
      </c>
      <c r="R9" s="52">
        <f>SUMIFS($F$3:$F$302,$E$3:$E$302,"備品")</f>
        <v/>
      </c>
    </row>
    <row r="10">
      <c r="B10" s="44" t="n"/>
      <c r="C10" s="46" t="n"/>
      <c r="F10" s="45" t="n"/>
      <c r="M10" s="47" t="inlineStr">
        <is>
          <t>原価合計</t>
        </is>
      </c>
      <c r="N10" s="48">
        <f>N7+N8+N9</f>
        <v/>
      </c>
      <c r="O10" s="2" t="inlineStr">
        <is>
          <t>資材費＋外注費＋現場人件費</t>
        </is>
      </c>
      <c r="Q10" s="51" t="inlineStr">
        <is>
          <t>個別ロイ</t>
        </is>
      </c>
      <c r="R10" s="52">
        <f>SUMIFS($F$3:$F$302,$E$3:$E$302,"個別ロイ")</f>
        <v/>
      </c>
    </row>
    <row r="11">
      <c r="B11" s="44" t="n"/>
      <c r="C11" s="46" t="n"/>
      <c r="F11" s="45" t="n"/>
      <c r="M11" s="47" t="inlineStr">
        <is>
          <t>売上総利益</t>
        </is>
      </c>
      <c r="N11" s="48">
        <f>N3-N10</f>
        <v/>
      </c>
      <c r="O11" s="2" t="inlineStr">
        <is>
          <t>売上 − 原価合計</t>
        </is>
      </c>
      <c r="Q11" s="51" t="inlineStr">
        <is>
          <t>現場人件費(原価)</t>
        </is>
      </c>
      <c r="R11" s="52">
        <f>SUMIFS($F$3:$F$302,$E$3:$E$302,"現場人件費(原価)")</f>
        <v/>
      </c>
    </row>
    <row r="12">
      <c r="B12" s="44" t="n"/>
      <c r="C12" s="46" t="n"/>
      <c r="F12" s="45" t="n"/>
      <c r="Q12" s="51" t="inlineStr">
        <is>
          <t>固定給(販管費)</t>
        </is>
      </c>
      <c r="R12" s="52">
        <f>SUMIFS($F$3:$F$302,$E$3:$E$302,"固定給(販管費)")</f>
        <v/>
      </c>
    </row>
    <row r="13">
      <c r="B13" s="44" t="n"/>
      <c r="C13" s="46" t="n"/>
      <c r="F13" s="45" t="n"/>
      <c r="M13" s="49" t="inlineStr">
        <is>
          <t>経費合計（左の表）</t>
        </is>
      </c>
      <c r="N13" s="53">
        <f>SUM($F$3:$F$302)</f>
        <v/>
      </c>
      <c r="O13" s="2" t="inlineStr">
        <is>
          <t>左の経費入力表の金額合計</t>
        </is>
      </c>
      <c r="Q13" s="51" t="inlineStr">
        <is>
          <t>外注費</t>
        </is>
      </c>
      <c r="R13" s="52">
        <f>SUMIFS($F$3:$F$302,$E$3:$E$302,"外注費")</f>
        <v/>
      </c>
    </row>
    <row r="14">
      <c r="B14" s="44" t="n"/>
      <c r="C14" s="46" t="n"/>
      <c r="F14" s="45" t="n"/>
      <c r="M14" s="49" t="inlineStr">
        <is>
          <t>− 原価へ回した分</t>
        </is>
      </c>
      <c r="N14" s="53">
        <f>-(N8+N9)</f>
        <v/>
      </c>
      <c r="O14" s="2" t="inlineStr">
        <is>
          <t>外注費・現場人件費は原価で数えたので戻す</t>
        </is>
      </c>
      <c r="Q14" s="51" t="inlineStr">
        <is>
          <t>その他(備考へ)</t>
        </is>
      </c>
      <c r="R14" s="52">
        <f>SUMIFS($F$3:$F$302,$E$3:$E$302,"その他(備考へ)")</f>
        <v/>
      </c>
    </row>
    <row r="15">
      <c r="B15" s="44" t="n"/>
      <c r="C15" s="46" t="n"/>
      <c r="F15" s="45" t="n"/>
      <c r="M15" s="49" t="inlineStr">
        <is>
          <t>− 個別ロイ（下で計上）</t>
        </is>
      </c>
      <c r="N15" s="53">
        <f>-SUMIFS($F$3:$F$302,$E$3:$E$302,"個別ロイ")</f>
        <v/>
      </c>
      <c r="O15" s="2" t="inlineStr">
        <is>
          <t>★二重計上を防ぐため、ここで一度引く</t>
        </is>
      </c>
      <c r="Q15" s="13" t="inlineStr">
        <is>
          <t>合計</t>
        </is>
      </c>
      <c r="R15" s="54">
        <f>SUM(R4:R14)</f>
        <v/>
      </c>
    </row>
    <row r="16">
      <c r="B16" s="44" t="n"/>
      <c r="C16" s="46" t="n"/>
      <c r="F16" s="45" t="n"/>
      <c r="M16" s="49" t="inlineStr">
        <is>
          <t>ロイヤリティ 固定分</t>
        </is>
      </c>
      <c r="N16" s="53">
        <f>IF($N$3+$N$13=0,0,50050)</f>
        <v/>
      </c>
      <c r="O16" s="2" t="inlineStr">
        <is>
          <t>★50,050円。左の経費表には入力しないこと（まだ動いていない月は0）</t>
        </is>
      </c>
    </row>
    <row r="17">
      <c r="B17" s="44" t="n"/>
      <c r="C17" s="46" t="n"/>
      <c r="F17" s="45" t="n"/>
      <c r="M17" s="49" t="inlineStr">
        <is>
          <t>ロイヤリティ 38%分</t>
        </is>
      </c>
      <c r="N17" s="53">
        <f>SUMIFS('3月_売上顧客'!$L$5:$L$504,'3月_売上顧客'!$V$5:$V$504,"38%")*0.38</f>
        <v/>
      </c>
      <c r="O17" s="2" t="inlineStr">
        <is>
          <t>本舗ロイ区分＝38% の売上 × 38%</t>
        </is>
      </c>
    </row>
    <row r="18">
      <c r="B18" s="44" t="n"/>
      <c r="C18" s="46" t="n"/>
      <c r="F18" s="45" t="n"/>
      <c r="M18" s="49" t="inlineStr">
        <is>
          <t>ロイヤリティ 10%分</t>
        </is>
      </c>
      <c r="N18" s="53">
        <f>SUMIFS('3月_売上顧客'!$L$5:$L$504,'3月_売上顧客'!$V$5:$V$504,"10%")*0.1</f>
        <v/>
      </c>
      <c r="O18" s="2" t="inlineStr">
        <is>
          <t>本舗ロイ区分＝10% の売上 × 10%</t>
        </is>
      </c>
    </row>
    <row r="19">
      <c r="B19" s="44" t="n"/>
      <c r="C19" s="46" t="n"/>
      <c r="F19" s="45" t="n"/>
      <c r="M19" s="49" t="inlineStr">
        <is>
          <t>ロイヤリティ 個別実額</t>
        </is>
      </c>
      <c r="N19" s="53">
        <f>SUMIFS($F$3:$F$302,$E$3:$E$302,"個別ロイ")</f>
        <v/>
      </c>
      <c r="O19" s="2" t="inlineStr">
        <is>
          <t>経費表の科目＝個別ロイ（toB・楽ラクーン等）</t>
        </is>
      </c>
    </row>
    <row r="20">
      <c r="B20" s="44" t="n"/>
      <c r="C20" s="46" t="n"/>
      <c r="F20" s="45" t="n"/>
      <c r="M20" s="47" t="inlineStr">
        <is>
          <t>ロイヤリティ 合計</t>
        </is>
      </c>
      <c r="N20" s="48">
        <f>N16+N17+N18+N19</f>
        <v/>
      </c>
      <c r="O20" s="2" t="inlineStr">
        <is>
          <t>固定＋38%＋10%＋個別</t>
        </is>
      </c>
    </row>
    <row r="21">
      <c r="B21" s="44" t="n"/>
      <c r="C21" s="46" t="n"/>
      <c r="F21" s="45" t="n"/>
      <c r="M21" s="47" t="inlineStr">
        <is>
          <t>販売管理費</t>
        </is>
      </c>
      <c r="N21" s="48">
        <f>N13+N14+N15+N20</f>
        <v/>
      </c>
      <c r="O21" s="2" t="inlineStr">
        <is>
          <t>経費合計 − 原価分 − 個別ロイ ＋ ロイヤリティ合計</t>
        </is>
      </c>
    </row>
    <row r="22">
      <c r="B22" s="44" t="n"/>
      <c r="C22" s="46" t="n"/>
      <c r="F22" s="45" t="n"/>
      <c r="M22" s="47" t="inlineStr">
        <is>
          <t>営業利益</t>
        </is>
      </c>
      <c r="N22" s="48">
        <f>N11-N21</f>
        <v/>
      </c>
      <c r="O22" s="2" t="inlineStr">
        <is>
          <t>売上総利益 − 販売管理費</t>
        </is>
      </c>
    </row>
    <row r="23">
      <c r="B23" s="44" t="n"/>
      <c r="C23" s="46" t="n"/>
      <c r="F23" s="45" t="n"/>
      <c r="M23" s="49" t="inlineStr">
        <is>
          <t>融資返済</t>
        </is>
      </c>
      <c r="N23" s="53">
        <f>IF($N$3+$N$13=0,0,38059)</f>
        <v/>
      </c>
      <c r="O23" s="2" t="inlineStr">
        <is>
          <t>固定 38,059円（まだ動いていない月は0）</t>
        </is>
      </c>
    </row>
    <row r="24">
      <c r="B24" s="44" t="n"/>
      <c r="C24" s="46" t="n"/>
      <c r="F24" s="45" t="n"/>
      <c r="M24" s="47" t="inlineStr">
        <is>
          <t>経常利益</t>
        </is>
      </c>
      <c r="N24" s="48">
        <f>N22-N23</f>
        <v/>
      </c>
      <c r="O24" s="2" t="inlineStr">
        <is>
          <t>営業利益 − 融資返済</t>
        </is>
      </c>
    </row>
    <row r="25">
      <c r="B25" s="44" t="n"/>
      <c r="C25" s="46" t="n"/>
      <c r="F25" s="45" t="n"/>
    </row>
    <row r="26">
      <c r="B26" s="44" t="n"/>
      <c r="C26" s="46" t="n"/>
      <c r="F26" s="45" t="n"/>
      <c r="M26" s="49" t="inlineStr">
        <is>
          <t>経常利益率</t>
        </is>
      </c>
      <c r="N26" s="55">
        <f>IFERROR(N24/N3,0)</f>
        <v/>
      </c>
      <c r="O26" s="2" t="inlineStr">
        <is>
          <t>経常利益 ÷ 売上</t>
        </is>
      </c>
    </row>
    <row r="27">
      <c r="B27" s="44" t="n"/>
      <c r="C27" s="46" t="n"/>
      <c r="F27" s="45" t="n"/>
    </row>
    <row r="28">
      <c r="B28" s="44" t="n"/>
      <c r="C28" s="46" t="n"/>
      <c r="F28" s="45" t="n"/>
      <c r="M28" s="11" t="inlineStr">
        <is>
          <t>▼ 計画（中立）との比較</t>
        </is>
      </c>
    </row>
    <row r="29">
      <c r="B29" s="44" t="n"/>
      <c r="C29" s="46" t="n"/>
      <c r="F29" s="45" t="n"/>
      <c r="M29" s="51" t="inlineStr">
        <is>
          <t>計画 売上</t>
        </is>
      </c>
      <c r="N29" s="45" t="n">
        <v>1850000</v>
      </c>
      <c r="O29" s="2" t="inlineStr"/>
    </row>
    <row r="30">
      <c r="B30" s="44" t="n"/>
      <c r="C30" s="46" t="n"/>
      <c r="F30" s="45" t="n"/>
      <c r="M30" s="51" t="inlineStr">
        <is>
          <t>実績 − 計画（売上）</t>
        </is>
      </c>
      <c r="N30" s="45">
        <f>N3-N29</f>
        <v/>
      </c>
      <c r="O30" s="2" t="inlineStr">
        <is>
          <t>マイナスなら赤</t>
        </is>
      </c>
    </row>
    <row r="31">
      <c r="B31" s="44" t="n"/>
      <c r="C31" s="46" t="n"/>
      <c r="F31" s="45" t="n"/>
      <c r="M31" s="51" t="inlineStr">
        <is>
          <t>計画 経常利益</t>
        </is>
      </c>
      <c r="N31" s="45" t="n">
        <v>303086</v>
      </c>
      <c r="O31" s="2" t="inlineStr"/>
    </row>
    <row r="32">
      <c r="B32" s="44" t="n"/>
      <c r="C32" s="46" t="n"/>
      <c r="F32" s="45" t="n"/>
      <c r="M32" s="51" t="inlineStr">
        <is>
          <t>実績 − 計画（経常）</t>
        </is>
      </c>
      <c r="N32" s="45">
        <f>N24-N31</f>
        <v/>
      </c>
      <c r="O32" s="2" t="inlineStr">
        <is>
          <t>マイナスなら赤</t>
        </is>
      </c>
    </row>
    <row r="33">
      <c r="B33" s="44" t="n"/>
      <c r="C33" s="46" t="n"/>
      <c r="F33" s="45" t="n"/>
      <c r="M33" s="51" t="inlineStr">
        <is>
          <t>計画 件数</t>
        </is>
      </c>
      <c r="N33" s="56" t="n">
        <v>46</v>
      </c>
      <c r="O33" s="2" t="inlineStr"/>
    </row>
    <row r="34">
      <c r="B34" s="44" t="n"/>
      <c r="C34" s="46" t="n"/>
      <c r="F34" s="45" t="n"/>
      <c r="M34" s="51" t="inlineStr">
        <is>
          <t>実績 件数</t>
        </is>
      </c>
      <c r="N34" s="56">
        <f>'3月_売上顧客'!$E$4</f>
        <v/>
      </c>
      <c r="O34" s="2" t="inlineStr"/>
    </row>
    <row r="35">
      <c r="B35" s="44" t="n"/>
      <c r="C35" s="46" t="n"/>
      <c r="F35" s="45" t="n"/>
    </row>
    <row r="36">
      <c r="B36" s="44" t="n"/>
      <c r="C36" s="46" t="n"/>
      <c r="F36" s="45" t="n"/>
      <c r="M36" s="8" t="inlineStr">
        <is>
          <t>【ロイヤリティはこのP/Lだけで数えます】</t>
        </is>
      </c>
    </row>
    <row r="37">
      <c r="B37" s="44" t="n"/>
      <c r="C37" s="46" t="n"/>
      <c r="F37" s="45" t="n"/>
      <c r="M37" s="2" t="inlineStr">
        <is>
          <t xml:space="preserve">  ・固定分 50,050円は左の経費表に入力しないこと（2026年版はここが二重計上の疑いだった）</t>
        </is>
      </c>
    </row>
    <row r="38">
      <c r="B38" s="44" t="n"/>
      <c r="C38" s="46" t="n"/>
      <c r="F38" s="45" t="n"/>
      <c r="M38" s="2" t="inlineStr">
        <is>
          <t xml:space="preserve">  ・個別ロイは左の経費表に科目「個別ロイ」で入力する。P/Lは15行目で引いて19行目で足すので、数えるのは1回だけ</t>
        </is>
      </c>
    </row>
    <row r="39">
      <c r="B39" s="44" t="n"/>
      <c r="C39" s="46" t="n"/>
      <c r="F39" s="45" t="n"/>
      <c r="M39" s="8" t="inlineStr">
        <is>
          <t>【人件費は2つに分けます】</t>
        </is>
      </c>
    </row>
    <row r="40">
      <c r="B40" s="44" t="n"/>
      <c r="C40" s="46" t="n"/>
      <c r="F40" s="45" t="n"/>
      <c r="M40" s="2" t="inlineStr">
        <is>
          <t xml:space="preserve">  ・現場人件費(原価) … 現場に出た分。原価に入る</t>
        </is>
      </c>
    </row>
    <row r="41">
      <c r="B41" s="44" t="n"/>
      <c r="C41" s="46" t="n"/>
      <c r="F41" s="45" t="n"/>
      <c r="M41" s="2" t="inlineStr">
        <is>
          <t xml:space="preserve">  ・固定給(販管費) … 和真さんの固定給40万＋プール10万、新人の給与。販管費に入る</t>
        </is>
      </c>
    </row>
    <row r="42">
      <c r="B42" s="44" t="n"/>
      <c r="C42" s="46" t="n"/>
      <c r="F42" s="45" t="n"/>
      <c r="M42" s="2" t="inlineStr">
        <is>
          <t xml:space="preserve">  ・歩合（経常利益×45%）の行は2027年から使いません</t>
        </is>
      </c>
    </row>
    <row r="43">
      <c r="B43" s="44" t="n"/>
      <c r="C43" s="46" t="n"/>
      <c r="F43" s="45" t="n"/>
      <c r="M43" s="8" t="inlineStr">
        <is>
          <t>【保険料・通信費は「その他」に入れないこと】</t>
        </is>
      </c>
    </row>
    <row r="44">
      <c r="B44" s="44" t="n"/>
      <c r="C44" s="46" t="n"/>
      <c r="F44" s="45" t="n"/>
      <c r="M44" s="2" t="inlineStr">
        <is>
          <t xml:space="preserve">  ・賠償保険 43,760／通信費 8,470／日新火災 18,050 ＝ 月70,280円。科目を独立させました</t>
        </is>
      </c>
    </row>
    <row r="45">
      <c r="B45" s="44" t="n"/>
      <c r="C45" s="46" t="n"/>
      <c r="F45" s="45" t="n"/>
    </row>
    <row r="46">
      <c r="B46" s="44" t="n"/>
      <c r="C46" s="46" t="n"/>
      <c r="F46" s="45" t="n"/>
    </row>
    <row r="47">
      <c r="B47" s="44" t="n"/>
      <c r="C47" s="46" t="n"/>
      <c r="F47" s="45" t="n"/>
    </row>
    <row r="48">
      <c r="B48" s="44" t="n"/>
      <c r="C48" s="46" t="n"/>
      <c r="F48" s="45" t="n"/>
    </row>
    <row r="49">
      <c r="B49" s="44" t="n"/>
      <c r="C49" s="46" t="n"/>
      <c r="F49" s="45" t="n"/>
    </row>
    <row r="50">
      <c r="B50" s="44" t="n"/>
      <c r="C50" s="46" t="n"/>
      <c r="F50" s="45" t="n"/>
    </row>
    <row r="51">
      <c r="B51" s="44" t="n"/>
      <c r="C51" s="46" t="n"/>
      <c r="F51" s="45" t="n"/>
    </row>
    <row r="52">
      <c r="B52" s="44" t="n"/>
      <c r="C52" s="46" t="n"/>
      <c r="F52" s="45" t="n"/>
    </row>
    <row r="53">
      <c r="B53" s="44" t="n"/>
      <c r="C53" s="46" t="n"/>
      <c r="F53" s="45" t="n"/>
    </row>
    <row r="54">
      <c r="B54" s="44" t="n"/>
      <c r="C54" s="46" t="n"/>
      <c r="F54" s="45" t="n"/>
    </row>
    <row r="55">
      <c r="B55" s="44" t="n"/>
      <c r="C55" s="46" t="n"/>
      <c r="F55" s="45" t="n"/>
    </row>
    <row r="56">
      <c r="B56" s="44" t="n"/>
      <c r="C56" s="46" t="n"/>
      <c r="F56" s="45" t="n"/>
    </row>
    <row r="57">
      <c r="B57" s="44" t="n"/>
      <c r="C57" s="46" t="n"/>
      <c r="F57" s="45" t="n"/>
    </row>
    <row r="58">
      <c r="B58" s="44" t="n"/>
      <c r="C58" s="46" t="n"/>
      <c r="F58" s="45" t="n"/>
    </row>
    <row r="59">
      <c r="B59" s="44" t="n"/>
      <c r="C59" s="46" t="n"/>
      <c r="F59" s="45" t="n"/>
    </row>
    <row r="60">
      <c r="B60" s="44" t="n"/>
      <c r="C60" s="46" t="n"/>
      <c r="F60" s="45" t="n"/>
    </row>
    <row r="61">
      <c r="B61" s="44" t="n"/>
      <c r="C61" s="46" t="n"/>
      <c r="F61" s="45" t="n"/>
    </row>
    <row r="62">
      <c r="B62" s="44" t="n"/>
      <c r="C62" s="46" t="n"/>
      <c r="F62" s="45" t="n"/>
    </row>
    <row r="63">
      <c r="B63" s="44" t="n"/>
      <c r="C63" s="46" t="n"/>
      <c r="F63" s="45" t="n"/>
    </row>
    <row r="64">
      <c r="B64" s="44" t="n"/>
      <c r="C64" s="46" t="n"/>
      <c r="F64" s="45" t="n"/>
    </row>
    <row r="65">
      <c r="B65" s="44" t="n"/>
      <c r="C65" s="46" t="n"/>
      <c r="F65" s="45" t="n"/>
    </row>
    <row r="66">
      <c r="B66" s="44" t="n"/>
      <c r="C66" s="46" t="n"/>
      <c r="F66" s="45" t="n"/>
    </row>
    <row r="67">
      <c r="B67" s="44" t="n"/>
      <c r="C67" s="46" t="n"/>
      <c r="F67" s="45" t="n"/>
    </row>
    <row r="68">
      <c r="B68" s="44" t="n"/>
      <c r="C68" s="46" t="n"/>
      <c r="F68" s="45" t="n"/>
    </row>
    <row r="69">
      <c r="B69" s="44" t="n"/>
      <c r="C69" s="46" t="n"/>
      <c r="F69" s="45" t="n"/>
    </row>
    <row r="70">
      <c r="B70" s="44" t="n"/>
      <c r="C70" s="46" t="n"/>
      <c r="F70" s="45" t="n"/>
    </row>
    <row r="71">
      <c r="B71" s="44" t="n"/>
      <c r="C71" s="46" t="n"/>
      <c r="F71" s="45" t="n"/>
    </row>
    <row r="72">
      <c r="B72" s="44" t="n"/>
      <c r="C72" s="46" t="n"/>
      <c r="F72" s="45" t="n"/>
    </row>
    <row r="73">
      <c r="B73" s="44" t="n"/>
      <c r="C73" s="46" t="n"/>
      <c r="F73" s="45" t="n"/>
    </row>
    <row r="74">
      <c r="B74" s="44" t="n"/>
      <c r="C74" s="46" t="n"/>
      <c r="F74" s="45" t="n"/>
    </row>
    <row r="75">
      <c r="B75" s="44" t="n"/>
      <c r="C75" s="46" t="n"/>
      <c r="F75" s="45" t="n"/>
    </row>
    <row r="76">
      <c r="B76" s="44" t="n"/>
      <c r="C76" s="46" t="n"/>
      <c r="F76" s="45" t="n"/>
    </row>
    <row r="77">
      <c r="B77" s="44" t="n"/>
      <c r="C77" s="46" t="n"/>
      <c r="F77" s="45" t="n"/>
    </row>
    <row r="78">
      <c r="B78" s="44" t="n"/>
      <c r="C78" s="46" t="n"/>
      <c r="F78" s="45" t="n"/>
    </row>
    <row r="79">
      <c r="B79" s="44" t="n"/>
      <c r="C79" s="46" t="n"/>
      <c r="F79" s="45" t="n"/>
    </row>
    <row r="80">
      <c r="B80" s="44" t="n"/>
      <c r="C80" s="46" t="n"/>
      <c r="F80" s="45" t="n"/>
    </row>
    <row r="81">
      <c r="B81" s="44" t="n"/>
      <c r="C81" s="46" t="n"/>
      <c r="F81" s="45" t="n"/>
    </row>
    <row r="82">
      <c r="B82" s="44" t="n"/>
      <c r="C82" s="46" t="n"/>
      <c r="F82" s="45" t="n"/>
    </row>
    <row r="83">
      <c r="B83" s="44" t="n"/>
      <c r="C83" s="46" t="n"/>
      <c r="F83" s="45" t="n"/>
    </row>
    <row r="84">
      <c r="B84" s="44" t="n"/>
      <c r="C84" s="46" t="n"/>
      <c r="F84" s="45" t="n"/>
    </row>
    <row r="85">
      <c r="B85" s="44" t="n"/>
      <c r="C85" s="46" t="n"/>
      <c r="F85" s="45" t="n"/>
    </row>
    <row r="86">
      <c r="B86" s="44" t="n"/>
      <c r="C86" s="46" t="n"/>
      <c r="F86" s="45" t="n"/>
    </row>
    <row r="87">
      <c r="B87" s="44" t="n"/>
      <c r="C87" s="46" t="n"/>
      <c r="F87" s="45" t="n"/>
    </row>
    <row r="88">
      <c r="B88" s="44" t="n"/>
      <c r="C88" s="46" t="n"/>
      <c r="F88" s="45" t="n"/>
    </row>
    <row r="89">
      <c r="B89" s="44" t="n"/>
      <c r="C89" s="46" t="n"/>
      <c r="F89" s="45" t="n"/>
    </row>
    <row r="90">
      <c r="B90" s="44" t="n"/>
      <c r="C90" s="46" t="n"/>
      <c r="F90" s="45" t="n"/>
    </row>
    <row r="91">
      <c r="B91" s="44" t="n"/>
      <c r="C91" s="46" t="n"/>
      <c r="F91" s="45" t="n"/>
    </row>
    <row r="92">
      <c r="B92" s="44" t="n"/>
      <c r="C92" s="46" t="n"/>
      <c r="F92" s="45" t="n"/>
    </row>
    <row r="93">
      <c r="B93" s="44" t="n"/>
      <c r="C93" s="46" t="n"/>
      <c r="F93" s="45" t="n"/>
    </row>
    <row r="94">
      <c r="B94" s="44" t="n"/>
      <c r="C94" s="46" t="n"/>
      <c r="F94" s="45" t="n"/>
    </row>
    <row r="95">
      <c r="B95" s="44" t="n"/>
      <c r="C95" s="46" t="n"/>
      <c r="F95" s="45" t="n"/>
    </row>
    <row r="96">
      <c r="B96" s="44" t="n"/>
      <c r="C96" s="46" t="n"/>
      <c r="F96" s="45" t="n"/>
    </row>
    <row r="97">
      <c r="B97" s="44" t="n"/>
      <c r="C97" s="46" t="n"/>
      <c r="F97" s="45" t="n"/>
    </row>
    <row r="98">
      <c r="B98" s="44" t="n"/>
      <c r="C98" s="46" t="n"/>
      <c r="F98" s="45" t="n"/>
    </row>
    <row r="99">
      <c r="B99" s="44" t="n"/>
      <c r="C99" s="46" t="n"/>
      <c r="F99" s="45" t="n"/>
    </row>
    <row r="100">
      <c r="B100" s="44" t="n"/>
      <c r="C100" s="46" t="n"/>
      <c r="F100" s="45" t="n"/>
    </row>
    <row r="101">
      <c r="B101" s="44" t="n"/>
      <c r="C101" s="46" t="n"/>
      <c r="F101" s="45" t="n"/>
    </row>
    <row r="102">
      <c r="B102" s="44" t="n"/>
      <c r="C102" s="46" t="n"/>
      <c r="F102" s="45" t="n"/>
    </row>
    <row r="103">
      <c r="B103" s="44" t="n"/>
      <c r="C103" s="46" t="n"/>
      <c r="F103" s="45" t="n"/>
    </row>
    <row r="104">
      <c r="B104" s="44" t="n"/>
      <c r="C104" s="46" t="n"/>
      <c r="F104" s="45" t="n"/>
    </row>
    <row r="105">
      <c r="B105" s="44" t="n"/>
      <c r="C105" s="46" t="n"/>
      <c r="F105" s="45" t="n"/>
    </row>
    <row r="106">
      <c r="B106" s="44" t="n"/>
      <c r="C106" s="46" t="n"/>
      <c r="F106" s="45" t="n"/>
    </row>
    <row r="107">
      <c r="B107" s="44" t="n"/>
      <c r="C107" s="46" t="n"/>
      <c r="F107" s="45" t="n"/>
    </row>
    <row r="108">
      <c r="B108" s="44" t="n"/>
      <c r="C108" s="46" t="n"/>
      <c r="F108" s="45" t="n"/>
    </row>
    <row r="109">
      <c r="B109" s="44" t="n"/>
      <c r="C109" s="46" t="n"/>
      <c r="F109" s="45" t="n"/>
    </row>
    <row r="110">
      <c r="B110" s="44" t="n"/>
      <c r="C110" s="46" t="n"/>
      <c r="F110" s="45" t="n"/>
    </row>
    <row r="111">
      <c r="B111" s="44" t="n"/>
      <c r="C111" s="46" t="n"/>
      <c r="F111" s="45" t="n"/>
    </row>
    <row r="112">
      <c r="B112" s="44" t="n"/>
      <c r="C112" s="46" t="n"/>
      <c r="F112" s="45" t="n"/>
    </row>
    <row r="113">
      <c r="B113" s="44" t="n"/>
      <c r="C113" s="46" t="n"/>
      <c r="F113" s="45" t="n"/>
    </row>
    <row r="114">
      <c r="B114" s="44" t="n"/>
      <c r="C114" s="46" t="n"/>
      <c r="F114" s="45" t="n"/>
    </row>
    <row r="115">
      <c r="B115" s="44" t="n"/>
      <c r="C115" s="46" t="n"/>
      <c r="F115" s="45" t="n"/>
    </row>
    <row r="116">
      <c r="B116" s="44" t="n"/>
      <c r="C116" s="46" t="n"/>
      <c r="F116" s="45" t="n"/>
    </row>
    <row r="117">
      <c r="B117" s="44" t="n"/>
      <c r="C117" s="46" t="n"/>
      <c r="F117" s="45" t="n"/>
    </row>
    <row r="118">
      <c r="B118" s="44" t="n"/>
      <c r="C118" s="46" t="n"/>
      <c r="F118" s="45" t="n"/>
    </row>
    <row r="119">
      <c r="B119" s="44" t="n"/>
      <c r="C119" s="46" t="n"/>
      <c r="F119" s="45" t="n"/>
    </row>
    <row r="120">
      <c r="B120" s="44" t="n"/>
      <c r="C120" s="46" t="n"/>
      <c r="F120" s="45" t="n"/>
    </row>
    <row r="121">
      <c r="B121" s="44" t="n"/>
      <c r="C121" s="46" t="n"/>
      <c r="F121" s="45" t="n"/>
    </row>
    <row r="122">
      <c r="B122" s="44" t="n"/>
      <c r="C122" s="46" t="n"/>
      <c r="F122" s="45" t="n"/>
    </row>
    <row r="123">
      <c r="B123" s="44" t="n"/>
      <c r="C123" s="46" t="n"/>
      <c r="F123" s="45" t="n"/>
    </row>
    <row r="124">
      <c r="B124" s="44" t="n"/>
      <c r="C124" s="46" t="n"/>
      <c r="F124" s="45" t="n"/>
    </row>
    <row r="125">
      <c r="B125" s="44" t="n"/>
      <c r="C125" s="46" t="n"/>
      <c r="F125" s="45" t="n"/>
    </row>
    <row r="126">
      <c r="B126" s="44" t="n"/>
      <c r="C126" s="46" t="n"/>
      <c r="F126" s="45" t="n"/>
    </row>
    <row r="127">
      <c r="B127" s="44" t="n"/>
      <c r="C127" s="46" t="n"/>
      <c r="F127" s="45" t="n"/>
    </row>
    <row r="128">
      <c r="B128" s="44" t="n"/>
      <c r="C128" s="46" t="n"/>
      <c r="F128" s="45" t="n"/>
    </row>
    <row r="129">
      <c r="B129" s="44" t="n"/>
      <c r="C129" s="46" t="n"/>
      <c r="F129" s="45" t="n"/>
    </row>
    <row r="130">
      <c r="B130" s="44" t="n"/>
      <c r="C130" s="46" t="n"/>
      <c r="F130" s="45" t="n"/>
    </row>
    <row r="131">
      <c r="B131" s="44" t="n"/>
      <c r="C131" s="46" t="n"/>
      <c r="F131" s="45" t="n"/>
    </row>
    <row r="132">
      <c r="B132" s="44" t="n"/>
      <c r="C132" s="46" t="n"/>
      <c r="F132" s="45" t="n"/>
    </row>
    <row r="133">
      <c r="B133" s="44" t="n"/>
      <c r="C133" s="46" t="n"/>
      <c r="F133" s="45" t="n"/>
    </row>
    <row r="134">
      <c r="B134" s="44" t="n"/>
      <c r="C134" s="46" t="n"/>
      <c r="F134" s="45" t="n"/>
    </row>
    <row r="135">
      <c r="B135" s="44" t="n"/>
      <c r="C135" s="46" t="n"/>
      <c r="F135" s="45" t="n"/>
    </row>
    <row r="136">
      <c r="B136" s="44" t="n"/>
      <c r="C136" s="46" t="n"/>
      <c r="F136" s="45" t="n"/>
    </row>
    <row r="137">
      <c r="B137" s="44" t="n"/>
      <c r="C137" s="46" t="n"/>
      <c r="F137" s="45" t="n"/>
    </row>
    <row r="138">
      <c r="B138" s="44" t="n"/>
      <c r="C138" s="46" t="n"/>
      <c r="F138" s="45" t="n"/>
    </row>
    <row r="139">
      <c r="B139" s="44" t="n"/>
      <c r="C139" s="46" t="n"/>
      <c r="F139" s="45" t="n"/>
    </row>
    <row r="140">
      <c r="B140" s="44" t="n"/>
      <c r="C140" s="46" t="n"/>
      <c r="F140" s="45" t="n"/>
    </row>
    <row r="141">
      <c r="B141" s="44" t="n"/>
      <c r="C141" s="46" t="n"/>
      <c r="F141" s="45" t="n"/>
    </row>
    <row r="142">
      <c r="B142" s="44" t="n"/>
      <c r="C142" s="46" t="n"/>
      <c r="F142" s="45" t="n"/>
    </row>
    <row r="143">
      <c r="B143" s="44" t="n"/>
      <c r="C143" s="46" t="n"/>
      <c r="F143" s="45" t="n"/>
    </row>
    <row r="144">
      <c r="B144" s="44" t="n"/>
      <c r="C144" s="46" t="n"/>
      <c r="F144" s="45" t="n"/>
    </row>
    <row r="145">
      <c r="B145" s="44" t="n"/>
      <c r="C145" s="46" t="n"/>
      <c r="F145" s="45" t="n"/>
    </row>
    <row r="146">
      <c r="B146" s="44" t="n"/>
      <c r="C146" s="46" t="n"/>
      <c r="F146" s="45" t="n"/>
    </row>
    <row r="147">
      <c r="B147" s="44" t="n"/>
      <c r="C147" s="46" t="n"/>
      <c r="F147" s="45" t="n"/>
    </row>
    <row r="148">
      <c r="B148" s="44" t="n"/>
      <c r="C148" s="46" t="n"/>
      <c r="F148" s="45" t="n"/>
    </row>
    <row r="149">
      <c r="B149" s="44" t="n"/>
      <c r="C149" s="46" t="n"/>
      <c r="F149" s="45" t="n"/>
    </row>
    <row r="150">
      <c r="B150" s="44" t="n"/>
      <c r="C150" s="46" t="n"/>
      <c r="F150" s="45" t="n"/>
    </row>
    <row r="151">
      <c r="B151" s="44" t="n"/>
      <c r="C151" s="46" t="n"/>
      <c r="F151" s="45" t="n"/>
    </row>
    <row r="152">
      <c r="B152" s="44" t="n"/>
      <c r="C152" s="46" t="n"/>
      <c r="F152" s="45" t="n"/>
    </row>
    <row r="153">
      <c r="B153" s="44" t="n"/>
      <c r="C153" s="46" t="n"/>
      <c r="F153" s="45" t="n"/>
    </row>
    <row r="154">
      <c r="B154" s="44" t="n"/>
      <c r="C154" s="46" t="n"/>
      <c r="F154" s="45" t="n"/>
    </row>
    <row r="155">
      <c r="B155" s="44" t="n"/>
      <c r="C155" s="46" t="n"/>
      <c r="F155" s="45" t="n"/>
    </row>
    <row r="156">
      <c r="B156" s="44" t="n"/>
      <c r="C156" s="46" t="n"/>
      <c r="F156" s="45" t="n"/>
    </row>
    <row r="157">
      <c r="B157" s="44" t="n"/>
      <c r="C157" s="46" t="n"/>
      <c r="F157" s="45" t="n"/>
    </row>
    <row r="158">
      <c r="B158" s="44" t="n"/>
      <c r="C158" s="46" t="n"/>
      <c r="F158" s="45" t="n"/>
    </row>
    <row r="159">
      <c r="B159" s="44" t="n"/>
      <c r="C159" s="46" t="n"/>
      <c r="F159" s="45" t="n"/>
    </row>
    <row r="160">
      <c r="B160" s="44" t="n"/>
      <c r="C160" s="46" t="n"/>
      <c r="F160" s="45" t="n"/>
    </row>
    <row r="161">
      <c r="B161" s="44" t="n"/>
      <c r="C161" s="46" t="n"/>
      <c r="F161" s="45" t="n"/>
    </row>
    <row r="162">
      <c r="B162" s="44" t="n"/>
      <c r="C162" s="46" t="n"/>
      <c r="F162" s="45" t="n"/>
    </row>
    <row r="163">
      <c r="B163" s="44" t="n"/>
      <c r="C163" s="46" t="n"/>
      <c r="F163" s="45" t="n"/>
    </row>
    <row r="164">
      <c r="B164" s="44" t="n"/>
      <c r="C164" s="46" t="n"/>
      <c r="F164" s="45" t="n"/>
    </row>
    <row r="165">
      <c r="B165" s="44" t="n"/>
      <c r="C165" s="46" t="n"/>
      <c r="F165" s="45" t="n"/>
    </row>
    <row r="166">
      <c r="B166" s="44" t="n"/>
      <c r="C166" s="46" t="n"/>
      <c r="F166" s="45" t="n"/>
    </row>
    <row r="167">
      <c r="B167" s="44" t="n"/>
      <c r="C167" s="46" t="n"/>
      <c r="F167" s="45" t="n"/>
    </row>
    <row r="168">
      <c r="B168" s="44" t="n"/>
      <c r="C168" s="46" t="n"/>
      <c r="F168" s="45" t="n"/>
    </row>
    <row r="169">
      <c r="B169" s="44" t="n"/>
      <c r="C169" s="46" t="n"/>
      <c r="F169" s="45" t="n"/>
    </row>
    <row r="170">
      <c r="B170" s="44" t="n"/>
      <c r="C170" s="46" t="n"/>
      <c r="F170" s="45" t="n"/>
    </row>
    <row r="171">
      <c r="B171" s="44" t="n"/>
      <c r="C171" s="46" t="n"/>
      <c r="F171" s="45" t="n"/>
    </row>
    <row r="172">
      <c r="B172" s="44" t="n"/>
      <c r="C172" s="46" t="n"/>
      <c r="F172" s="45" t="n"/>
    </row>
    <row r="173">
      <c r="B173" s="44" t="n"/>
      <c r="C173" s="46" t="n"/>
      <c r="F173" s="45" t="n"/>
    </row>
    <row r="174">
      <c r="B174" s="44" t="n"/>
      <c r="C174" s="46" t="n"/>
      <c r="F174" s="45" t="n"/>
    </row>
    <row r="175">
      <c r="B175" s="44" t="n"/>
      <c r="C175" s="46" t="n"/>
      <c r="F175" s="45" t="n"/>
    </row>
    <row r="176">
      <c r="B176" s="44" t="n"/>
      <c r="C176" s="46" t="n"/>
      <c r="F176" s="45" t="n"/>
    </row>
    <row r="177">
      <c r="B177" s="44" t="n"/>
      <c r="C177" s="46" t="n"/>
      <c r="F177" s="45" t="n"/>
    </row>
    <row r="178">
      <c r="B178" s="44" t="n"/>
      <c r="C178" s="46" t="n"/>
      <c r="F178" s="45" t="n"/>
    </row>
    <row r="179">
      <c r="B179" s="44" t="n"/>
      <c r="C179" s="46" t="n"/>
      <c r="F179" s="45" t="n"/>
    </row>
    <row r="180">
      <c r="B180" s="44" t="n"/>
      <c r="C180" s="46" t="n"/>
      <c r="F180" s="45" t="n"/>
    </row>
    <row r="181">
      <c r="B181" s="44" t="n"/>
      <c r="C181" s="46" t="n"/>
      <c r="F181" s="45" t="n"/>
    </row>
    <row r="182">
      <c r="B182" s="44" t="n"/>
      <c r="C182" s="46" t="n"/>
      <c r="F182" s="45" t="n"/>
    </row>
    <row r="183">
      <c r="B183" s="44" t="n"/>
      <c r="C183" s="46" t="n"/>
      <c r="F183" s="45" t="n"/>
    </row>
    <row r="184">
      <c r="B184" s="44" t="n"/>
      <c r="C184" s="46" t="n"/>
      <c r="F184" s="45" t="n"/>
    </row>
    <row r="185">
      <c r="B185" s="44" t="n"/>
      <c r="C185" s="46" t="n"/>
      <c r="F185" s="45" t="n"/>
    </row>
    <row r="186">
      <c r="B186" s="44" t="n"/>
      <c r="C186" s="46" t="n"/>
      <c r="F186" s="45" t="n"/>
    </row>
    <row r="187">
      <c r="B187" s="44" t="n"/>
      <c r="C187" s="46" t="n"/>
      <c r="F187" s="45" t="n"/>
    </row>
    <row r="188">
      <c r="B188" s="44" t="n"/>
      <c r="C188" s="46" t="n"/>
      <c r="F188" s="45" t="n"/>
    </row>
    <row r="189">
      <c r="B189" s="44" t="n"/>
      <c r="C189" s="46" t="n"/>
      <c r="F189" s="45" t="n"/>
    </row>
    <row r="190">
      <c r="B190" s="44" t="n"/>
      <c r="C190" s="46" t="n"/>
      <c r="F190" s="45" t="n"/>
    </row>
    <row r="191">
      <c r="B191" s="44" t="n"/>
      <c r="C191" s="46" t="n"/>
      <c r="F191" s="45" t="n"/>
    </row>
    <row r="192">
      <c r="B192" s="44" t="n"/>
      <c r="C192" s="46" t="n"/>
      <c r="F192" s="45" t="n"/>
    </row>
    <row r="193">
      <c r="B193" s="44" t="n"/>
      <c r="C193" s="46" t="n"/>
      <c r="F193" s="45" t="n"/>
    </row>
    <row r="194">
      <c r="B194" s="44" t="n"/>
      <c r="C194" s="46" t="n"/>
      <c r="F194" s="45" t="n"/>
    </row>
    <row r="195">
      <c r="B195" s="44" t="n"/>
      <c r="C195" s="46" t="n"/>
      <c r="F195" s="45" t="n"/>
    </row>
    <row r="196">
      <c r="B196" s="44" t="n"/>
      <c r="C196" s="46" t="n"/>
      <c r="F196" s="45" t="n"/>
    </row>
    <row r="197">
      <c r="B197" s="44" t="n"/>
      <c r="C197" s="46" t="n"/>
      <c r="F197" s="45" t="n"/>
    </row>
    <row r="198">
      <c r="B198" s="44" t="n"/>
      <c r="C198" s="46" t="n"/>
      <c r="F198" s="45" t="n"/>
    </row>
    <row r="199">
      <c r="B199" s="44" t="n"/>
      <c r="C199" s="46" t="n"/>
      <c r="F199" s="45" t="n"/>
    </row>
    <row r="200">
      <c r="B200" s="44" t="n"/>
      <c r="C200" s="46" t="n"/>
      <c r="F200" s="45" t="n"/>
    </row>
    <row r="201">
      <c r="B201" s="44" t="n"/>
      <c r="C201" s="46" t="n"/>
      <c r="F201" s="45" t="n"/>
    </row>
    <row r="202">
      <c r="B202" s="44" t="n"/>
      <c r="C202" s="46" t="n"/>
      <c r="F202" s="45" t="n"/>
    </row>
    <row r="203">
      <c r="B203" s="44" t="n"/>
      <c r="C203" s="46" t="n"/>
      <c r="F203" s="45" t="n"/>
    </row>
    <row r="204">
      <c r="B204" s="44" t="n"/>
      <c r="C204" s="46" t="n"/>
      <c r="F204" s="45" t="n"/>
    </row>
    <row r="205">
      <c r="B205" s="44" t="n"/>
      <c r="C205" s="46" t="n"/>
      <c r="F205" s="45" t="n"/>
    </row>
    <row r="206">
      <c r="B206" s="44" t="n"/>
      <c r="C206" s="46" t="n"/>
      <c r="F206" s="45" t="n"/>
    </row>
    <row r="207">
      <c r="B207" s="44" t="n"/>
      <c r="C207" s="46" t="n"/>
      <c r="F207" s="45" t="n"/>
    </row>
    <row r="208">
      <c r="B208" s="44" t="n"/>
      <c r="C208" s="46" t="n"/>
      <c r="F208" s="45" t="n"/>
    </row>
    <row r="209">
      <c r="B209" s="44" t="n"/>
      <c r="C209" s="46" t="n"/>
      <c r="F209" s="45" t="n"/>
    </row>
    <row r="210">
      <c r="B210" s="44" t="n"/>
      <c r="C210" s="46" t="n"/>
      <c r="F210" s="45" t="n"/>
    </row>
    <row r="211">
      <c r="B211" s="44" t="n"/>
      <c r="C211" s="46" t="n"/>
      <c r="F211" s="45" t="n"/>
    </row>
    <row r="212">
      <c r="B212" s="44" t="n"/>
      <c r="C212" s="46" t="n"/>
      <c r="F212" s="45" t="n"/>
    </row>
    <row r="213">
      <c r="B213" s="44" t="n"/>
      <c r="C213" s="46" t="n"/>
      <c r="F213" s="45" t="n"/>
    </row>
    <row r="214">
      <c r="B214" s="44" t="n"/>
      <c r="C214" s="46" t="n"/>
      <c r="F214" s="45" t="n"/>
    </row>
    <row r="215">
      <c r="B215" s="44" t="n"/>
      <c r="C215" s="46" t="n"/>
      <c r="F215" s="45" t="n"/>
    </row>
    <row r="216">
      <c r="B216" s="44" t="n"/>
      <c r="C216" s="46" t="n"/>
      <c r="F216" s="45" t="n"/>
    </row>
    <row r="217">
      <c r="B217" s="44" t="n"/>
      <c r="C217" s="46" t="n"/>
      <c r="F217" s="45" t="n"/>
    </row>
    <row r="218">
      <c r="B218" s="44" t="n"/>
      <c r="C218" s="46" t="n"/>
      <c r="F218" s="45" t="n"/>
    </row>
    <row r="219">
      <c r="B219" s="44" t="n"/>
      <c r="C219" s="46" t="n"/>
      <c r="F219" s="45" t="n"/>
    </row>
    <row r="220">
      <c r="B220" s="44" t="n"/>
      <c r="C220" s="46" t="n"/>
      <c r="F220" s="45" t="n"/>
    </row>
    <row r="221">
      <c r="B221" s="44" t="n"/>
      <c r="C221" s="46" t="n"/>
      <c r="F221" s="45" t="n"/>
    </row>
    <row r="222">
      <c r="B222" s="44" t="n"/>
      <c r="C222" s="46" t="n"/>
      <c r="F222" s="45" t="n"/>
    </row>
    <row r="223">
      <c r="B223" s="44" t="n"/>
      <c r="C223" s="46" t="n"/>
      <c r="F223" s="45" t="n"/>
    </row>
    <row r="224">
      <c r="B224" s="44" t="n"/>
      <c r="C224" s="46" t="n"/>
      <c r="F224" s="45" t="n"/>
    </row>
    <row r="225">
      <c r="B225" s="44" t="n"/>
      <c r="C225" s="46" t="n"/>
      <c r="F225" s="45" t="n"/>
    </row>
    <row r="226">
      <c r="B226" s="44" t="n"/>
      <c r="C226" s="46" t="n"/>
      <c r="F226" s="45" t="n"/>
    </row>
    <row r="227">
      <c r="B227" s="44" t="n"/>
      <c r="C227" s="46" t="n"/>
      <c r="F227" s="45" t="n"/>
    </row>
    <row r="228">
      <c r="B228" s="44" t="n"/>
      <c r="C228" s="46" t="n"/>
      <c r="F228" s="45" t="n"/>
    </row>
    <row r="229">
      <c r="B229" s="44" t="n"/>
      <c r="C229" s="46" t="n"/>
      <c r="F229" s="45" t="n"/>
    </row>
    <row r="230">
      <c r="B230" s="44" t="n"/>
      <c r="C230" s="46" t="n"/>
      <c r="F230" s="45" t="n"/>
    </row>
    <row r="231">
      <c r="B231" s="44" t="n"/>
      <c r="C231" s="46" t="n"/>
      <c r="F231" s="45" t="n"/>
    </row>
    <row r="232">
      <c r="B232" s="44" t="n"/>
      <c r="C232" s="46" t="n"/>
      <c r="F232" s="45" t="n"/>
    </row>
    <row r="233">
      <c r="B233" s="44" t="n"/>
      <c r="C233" s="46" t="n"/>
      <c r="F233" s="45" t="n"/>
    </row>
    <row r="234">
      <c r="B234" s="44" t="n"/>
      <c r="C234" s="46" t="n"/>
      <c r="F234" s="45" t="n"/>
    </row>
    <row r="235">
      <c r="B235" s="44" t="n"/>
      <c r="C235" s="46" t="n"/>
      <c r="F235" s="45" t="n"/>
    </row>
    <row r="236">
      <c r="B236" s="44" t="n"/>
      <c r="C236" s="46" t="n"/>
      <c r="F236" s="45" t="n"/>
    </row>
    <row r="237">
      <c r="B237" s="44" t="n"/>
      <c r="C237" s="46" t="n"/>
      <c r="F237" s="45" t="n"/>
    </row>
    <row r="238">
      <c r="B238" s="44" t="n"/>
      <c r="C238" s="46" t="n"/>
      <c r="F238" s="45" t="n"/>
    </row>
    <row r="239">
      <c r="B239" s="44" t="n"/>
      <c r="C239" s="46" t="n"/>
      <c r="F239" s="45" t="n"/>
    </row>
    <row r="240">
      <c r="B240" s="44" t="n"/>
      <c r="C240" s="46" t="n"/>
      <c r="F240" s="45" t="n"/>
    </row>
    <row r="241">
      <c r="B241" s="44" t="n"/>
      <c r="C241" s="46" t="n"/>
      <c r="F241" s="45" t="n"/>
    </row>
    <row r="242">
      <c r="B242" s="44" t="n"/>
      <c r="C242" s="46" t="n"/>
      <c r="F242" s="45" t="n"/>
    </row>
    <row r="243">
      <c r="B243" s="44" t="n"/>
      <c r="C243" s="46" t="n"/>
      <c r="F243" s="45" t="n"/>
    </row>
    <row r="244">
      <c r="B244" s="44" t="n"/>
      <c r="C244" s="46" t="n"/>
      <c r="F244" s="45" t="n"/>
    </row>
    <row r="245">
      <c r="B245" s="44" t="n"/>
      <c r="C245" s="46" t="n"/>
      <c r="F245" s="45" t="n"/>
    </row>
    <row r="246">
      <c r="B246" s="44" t="n"/>
      <c r="C246" s="46" t="n"/>
      <c r="F246" s="45" t="n"/>
    </row>
    <row r="247">
      <c r="B247" s="44" t="n"/>
      <c r="C247" s="46" t="n"/>
      <c r="F247" s="45" t="n"/>
    </row>
    <row r="248">
      <c r="B248" s="44" t="n"/>
      <c r="C248" s="46" t="n"/>
      <c r="F248" s="45" t="n"/>
    </row>
    <row r="249">
      <c r="B249" s="44" t="n"/>
      <c r="C249" s="46" t="n"/>
      <c r="F249" s="45" t="n"/>
    </row>
    <row r="250">
      <c r="B250" s="44" t="n"/>
      <c r="C250" s="46" t="n"/>
      <c r="F250" s="45" t="n"/>
    </row>
    <row r="251">
      <c r="B251" s="44" t="n"/>
      <c r="C251" s="46" t="n"/>
      <c r="F251" s="45" t="n"/>
    </row>
    <row r="252">
      <c r="B252" s="44" t="n"/>
      <c r="C252" s="46" t="n"/>
      <c r="F252" s="45" t="n"/>
    </row>
    <row r="253">
      <c r="B253" s="44" t="n"/>
      <c r="C253" s="46" t="n"/>
      <c r="F253" s="45" t="n"/>
    </row>
    <row r="254">
      <c r="B254" s="44" t="n"/>
      <c r="C254" s="46" t="n"/>
      <c r="F254" s="45" t="n"/>
    </row>
    <row r="255">
      <c r="B255" s="44" t="n"/>
      <c r="C255" s="46" t="n"/>
      <c r="F255" s="45" t="n"/>
    </row>
    <row r="256">
      <c r="B256" s="44" t="n"/>
      <c r="C256" s="46" t="n"/>
      <c r="F256" s="45" t="n"/>
    </row>
    <row r="257">
      <c r="B257" s="44" t="n"/>
      <c r="C257" s="46" t="n"/>
      <c r="F257" s="45" t="n"/>
    </row>
    <row r="258">
      <c r="B258" s="44" t="n"/>
      <c r="C258" s="46" t="n"/>
      <c r="F258" s="45" t="n"/>
    </row>
    <row r="259">
      <c r="B259" s="44" t="n"/>
      <c r="C259" s="46" t="n"/>
      <c r="F259" s="45" t="n"/>
    </row>
    <row r="260">
      <c r="B260" s="44" t="n"/>
      <c r="C260" s="46" t="n"/>
      <c r="F260" s="45" t="n"/>
    </row>
    <row r="261">
      <c r="B261" s="44" t="n"/>
      <c r="C261" s="46" t="n"/>
      <c r="F261" s="45" t="n"/>
    </row>
    <row r="262">
      <c r="B262" s="44" t="n"/>
      <c r="C262" s="46" t="n"/>
      <c r="F262" s="45" t="n"/>
    </row>
    <row r="263">
      <c r="B263" s="44" t="n"/>
      <c r="C263" s="46" t="n"/>
      <c r="F263" s="45" t="n"/>
    </row>
    <row r="264">
      <c r="B264" s="44" t="n"/>
      <c r="C264" s="46" t="n"/>
      <c r="F264" s="45" t="n"/>
    </row>
    <row r="265">
      <c r="B265" s="44" t="n"/>
      <c r="C265" s="46" t="n"/>
      <c r="F265" s="45" t="n"/>
    </row>
    <row r="266">
      <c r="B266" s="44" t="n"/>
      <c r="C266" s="46" t="n"/>
      <c r="F266" s="45" t="n"/>
    </row>
    <row r="267">
      <c r="B267" s="44" t="n"/>
      <c r="C267" s="46" t="n"/>
      <c r="F267" s="45" t="n"/>
    </row>
    <row r="268">
      <c r="B268" s="44" t="n"/>
      <c r="C268" s="46" t="n"/>
      <c r="F268" s="45" t="n"/>
    </row>
    <row r="269">
      <c r="B269" s="44" t="n"/>
      <c r="C269" s="46" t="n"/>
      <c r="F269" s="45" t="n"/>
    </row>
    <row r="270">
      <c r="B270" s="44" t="n"/>
      <c r="C270" s="46" t="n"/>
      <c r="F270" s="45" t="n"/>
    </row>
    <row r="271">
      <c r="B271" s="44" t="n"/>
      <c r="C271" s="46" t="n"/>
      <c r="F271" s="45" t="n"/>
    </row>
    <row r="272">
      <c r="B272" s="44" t="n"/>
      <c r="C272" s="46" t="n"/>
      <c r="F272" s="45" t="n"/>
    </row>
    <row r="273">
      <c r="B273" s="44" t="n"/>
      <c r="C273" s="46" t="n"/>
      <c r="F273" s="45" t="n"/>
    </row>
    <row r="274">
      <c r="B274" s="44" t="n"/>
      <c r="C274" s="46" t="n"/>
      <c r="F274" s="45" t="n"/>
    </row>
    <row r="275">
      <c r="B275" s="44" t="n"/>
      <c r="C275" s="46" t="n"/>
      <c r="F275" s="45" t="n"/>
    </row>
    <row r="276">
      <c r="B276" s="44" t="n"/>
      <c r="C276" s="46" t="n"/>
      <c r="F276" s="45" t="n"/>
    </row>
    <row r="277">
      <c r="B277" s="44" t="n"/>
      <c r="C277" s="46" t="n"/>
      <c r="F277" s="45" t="n"/>
    </row>
    <row r="278">
      <c r="B278" s="44" t="n"/>
      <c r="C278" s="46" t="n"/>
      <c r="F278" s="45" t="n"/>
    </row>
    <row r="279">
      <c r="B279" s="44" t="n"/>
      <c r="C279" s="46" t="n"/>
      <c r="F279" s="45" t="n"/>
    </row>
    <row r="280">
      <c r="B280" s="44" t="n"/>
      <c r="C280" s="46" t="n"/>
      <c r="F280" s="45" t="n"/>
    </row>
    <row r="281">
      <c r="B281" s="44" t="n"/>
      <c r="C281" s="46" t="n"/>
      <c r="F281" s="45" t="n"/>
    </row>
    <row r="282">
      <c r="B282" s="44" t="n"/>
      <c r="C282" s="46" t="n"/>
      <c r="F282" s="45" t="n"/>
    </row>
    <row r="283">
      <c r="B283" s="44" t="n"/>
      <c r="C283" s="46" t="n"/>
      <c r="F283" s="45" t="n"/>
    </row>
    <row r="284">
      <c r="B284" s="44" t="n"/>
      <c r="C284" s="46" t="n"/>
      <c r="F284" s="45" t="n"/>
    </row>
    <row r="285">
      <c r="B285" s="44" t="n"/>
      <c r="C285" s="46" t="n"/>
      <c r="F285" s="45" t="n"/>
    </row>
    <row r="286">
      <c r="B286" s="44" t="n"/>
      <c r="C286" s="46" t="n"/>
      <c r="F286" s="45" t="n"/>
    </row>
    <row r="287">
      <c r="B287" s="44" t="n"/>
      <c r="C287" s="46" t="n"/>
      <c r="F287" s="45" t="n"/>
    </row>
    <row r="288">
      <c r="B288" s="44" t="n"/>
      <c r="C288" s="46" t="n"/>
      <c r="F288" s="45" t="n"/>
    </row>
    <row r="289">
      <c r="B289" s="44" t="n"/>
      <c r="C289" s="46" t="n"/>
      <c r="F289" s="45" t="n"/>
    </row>
    <row r="290">
      <c r="B290" s="44" t="n"/>
      <c r="C290" s="46" t="n"/>
      <c r="F290" s="45" t="n"/>
    </row>
    <row r="291">
      <c r="B291" s="44" t="n"/>
      <c r="C291" s="46" t="n"/>
      <c r="F291" s="45" t="n"/>
    </row>
    <row r="292">
      <c r="B292" s="44" t="n"/>
      <c r="C292" s="46" t="n"/>
      <c r="F292" s="45" t="n"/>
    </row>
    <row r="293">
      <c r="B293" s="44" t="n"/>
      <c r="C293" s="46" t="n"/>
      <c r="F293" s="45" t="n"/>
    </row>
    <row r="294">
      <c r="B294" s="44" t="n"/>
      <c r="C294" s="46" t="n"/>
      <c r="F294" s="45" t="n"/>
    </row>
    <row r="295">
      <c r="B295" s="44" t="n"/>
      <c r="C295" s="46" t="n"/>
      <c r="F295" s="45" t="n"/>
    </row>
    <row r="296">
      <c r="B296" s="44" t="n"/>
      <c r="C296" s="46" t="n"/>
      <c r="F296" s="45" t="n"/>
    </row>
    <row r="297">
      <c r="B297" s="44" t="n"/>
      <c r="C297" s="46" t="n"/>
      <c r="F297" s="45" t="n"/>
    </row>
    <row r="298">
      <c r="B298" s="44" t="n"/>
      <c r="C298" s="46" t="n"/>
      <c r="F298" s="45" t="n"/>
    </row>
    <row r="299">
      <c r="B299" s="44" t="n"/>
      <c r="C299" s="46" t="n"/>
      <c r="F299" s="45" t="n"/>
    </row>
    <row r="300">
      <c r="B300" s="44" t="n"/>
      <c r="C300" s="46" t="n"/>
      <c r="F300" s="45" t="n"/>
    </row>
    <row r="301">
      <c r="B301" s="44" t="n"/>
      <c r="C301" s="46" t="n"/>
      <c r="F301" s="45" t="n"/>
    </row>
    <row r="302">
      <c r="B302" s="44" t="n"/>
      <c r="C302" s="46" t="n"/>
      <c r="F302" s="45" t="n"/>
    </row>
  </sheetData>
  <conditionalFormatting sqref="N22">
    <cfRule type="cellIs" priority="1" operator="lessThan" dxfId="0">
      <formula>0</formula>
    </cfRule>
  </conditionalFormatting>
  <conditionalFormatting sqref="N24">
    <cfRule type="cellIs" priority="2" operator="lessThan" dxfId="0">
      <formula>0</formula>
    </cfRule>
    <cfRule type="cellIs" priority="3" operator="greaterThan" dxfId="1">
      <formula>0</formula>
    </cfRule>
  </conditionalFormatting>
  <conditionalFormatting sqref="N30">
    <cfRule type="expression" priority="4" dxfId="0">
      <formula>AND($N$3&gt;0,N30&lt;0)</formula>
    </cfRule>
    <cfRule type="expression" priority="5" dxfId="1">
      <formula>AND($N$3&gt;0,N30&gt;=0)</formula>
    </cfRule>
  </conditionalFormatting>
  <conditionalFormatting sqref="N32">
    <cfRule type="expression" priority="6" dxfId="0">
      <formula>AND($N$3&gt;0,N32&lt;0)</formula>
    </cfRule>
    <cfRule type="expression" priority="7" dxfId="1">
      <formula>AND($N$3&gt;0,N32&gt;=0)</formula>
    </cfRule>
  </conditionalFormatting>
  <dataValidations count="2">
    <dataValidation sqref="E3:E302" showDropDown="0" showInputMessage="0" showErrorMessage="0" allowBlank="1" type="list">
      <formula1>'選択肢マスター'!$K$2:$K$12</formula1>
    </dataValidation>
    <dataValidation sqref="H3:H302" showDropDown="0" showInputMessage="0" showErrorMessage="0" allowBlank="1" type="list">
      <formula1>'選択肢マスター'!$J$2:$J$3</formula1>
    </dataValidation>
  </dataValidations>
  <pageMargins left="0.75" right="0.75" top="1" bottom="1" header="0.5" footer="0.5"/>
</worksheet>
</file>

<file path=xl/worksheets/sheet18.xml><?xml version="1.0" encoding="utf-8"?>
<worksheet xmlns="http://schemas.openxmlformats.org/spreadsheetml/2006/main">
  <sheetPr>
    <tabColor rgb="00C55A11"/>
    <outlinePr summaryBelow="1" summaryRight="1"/>
    <pageSetUpPr/>
  </sheetPr>
  <dimension ref="A1:R302"/>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8" customWidth="1" min="3" max="3"/>
    <col width="26" customWidth="1" min="4" max="4"/>
    <col width="18" customWidth="1" min="5" max="5"/>
    <col width="12" customWidth="1" min="6" max="6"/>
    <col width="26" customWidth="1" min="7" max="7"/>
    <col width="11" customWidth="1" min="8" max="8"/>
    <col width="26" customWidth="1" min="13" max="13"/>
    <col width="15" customWidth="1" min="14" max="14"/>
    <col width="52" customWidth="1" min="15" max="15"/>
    <col width="20" customWidth="1" min="17" max="17"/>
    <col width="14" customWidth="1" min="18" max="18"/>
  </cols>
  <sheetData>
    <row r="1">
      <c r="A1" s="8" t="inlineStr">
        <is>
          <t>◆ 4月の経費入力。3行目から下へ足していってよい。右の月次P/Lは行が動かないので壊れない</t>
        </is>
      </c>
      <c r="M1" s="11" t="inlineStr">
        <is>
          <t>▼ 月次P/L（この位置は固定。左の経費表を何行足してもずれません）</t>
        </is>
      </c>
    </row>
    <row r="2" ht="30" customHeight="1">
      <c r="A2" s="3" t="inlineStr">
        <is>
          <t>No.</t>
        </is>
      </c>
      <c r="B2" s="3" t="inlineStr">
        <is>
          <t>日付</t>
        </is>
      </c>
      <c r="C2" s="3" t="inlineStr">
        <is>
          <t>時刻</t>
        </is>
      </c>
      <c r="D2" s="3" t="inlineStr">
        <is>
          <t>品目</t>
        </is>
      </c>
      <c r="E2" s="3" t="inlineStr">
        <is>
          <t>科目</t>
        </is>
      </c>
      <c r="F2" s="3" t="inlineStr">
        <is>
          <t>金額</t>
        </is>
      </c>
      <c r="G2" s="3" t="inlineStr">
        <is>
          <t>備考</t>
        </is>
      </c>
      <c r="H2" s="3" t="inlineStr">
        <is>
          <t>現金立替え</t>
        </is>
      </c>
      <c r="M2" s="3" t="inlineStr">
        <is>
          <t>項目</t>
        </is>
      </c>
      <c r="N2" s="3" t="inlineStr">
        <is>
          <t>金額</t>
        </is>
      </c>
      <c r="O2" s="3" t="inlineStr">
        <is>
          <t>計算の中身</t>
        </is>
      </c>
      <c r="Q2" s="11" t="inlineStr">
        <is>
          <t>▼ 科目別 集計</t>
        </is>
      </c>
    </row>
    <row r="3" ht="30" customHeight="1">
      <c r="B3" s="44" t="n"/>
      <c r="C3" s="46" t="n"/>
      <c r="F3" s="45" t="n"/>
      <c r="M3" s="47" t="inlineStr">
        <is>
          <t>売上</t>
        </is>
      </c>
      <c r="N3" s="48">
        <f>'4月_売上顧客'!$L$4</f>
        <v/>
      </c>
      <c r="O3" s="2" t="inlineStr">
        <is>
          <t>4月_売上顧客 の合計売上</t>
        </is>
      </c>
      <c r="Q3" s="3" t="inlineStr">
        <is>
          <t>科目</t>
        </is>
      </c>
      <c r="R3" s="3" t="inlineStr">
        <is>
          <t>金額</t>
        </is>
      </c>
    </row>
    <row r="4">
      <c r="B4" s="44" t="n"/>
      <c r="C4" s="46" t="n"/>
      <c r="F4" s="45" t="n"/>
      <c r="M4" s="49" t="inlineStr">
        <is>
          <t>エアコン台数(参考)</t>
        </is>
      </c>
      <c r="N4" s="50">
        <f>COUNTIFS('4月_売上顧客'!$M$5:$M$504,"エアコン(ノーマル)")+COUNTIFS('4月_売上顧客'!$M$5:$M$504,"エアコン(ロボ)")+COUNTIFS('4月_売上顧客'!$M$5:$M$504,"天カセ")+COUNTIFS('4月_売上顧客'!$M$5:$M$504,"業務用エアコン1方向")</f>
        <v/>
      </c>
      <c r="O4" s="2" t="inlineStr">
        <is>
          <t>エアコン(ノーマル/ロボ)・天カセ・業務用1方向</t>
        </is>
      </c>
      <c r="Q4" s="51" t="inlineStr">
        <is>
          <t>交通費</t>
        </is>
      </c>
      <c r="R4" s="52">
        <f>SUMIFS($F$3:$F$302,$E$3:$E$302,"交通費")</f>
        <v/>
      </c>
    </row>
    <row r="5">
      <c r="B5" s="44" t="n"/>
      <c r="C5" s="46" t="n"/>
      <c r="F5" s="45" t="n"/>
      <c r="M5" s="49" t="inlineStr">
        <is>
          <t>換気扇台数(参考)</t>
        </is>
      </c>
      <c r="N5" s="50">
        <f>COUNTIFS('4月_売上顧客'!$M$5:$M$504,"換気扇")</f>
        <v/>
      </c>
      <c r="O5" s="2" t="inlineStr">
        <is>
          <t>実施メニュー＝換気扇</t>
        </is>
      </c>
      <c r="Q5" s="51" t="inlineStr">
        <is>
          <t>保険料</t>
        </is>
      </c>
      <c r="R5" s="52">
        <f>SUMIFS($F$3:$F$302,$E$3:$E$302,"保険料")</f>
        <v/>
      </c>
    </row>
    <row r="6">
      <c r="B6" s="44" t="n"/>
      <c r="C6" s="46" t="n"/>
      <c r="F6" s="45" t="n"/>
      <c r="M6" s="49" t="inlineStr">
        <is>
          <t>浴室台数(参考)</t>
        </is>
      </c>
      <c r="N6" s="50">
        <f>COUNTIFS('4月_売上顧客'!$M$5:$M$504,"浴室")</f>
        <v/>
      </c>
      <c r="O6" s="2" t="inlineStr">
        <is>
          <t>実施メニュー＝浴室</t>
        </is>
      </c>
      <c r="Q6" s="51" t="inlineStr">
        <is>
          <t>通信費</t>
        </is>
      </c>
      <c r="R6" s="52">
        <f>SUMIFS($F$3:$F$302,$E$3:$E$302,"通信費")</f>
        <v/>
      </c>
    </row>
    <row r="7">
      <c r="B7" s="44" t="n"/>
      <c r="C7" s="46" t="n"/>
      <c r="F7" s="45" t="n"/>
      <c r="M7" s="49" t="inlineStr">
        <is>
          <t>資材費</t>
        </is>
      </c>
      <c r="N7" s="53">
        <f>N4*373+N5*176+N6*149</f>
        <v/>
      </c>
      <c r="O7" s="2" t="inlineStr">
        <is>
          <t>エアコン373 + 換気扇176 + 浴室149</t>
        </is>
      </c>
      <c r="Q7" s="51" t="inlineStr">
        <is>
          <t>広告費</t>
        </is>
      </c>
      <c r="R7" s="52">
        <f>SUMIFS($F$3:$F$302,$E$3:$E$302,"広告費")</f>
        <v/>
      </c>
    </row>
    <row r="8">
      <c r="B8" s="44" t="n"/>
      <c r="C8" s="46" t="n"/>
      <c r="F8" s="45" t="n"/>
      <c r="M8" s="49" t="inlineStr">
        <is>
          <t>外注費（協力業者）</t>
        </is>
      </c>
      <c r="N8" s="53">
        <f>SUMIFS($F$3:$F$302,$E$3:$E$302,"外注費")</f>
        <v/>
      </c>
      <c r="O8" s="2" t="inlineStr">
        <is>
          <t>経費表の科目＝外注費。★2027年から原価として独立</t>
        </is>
      </c>
      <c r="Q8" s="51" t="inlineStr">
        <is>
          <t>耐久品</t>
        </is>
      </c>
      <c r="R8" s="52">
        <f>SUMIFS($F$3:$F$302,$E$3:$E$302,"耐久品")</f>
        <v/>
      </c>
    </row>
    <row r="9">
      <c r="B9" s="44" t="n"/>
      <c r="C9" s="46" t="n"/>
      <c r="F9" s="45" t="n"/>
      <c r="M9" s="49" t="inlineStr">
        <is>
          <t>現場人件費（原価）</t>
        </is>
      </c>
      <c r="N9" s="53">
        <f>SUMIFS($F$3:$F$302,$E$3:$E$302,"現場人件費(原価)")</f>
        <v/>
      </c>
      <c r="O9" s="2" t="inlineStr">
        <is>
          <t>経費表の科目＝現場人件費(原価)</t>
        </is>
      </c>
      <c r="Q9" s="51" t="inlineStr">
        <is>
          <t>備品</t>
        </is>
      </c>
      <c r="R9" s="52">
        <f>SUMIFS($F$3:$F$302,$E$3:$E$302,"備品")</f>
        <v/>
      </c>
    </row>
    <row r="10">
      <c r="B10" s="44" t="n"/>
      <c r="C10" s="46" t="n"/>
      <c r="F10" s="45" t="n"/>
      <c r="M10" s="47" t="inlineStr">
        <is>
          <t>原価合計</t>
        </is>
      </c>
      <c r="N10" s="48">
        <f>N7+N8+N9</f>
        <v/>
      </c>
      <c r="O10" s="2" t="inlineStr">
        <is>
          <t>資材費＋外注費＋現場人件費</t>
        </is>
      </c>
      <c r="Q10" s="51" t="inlineStr">
        <is>
          <t>個別ロイ</t>
        </is>
      </c>
      <c r="R10" s="52">
        <f>SUMIFS($F$3:$F$302,$E$3:$E$302,"個別ロイ")</f>
        <v/>
      </c>
    </row>
    <row r="11">
      <c r="B11" s="44" t="n"/>
      <c r="C11" s="46" t="n"/>
      <c r="F11" s="45" t="n"/>
      <c r="M11" s="47" t="inlineStr">
        <is>
          <t>売上総利益</t>
        </is>
      </c>
      <c r="N11" s="48">
        <f>N3-N10</f>
        <v/>
      </c>
      <c r="O11" s="2" t="inlineStr">
        <is>
          <t>売上 − 原価合計</t>
        </is>
      </c>
      <c r="Q11" s="51" t="inlineStr">
        <is>
          <t>現場人件費(原価)</t>
        </is>
      </c>
      <c r="R11" s="52">
        <f>SUMIFS($F$3:$F$302,$E$3:$E$302,"現場人件費(原価)")</f>
        <v/>
      </c>
    </row>
    <row r="12">
      <c r="B12" s="44" t="n"/>
      <c r="C12" s="46" t="n"/>
      <c r="F12" s="45" t="n"/>
      <c r="Q12" s="51" t="inlineStr">
        <is>
          <t>固定給(販管費)</t>
        </is>
      </c>
      <c r="R12" s="52">
        <f>SUMIFS($F$3:$F$302,$E$3:$E$302,"固定給(販管費)")</f>
        <v/>
      </c>
    </row>
    <row r="13">
      <c r="B13" s="44" t="n"/>
      <c r="C13" s="46" t="n"/>
      <c r="F13" s="45" t="n"/>
      <c r="M13" s="49" t="inlineStr">
        <is>
          <t>経費合計（左の表）</t>
        </is>
      </c>
      <c r="N13" s="53">
        <f>SUM($F$3:$F$302)</f>
        <v/>
      </c>
      <c r="O13" s="2" t="inlineStr">
        <is>
          <t>左の経費入力表の金額合計</t>
        </is>
      </c>
      <c r="Q13" s="51" t="inlineStr">
        <is>
          <t>外注費</t>
        </is>
      </c>
      <c r="R13" s="52">
        <f>SUMIFS($F$3:$F$302,$E$3:$E$302,"外注費")</f>
        <v/>
      </c>
    </row>
    <row r="14">
      <c r="B14" s="44" t="n"/>
      <c r="C14" s="46" t="n"/>
      <c r="F14" s="45" t="n"/>
      <c r="M14" s="49" t="inlineStr">
        <is>
          <t>− 原価へ回した分</t>
        </is>
      </c>
      <c r="N14" s="53">
        <f>-(N8+N9)</f>
        <v/>
      </c>
      <c r="O14" s="2" t="inlineStr">
        <is>
          <t>外注費・現場人件費は原価で数えたので戻す</t>
        </is>
      </c>
      <c r="Q14" s="51" t="inlineStr">
        <is>
          <t>その他(備考へ)</t>
        </is>
      </c>
      <c r="R14" s="52">
        <f>SUMIFS($F$3:$F$302,$E$3:$E$302,"その他(備考へ)")</f>
        <v/>
      </c>
    </row>
    <row r="15">
      <c r="B15" s="44" t="n"/>
      <c r="C15" s="46" t="n"/>
      <c r="F15" s="45" t="n"/>
      <c r="M15" s="49" t="inlineStr">
        <is>
          <t>− 個別ロイ（下で計上）</t>
        </is>
      </c>
      <c r="N15" s="53">
        <f>-SUMIFS($F$3:$F$302,$E$3:$E$302,"個別ロイ")</f>
        <v/>
      </c>
      <c r="O15" s="2" t="inlineStr">
        <is>
          <t>★二重計上を防ぐため、ここで一度引く</t>
        </is>
      </c>
      <c r="Q15" s="13" t="inlineStr">
        <is>
          <t>合計</t>
        </is>
      </c>
      <c r="R15" s="54">
        <f>SUM(R4:R14)</f>
        <v/>
      </c>
    </row>
    <row r="16">
      <c r="B16" s="44" t="n"/>
      <c r="C16" s="46" t="n"/>
      <c r="F16" s="45" t="n"/>
      <c r="M16" s="49" t="inlineStr">
        <is>
          <t>ロイヤリティ 固定分</t>
        </is>
      </c>
      <c r="N16" s="53">
        <f>IF($N$3+$N$13=0,0,50050)</f>
        <v/>
      </c>
      <c r="O16" s="2" t="inlineStr">
        <is>
          <t>★50,050円。左の経費表には入力しないこと（まだ動いていない月は0）</t>
        </is>
      </c>
    </row>
    <row r="17">
      <c r="B17" s="44" t="n"/>
      <c r="C17" s="46" t="n"/>
      <c r="F17" s="45" t="n"/>
      <c r="M17" s="49" t="inlineStr">
        <is>
          <t>ロイヤリティ 38%分</t>
        </is>
      </c>
      <c r="N17" s="53">
        <f>SUMIFS('4月_売上顧客'!$L$5:$L$504,'4月_売上顧客'!$V$5:$V$504,"38%")*0.38</f>
        <v/>
      </c>
      <c r="O17" s="2" t="inlineStr">
        <is>
          <t>本舗ロイ区分＝38% の売上 × 38%</t>
        </is>
      </c>
    </row>
    <row r="18">
      <c r="B18" s="44" t="n"/>
      <c r="C18" s="46" t="n"/>
      <c r="F18" s="45" t="n"/>
      <c r="M18" s="49" t="inlineStr">
        <is>
          <t>ロイヤリティ 10%分</t>
        </is>
      </c>
      <c r="N18" s="53">
        <f>SUMIFS('4月_売上顧客'!$L$5:$L$504,'4月_売上顧客'!$V$5:$V$504,"10%")*0.1</f>
        <v/>
      </c>
      <c r="O18" s="2" t="inlineStr">
        <is>
          <t>本舗ロイ区分＝10% の売上 × 10%</t>
        </is>
      </c>
    </row>
    <row r="19">
      <c r="B19" s="44" t="n"/>
      <c r="C19" s="46" t="n"/>
      <c r="F19" s="45" t="n"/>
      <c r="M19" s="49" t="inlineStr">
        <is>
          <t>ロイヤリティ 個別実額</t>
        </is>
      </c>
      <c r="N19" s="53">
        <f>SUMIFS($F$3:$F$302,$E$3:$E$302,"個別ロイ")</f>
        <v/>
      </c>
      <c r="O19" s="2" t="inlineStr">
        <is>
          <t>経費表の科目＝個別ロイ（toB・楽ラクーン等）</t>
        </is>
      </c>
    </row>
    <row r="20">
      <c r="B20" s="44" t="n"/>
      <c r="C20" s="46" t="n"/>
      <c r="F20" s="45" t="n"/>
      <c r="M20" s="47" t="inlineStr">
        <is>
          <t>ロイヤリティ 合計</t>
        </is>
      </c>
      <c r="N20" s="48">
        <f>N16+N17+N18+N19</f>
        <v/>
      </c>
      <c r="O20" s="2" t="inlineStr">
        <is>
          <t>固定＋38%＋10%＋個別</t>
        </is>
      </c>
    </row>
    <row r="21">
      <c r="B21" s="44" t="n"/>
      <c r="C21" s="46" t="n"/>
      <c r="F21" s="45" t="n"/>
      <c r="M21" s="47" t="inlineStr">
        <is>
          <t>販売管理費</t>
        </is>
      </c>
      <c r="N21" s="48">
        <f>N13+N14+N15+N20</f>
        <v/>
      </c>
      <c r="O21" s="2" t="inlineStr">
        <is>
          <t>経費合計 − 原価分 − 個別ロイ ＋ ロイヤリティ合計</t>
        </is>
      </c>
    </row>
    <row r="22">
      <c r="B22" s="44" t="n"/>
      <c r="C22" s="46" t="n"/>
      <c r="F22" s="45" t="n"/>
      <c r="M22" s="47" t="inlineStr">
        <is>
          <t>営業利益</t>
        </is>
      </c>
      <c r="N22" s="48">
        <f>N11-N21</f>
        <v/>
      </c>
      <c r="O22" s="2" t="inlineStr">
        <is>
          <t>売上総利益 − 販売管理費</t>
        </is>
      </c>
    </row>
    <row r="23">
      <c r="B23" s="44" t="n"/>
      <c r="C23" s="46" t="n"/>
      <c r="F23" s="45" t="n"/>
      <c r="M23" s="49" t="inlineStr">
        <is>
          <t>融資返済</t>
        </is>
      </c>
      <c r="N23" s="53">
        <f>IF($N$3+$N$13=0,0,38059)</f>
        <v/>
      </c>
      <c r="O23" s="2" t="inlineStr">
        <is>
          <t>固定 38,059円（まだ動いていない月は0）</t>
        </is>
      </c>
    </row>
    <row r="24">
      <c r="B24" s="44" t="n"/>
      <c r="C24" s="46" t="n"/>
      <c r="F24" s="45" t="n"/>
      <c r="M24" s="47" t="inlineStr">
        <is>
          <t>経常利益</t>
        </is>
      </c>
      <c r="N24" s="48">
        <f>N22-N23</f>
        <v/>
      </c>
      <c r="O24" s="2" t="inlineStr">
        <is>
          <t>営業利益 − 融資返済</t>
        </is>
      </c>
    </row>
    <row r="25">
      <c r="B25" s="44" t="n"/>
      <c r="C25" s="46" t="n"/>
      <c r="F25" s="45" t="n"/>
    </row>
    <row r="26">
      <c r="B26" s="44" t="n"/>
      <c r="C26" s="46" t="n"/>
      <c r="F26" s="45" t="n"/>
      <c r="M26" s="49" t="inlineStr">
        <is>
          <t>経常利益率</t>
        </is>
      </c>
      <c r="N26" s="55">
        <f>IFERROR(N24/N3,0)</f>
        <v/>
      </c>
      <c r="O26" s="2" t="inlineStr">
        <is>
          <t>経常利益 ÷ 売上</t>
        </is>
      </c>
    </row>
    <row r="27">
      <c r="B27" s="44" t="n"/>
      <c r="C27" s="46" t="n"/>
      <c r="F27" s="45" t="n"/>
    </row>
    <row r="28">
      <c r="B28" s="44" t="n"/>
      <c r="C28" s="46" t="n"/>
      <c r="F28" s="45" t="n"/>
      <c r="M28" s="11" t="inlineStr">
        <is>
          <t>▼ 計画（中立）との比較</t>
        </is>
      </c>
    </row>
    <row r="29">
      <c r="B29" s="44" t="n"/>
      <c r="C29" s="46" t="n"/>
      <c r="F29" s="45" t="n"/>
      <c r="M29" s="51" t="inlineStr">
        <is>
          <t>計画 売上</t>
        </is>
      </c>
      <c r="N29" s="45" t="n">
        <v>2260000</v>
      </c>
      <c r="O29" s="2" t="inlineStr"/>
    </row>
    <row r="30">
      <c r="B30" s="44" t="n"/>
      <c r="C30" s="46" t="n"/>
      <c r="F30" s="45" t="n"/>
      <c r="M30" s="51" t="inlineStr">
        <is>
          <t>実績 − 計画（売上）</t>
        </is>
      </c>
      <c r="N30" s="45">
        <f>N3-N29</f>
        <v/>
      </c>
      <c r="O30" s="2" t="inlineStr">
        <is>
          <t>マイナスなら赤</t>
        </is>
      </c>
    </row>
    <row r="31">
      <c r="B31" s="44" t="n"/>
      <c r="C31" s="46" t="n"/>
      <c r="F31" s="45" t="n"/>
      <c r="M31" s="51" t="inlineStr">
        <is>
          <t>計画 経常利益</t>
        </is>
      </c>
      <c r="N31" s="45" t="n">
        <v>570807</v>
      </c>
      <c r="O31" s="2" t="inlineStr"/>
    </row>
    <row r="32">
      <c r="B32" s="44" t="n"/>
      <c r="C32" s="46" t="n"/>
      <c r="F32" s="45" t="n"/>
      <c r="M32" s="51" t="inlineStr">
        <is>
          <t>実績 − 計画（経常）</t>
        </is>
      </c>
      <c r="N32" s="45">
        <f>N24-N31</f>
        <v/>
      </c>
      <c r="O32" s="2" t="inlineStr">
        <is>
          <t>マイナスなら赤</t>
        </is>
      </c>
    </row>
    <row r="33">
      <c r="B33" s="44" t="n"/>
      <c r="C33" s="46" t="n"/>
      <c r="F33" s="45" t="n"/>
      <c r="M33" s="51" t="inlineStr">
        <is>
          <t>計画 件数</t>
        </is>
      </c>
      <c r="N33" s="56" t="n">
        <v>57</v>
      </c>
      <c r="O33" s="2" t="inlineStr"/>
    </row>
    <row r="34">
      <c r="B34" s="44" t="n"/>
      <c r="C34" s="46" t="n"/>
      <c r="F34" s="45" t="n"/>
      <c r="M34" s="51" t="inlineStr">
        <is>
          <t>実績 件数</t>
        </is>
      </c>
      <c r="N34" s="56">
        <f>'4月_売上顧客'!$E$4</f>
        <v/>
      </c>
      <c r="O34" s="2" t="inlineStr"/>
    </row>
    <row r="35">
      <c r="B35" s="44" t="n"/>
      <c r="C35" s="46" t="n"/>
      <c r="F35" s="45" t="n"/>
    </row>
    <row r="36">
      <c r="B36" s="44" t="n"/>
      <c r="C36" s="46" t="n"/>
      <c r="F36" s="45" t="n"/>
      <c r="M36" s="8" t="inlineStr">
        <is>
          <t>【ロイヤリティはこのP/Lだけで数えます】</t>
        </is>
      </c>
    </row>
    <row r="37">
      <c r="B37" s="44" t="n"/>
      <c r="C37" s="46" t="n"/>
      <c r="F37" s="45" t="n"/>
      <c r="M37" s="2" t="inlineStr">
        <is>
          <t xml:space="preserve">  ・固定分 50,050円は左の経費表に入力しないこと（2026年版はここが二重計上の疑いだった）</t>
        </is>
      </c>
    </row>
    <row r="38">
      <c r="B38" s="44" t="n"/>
      <c r="C38" s="46" t="n"/>
      <c r="F38" s="45" t="n"/>
      <c r="M38" s="2" t="inlineStr">
        <is>
          <t xml:space="preserve">  ・個別ロイは左の経費表に科目「個別ロイ」で入力する。P/Lは15行目で引いて19行目で足すので、数えるのは1回だけ</t>
        </is>
      </c>
    </row>
    <row r="39">
      <c r="B39" s="44" t="n"/>
      <c r="C39" s="46" t="n"/>
      <c r="F39" s="45" t="n"/>
      <c r="M39" s="8" t="inlineStr">
        <is>
          <t>【人件費は2つに分けます】</t>
        </is>
      </c>
    </row>
    <row r="40">
      <c r="B40" s="44" t="n"/>
      <c r="C40" s="46" t="n"/>
      <c r="F40" s="45" t="n"/>
      <c r="M40" s="2" t="inlineStr">
        <is>
          <t xml:space="preserve">  ・現場人件費(原価) … 現場に出た分。原価に入る</t>
        </is>
      </c>
    </row>
    <row r="41">
      <c r="B41" s="44" t="n"/>
      <c r="C41" s="46" t="n"/>
      <c r="F41" s="45" t="n"/>
      <c r="M41" s="2" t="inlineStr">
        <is>
          <t xml:space="preserve">  ・固定給(販管費) … 和真さんの固定給40万＋プール10万、新人の給与。販管費に入る</t>
        </is>
      </c>
    </row>
    <row r="42">
      <c r="B42" s="44" t="n"/>
      <c r="C42" s="46" t="n"/>
      <c r="F42" s="45" t="n"/>
      <c r="M42" s="2" t="inlineStr">
        <is>
          <t xml:space="preserve">  ・歩合（経常利益×45%）の行は2027年から使いません</t>
        </is>
      </c>
    </row>
    <row r="43">
      <c r="B43" s="44" t="n"/>
      <c r="C43" s="46" t="n"/>
      <c r="F43" s="45" t="n"/>
      <c r="M43" s="8" t="inlineStr">
        <is>
          <t>【保険料・通信費は「その他」に入れないこと】</t>
        </is>
      </c>
    </row>
    <row r="44">
      <c r="B44" s="44" t="n"/>
      <c r="C44" s="46" t="n"/>
      <c r="F44" s="45" t="n"/>
      <c r="M44" s="2" t="inlineStr">
        <is>
          <t xml:space="preserve">  ・賠償保険 43,760／通信費 8,470／日新火災 18,050 ＝ 月70,280円。科目を独立させました</t>
        </is>
      </c>
    </row>
    <row r="45">
      <c r="B45" s="44" t="n"/>
      <c r="C45" s="46" t="n"/>
      <c r="F45" s="45" t="n"/>
    </row>
    <row r="46">
      <c r="B46" s="44" t="n"/>
      <c r="C46" s="46" t="n"/>
      <c r="F46" s="45" t="n"/>
    </row>
    <row r="47">
      <c r="B47" s="44" t="n"/>
      <c r="C47" s="46" t="n"/>
      <c r="F47" s="45" t="n"/>
    </row>
    <row r="48">
      <c r="B48" s="44" t="n"/>
      <c r="C48" s="46" t="n"/>
      <c r="F48" s="45" t="n"/>
    </row>
    <row r="49">
      <c r="B49" s="44" t="n"/>
      <c r="C49" s="46" t="n"/>
      <c r="F49" s="45" t="n"/>
    </row>
    <row r="50">
      <c r="B50" s="44" t="n"/>
      <c r="C50" s="46" t="n"/>
      <c r="F50" s="45" t="n"/>
    </row>
    <row r="51">
      <c r="B51" s="44" t="n"/>
      <c r="C51" s="46" t="n"/>
      <c r="F51" s="45" t="n"/>
    </row>
    <row r="52">
      <c r="B52" s="44" t="n"/>
      <c r="C52" s="46" t="n"/>
      <c r="F52" s="45" t="n"/>
    </row>
    <row r="53">
      <c r="B53" s="44" t="n"/>
      <c r="C53" s="46" t="n"/>
      <c r="F53" s="45" t="n"/>
    </row>
    <row r="54">
      <c r="B54" s="44" t="n"/>
      <c r="C54" s="46" t="n"/>
      <c r="F54" s="45" t="n"/>
    </row>
    <row r="55">
      <c r="B55" s="44" t="n"/>
      <c r="C55" s="46" t="n"/>
      <c r="F55" s="45" t="n"/>
    </row>
    <row r="56">
      <c r="B56" s="44" t="n"/>
      <c r="C56" s="46" t="n"/>
      <c r="F56" s="45" t="n"/>
    </row>
    <row r="57">
      <c r="B57" s="44" t="n"/>
      <c r="C57" s="46" t="n"/>
      <c r="F57" s="45" t="n"/>
    </row>
    <row r="58">
      <c r="B58" s="44" t="n"/>
      <c r="C58" s="46" t="n"/>
      <c r="F58" s="45" t="n"/>
    </row>
    <row r="59">
      <c r="B59" s="44" t="n"/>
      <c r="C59" s="46" t="n"/>
      <c r="F59" s="45" t="n"/>
    </row>
    <row r="60">
      <c r="B60" s="44" t="n"/>
      <c r="C60" s="46" t="n"/>
      <c r="F60" s="45" t="n"/>
    </row>
    <row r="61">
      <c r="B61" s="44" t="n"/>
      <c r="C61" s="46" t="n"/>
      <c r="F61" s="45" t="n"/>
    </row>
    <row r="62">
      <c r="B62" s="44" t="n"/>
      <c r="C62" s="46" t="n"/>
      <c r="F62" s="45" t="n"/>
    </row>
    <row r="63">
      <c r="B63" s="44" t="n"/>
      <c r="C63" s="46" t="n"/>
      <c r="F63" s="45" t="n"/>
    </row>
    <row r="64">
      <c r="B64" s="44" t="n"/>
      <c r="C64" s="46" t="n"/>
      <c r="F64" s="45" t="n"/>
    </row>
    <row r="65">
      <c r="B65" s="44" t="n"/>
      <c r="C65" s="46" t="n"/>
      <c r="F65" s="45" t="n"/>
    </row>
    <row r="66">
      <c r="B66" s="44" t="n"/>
      <c r="C66" s="46" t="n"/>
      <c r="F66" s="45" t="n"/>
    </row>
    <row r="67">
      <c r="B67" s="44" t="n"/>
      <c r="C67" s="46" t="n"/>
      <c r="F67" s="45" t="n"/>
    </row>
    <row r="68">
      <c r="B68" s="44" t="n"/>
      <c r="C68" s="46" t="n"/>
      <c r="F68" s="45" t="n"/>
    </row>
    <row r="69">
      <c r="B69" s="44" t="n"/>
      <c r="C69" s="46" t="n"/>
      <c r="F69" s="45" t="n"/>
    </row>
    <row r="70">
      <c r="B70" s="44" t="n"/>
      <c r="C70" s="46" t="n"/>
      <c r="F70" s="45" t="n"/>
    </row>
    <row r="71">
      <c r="B71" s="44" t="n"/>
      <c r="C71" s="46" t="n"/>
      <c r="F71" s="45" t="n"/>
    </row>
    <row r="72">
      <c r="B72" s="44" t="n"/>
      <c r="C72" s="46" t="n"/>
      <c r="F72" s="45" t="n"/>
    </row>
    <row r="73">
      <c r="B73" s="44" t="n"/>
      <c r="C73" s="46" t="n"/>
      <c r="F73" s="45" t="n"/>
    </row>
    <row r="74">
      <c r="B74" s="44" t="n"/>
      <c r="C74" s="46" t="n"/>
      <c r="F74" s="45" t="n"/>
    </row>
    <row r="75">
      <c r="B75" s="44" t="n"/>
      <c r="C75" s="46" t="n"/>
      <c r="F75" s="45" t="n"/>
    </row>
    <row r="76">
      <c r="B76" s="44" t="n"/>
      <c r="C76" s="46" t="n"/>
      <c r="F76" s="45" t="n"/>
    </row>
    <row r="77">
      <c r="B77" s="44" t="n"/>
      <c r="C77" s="46" t="n"/>
      <c r="F77" s="45" t="n"/>
    </row>
    <row r="78">
      <c r="B78" s="44" t="n"/>
      <c r="C78" s="46" t="n"/>
      <c r="F78" s="45" t="n"/>
    </row>
    <row r="79">
      <c r="B79" s="44" t="n"/>
      <c r="C79" s="46" t="n"/>
      <c r="F79" s="45" t="n"/>
    </row>
    <row r="80">
      <c r="B80" s="44" t="n"/>
      <c r="C80" s="46" t="n"/>
      <c r="F80" s="45" t="n"/>
    </row>
    <row r="81">
      <c r="B81" s="44" t="n"/>
      <c r="C81" s="46" t="n"/>
      <c r="F81" s="45" t="n"/>
    </row>
    <row r="82">
      <c r="B82" s="44" t="n"/>
      <c r="C82" s="46" t="n"/>
      <c r="F82" s="45" t="n"/>
    </row>
    <row r="83">
      <c r="B83" s="44" t="n"/>
      <c r="C83" s="46" t="n"/>
      <c r="F83" s="45" t="n"/>
    </row>
    <row r="84">
      <c r="B84" s="44" t="n"/>
      <c r="C84" s="46" t="n"/>
      <c r="F84" s="45" t="n"/>
    </row>
    <row r="85">
      <c r="B85" s="44" t="n"/>
      <c r="C85" s="46" t="n"/>
      <c r="F85" s="45" t="n"/>
    </row>
    <row r="86">
      <c r="B86" s="44" t="n"/>
      <c r="C86" s="46" t="n"/>
      <c r="F86" s="45" t="n"/>
    </row>
    <row r="87">
      <c r="B87" s="44" t="n"/>
      <c r="C87" s="46" t="n"/>
      <c r="F87" s="45" t="n"/>
    </row>
    <row r="88">
      <c r="B88" s="44" t="n"/>
      <c r="C88" s="46" t="n"/>
      <c r="F88" s="45" t="n"/>
    </row>
    <row r="89">
      <c r="B89" s="44" t="n"/>
      <c r="C89" s="46" t="n"/>
      <c r="F89" s="45" t="n"/>
    </row>
    <row r="90">
      <c r="B90" s="44" t="n"/>
      <c r="C90" s="46" t="n"/>
      <c r="F90" s="45" t="n"/>
    </row>
    <row r="91">
      <c r="B91" s="44" t="n"/>
      <c r="C91" s="46" t="n"/>
      <c r="F91" s="45" t="n"/>
    </row>
    <row r="92">
      <c r="B92" s="44" t="n"/>
      <c r="C92" s="46" t="n"/>
      <c r="F92" s="45" t="n"/>
    </row>
    <row r="93">
      <c r="B93" s="44" t="n"/>
      <c r="C93" s="46" t="n"/>
      <c r="F93" s="45" t="n"/>
    </row>
    <row r="94">
      <c r="B94" s="44" t="n"/>
      <c r="C94" s="46" t="n"/>
      <c r="F94" s="45" t="n"/>
    </row>
    <row r="95">
      <c r="B95" s="44" t="n"/>
      <c r="C95" s="46" t="n"/>
      <c r="F95" s="45" t="n"/>
    </row>
    <row r="96">
      <c r="B96" s="44" t="n"/>
      <c r="C96" s="46" t="n"/>
      <c r="F96" s="45" t="n"/>
    </row>
    <row r="97">
      <c r="B97" s="44" t="n"/>
      <c r="C97" s="46" t="n"/>
      <c r="F97" s="45" t="n"/>
    </row>
    <row r="98">
      <c r="B98" s="44" t="n"/>
      <c r="C98" s="46" t="n"/>
      <c r="F98" s="45" t="n"/>
    </row>
    <row r="99">
      <c r="B99" s="44" t="n"/>
      <c r="C99" s="46" t="n"/>
      <c r="F99" s="45" t="n"/>
    </row>
    <row r="100">
      <c r="B100" s="44" t="n"/>
      <c r="C100" s="46" t="n"/>
      <c r="F100" s="45" t="n"/>
    </row>
    <row r="101">
      <c r="B101" s="44" t="n"/>
      <c r="C101" s="46" t="n"/>
      <c r="F101" s="45" t="n"/>
    </row>
    <row r="102">
      <c r="B102" s="44" t="n"/>
      <c r="C102" s="46" t="n"/>
      <c r="F102" s="45" t="n"/>
    </row>
    <row r="103">
      <c r="B103" s="44" t="n"/>
      <c r="C103" s="46" t="n"/>
      <c r="F103" s="45" t="n"/>
    </row>
    <row r="104">
      <c r="B104" s="44" t="n"/>
      <c r="C104" s="46" t="n"/>
      <c r="F104" s="45" t="n"/>
    </row>
    <row r="105">
      <c r="B105" s="44" t="n"/>
      <c r="C105" s="46" t="n"/>
      <c r="F105" s="45" t="n"/>
    </row>
    <row r="106">
      <c r="B106" s="44" t="n"/>
      <c r="C106" s="46" t="n"/>
      <c r="F106" s="45" t="n"/>
    </row>
    <row r="107">
      <c r="B107" s="44" t="n"/>
      <c r="C107" s="46" t="n"/>
      <c r="F107" s="45" t="n"/>
    </row>
    <row r="108">
      <c r="B108" s="44" t="n"/>
      <c r="C108" s="46" t="n"/>
      <c r="F108" s="45" t="n"/>
    </row>
    <row r="109">
      <c r="B109" s="44" t="n"/>
      <c r="C109" s="46" t="n"/>
      <c r="F109" s="45" t="n"/>
    </row>
    <row r="110">
      <c r="B110" s="44" t="n"/>
      <c r="C110" s="46" t="n"/>
      <c r="F110" s="45" t="n"/>
    </row>
    <row r="111">
      <c r="B111" s="44" t="n"/>
      <c r="C111" s="46" t="n"/>
      <c r="F111" s="45" t="n"/>
    </row>
    <row r="112">
      <c r="B112" s="44" t="n"/>
      <c r="C112" s="46" t="n"/>
      <c r="F112" s="45" t="n"/>
    </row>
    <row r="113">
      <c r="B113" s="44" t="n"/>
      <c r="C113" s="46" t="n"/>
      <c r="F113" s="45" t="n"/>
    </row>
    <row r="114">
      <c r="B114" s="44" t="n"/>
      <c r="C114" s="46" t="n"/>
      <c r="F114" s="45" t="n"/>
    </row>
    <row r="115">
      <c r="B115" s="44" t="n"/>
      <c r="C115" s="46" t="n"/>
      <c r="F115" s="45" t="n"/>
    </row>
    <row r="116">
      <c r="B116" s="44" t="n"/>
      <c r="C116" s="46" t="n"/>
      <c r="F116" s="45" t="n"/>
    </row>
    <row r="117">
      <c r="B117" s="44" t="n"/>
      <c r="C117" s="46" t="n"/>
      <c r="F117" s="45" t="n"/>
    </row>
    <row r="118">
      <c r="B118" s="44" t="n"/>
      <c r="C118" s="46" t="n"/>
      <c r="F118" s="45" t="n"/>
    </row>
    <row r="119">
      <c r="B119" s="44" t="n"/>
      <c r="C119" s="46" t="n"/>
      <c r="F119" s="45" t="n"/>
    </row>
    <row r="120">
      <c r="B120" s="44" t="n"/>
      <c r="C120" s="46" t="n"/>
      <c r="F120" s="45" t="n"/>
    </row>
    <row r="121">
      <c r="B121" s="44" t="n"/>
      <c r="C121" s="46" t="n"/>
      <c r="F121" s="45" t="n"/>
    </row>
    <row r="122">
      <c r="B122" s="44" t="n"/>
      <c r="C122" s="46" t="n"/>
      <c r="F122" s="45" t="n"/>
    </row>
    <row r="123">
      <c r="B123" s="44" t="n"/>
      <c r="C123" s="46" t="n"/>
      <c r="F123" s="45" t="n"/>
    </row>
    <row r="124">
      <c r="B124" s="44" t="n"/>
      <c r="C124" s="46" t="n"/>
      <c r="F124" s="45" t="n"/>
    </row>
    <row r="125">
      <c r="B125" s="44" t="n"/>
      <c r="C125" s="46" t="n"/>
      <c r="F125" s="45" t="n"/>
    </row>
    <row r="126">
      <c r="B126" s="44" t="n"/>
      <c r="C126" s="46" t="n"/>
      <c r="F126" s="45" t="n"/>
    </row>
    <row r="127">
      <c r="B127" s="44" t="n"/>
      <c r="C127" s="46" t="n"/>
      <c r="F127" s="45" t="n"/>
    </row>
    <row r="128">
      <c r="B128" s="44" t="n"/>
      <c r="C128" s="46" t="n"/>
      <c r="F128" s="45" t="n"/>
    </row>
    <row r="129">
      <c r="B129" s="44" t="n"/>
      <c r="C129" s="46" t="n"/>
      <c r="F129" s="45" t="n"/>
    </row>
    <row r="130">
      <c r="B130" s="44" t="n"/>
      <c r="C130" s="46" t="n"/>
      <c r="F130" s="45" t="n"/>
    </row>
    <row r="131">
      <c r="B131" s="44" t="n"/>
      <c r="C131" s="46" t="n"/>
      <c r="F131" s="45" t="n"/>
    </row>
    <row r="132">
      <c r="B132" s="44" t="n"/>
      <c r="C132" s="46" t="n"/>
      <c r="F132" s="45" t="n"/>
    </row>
    <row r="133">
      <c r="B133" s="44" t="n"/>
      <c r="C133" s="46" t="n"/>
      <c r="F133" s="45" t="n"/>
    </row>
    <row r="134">
      <c r="B134" s="44" t="n"/>
      <c r="C134" s="46" t="n"/>
      <c r="F134" s="45" t="n"/>
    </row>
    <row r="135">
      <c r="B135" s="44" t="n"/>
      <c r="C135" s="46" t="n"/>
      <c r="F135" s="45" t="n"/>
    </row>
    <row r="136">
      <c r="B136" s="44" t="n"/>
      <c r="C136" s="46" t="n"/>
      <c r="F136" s="45" t="n"/>
    </row>
    <row r="137">
      <c r="B137" s="44" t="n"/>
      <c r="C137" s="46" t="n"/>
      <c r="F137" s="45" t="n"/>
    </row>
    <row r="138">
      <c r="B138" s="44" t="n"/>
      <c r="C138" s="46" t="n"/>
      <c r="F138" s="45" t="n"/>
    </row>
    <row r="139">
      <c r="B139" s="44" t="n"/>
      <c r="C139" s="46" t="n"/>
      <c r="F139" s="45" t="n"/>
    </row>
    <row r="140">
      <c r="B140" s="44" t="n"/>
      <c r="C140" s="46" t="n"/>
      <c r="F140" s="45" t="n"/>
    </row>
    <row r="141">
      <c r="B141" s="44" t="n"/>
      <c r="C141" s="46" t="n"/>
      <c r="F141" s="45" t="n"/>
    </row>
    <row r="142">
      <c r="B142" s="44" t="n"/>
      <c r="C142" s="46" t="n"/>
      <c r="F142" s="45" t="n"/>
    </row>
    <row r="143">
      <c r="B143" s="44" t="n"/>
      <c r="C143" s="46" t="n"/>
      <c r="F143" s="45" t="n"/>
    </row>
    <row r="144">
      <c r="B144" s="44" t="n"/>
      <c r="C144" s="46" t="n"/>
      <c r="F144" s="45" t="n"/>
    </row>
    <row r="145">
      <c r="B145" s="44" t="n"/>
      <c r="C145" s="46" t="n"/>
      <c r="F145" s="45" t="n"/>
    </row>
    <row r="146">
      <c r="B146" s="44" t="n"/>
      <c r="C146" s="46" t="n"/>
      <c r="F146" s="45" t="n"/>
    </row>
    <row r="147">
      <c r="B147" s="44" t="n"/>
      <c r="C147" s="46" t="n"/>
      <c r="F147" s="45" t="n"/>
    </row>
    <row r="148">
      <c r="B148" s="44" t="n"/>
      <c r="C148" s="46" t="n"/>
      <c r="F148" s="45" t="n"/>
    </row>
    <row r="149">
      <c r="B149" s="44" t="n"/>
      <c r="C149" s="46" t="n"/>
      <c r="F149" s="45" t="n"/>
    </row>
    <row r="150">
      <c r="B150" s="44" t="n"/>
      <c r="C150" s="46" t="n"/>
      <c r="F150" s="45" t="n"/>
    </row>
    <row r="151">
      <c r="B151" s="44" t="n"/>
      <c r="C151" s="46" t="n"/>
      <c r="F151" s="45" t="n"/>
    </row>
    <row r="152">
      <c r="B152" s="44" t="n"/>
      <c r="C152" s="46" t="n"/>
      <c r="F152" s="45" t="n"/>
    </row>
    <row r="153">
      <c r="B153" s="44" t="n"/>
      <c r="C153" s="46" t="n"/>
      <c r="F153" s="45" t="n"/>
    </row>
    <row r="154">
      <c r="B154" s="44" t="n"/>
      <c r="C154" s="46" t="n"/>
      <c r="F154" s="45" t="n"/>
    </row>
    <row r="155">
      <c r="B155" s="44" t="n"/>
      <c r="C155" s="46" t="n"/>
      <c r="F155" s="45" t="n"/>
    </row>
    <row r="156">
      <c r="B156" s="44" t="n"/>
      <c r="C156" s="46" t="n"/>
      <c r="F156" s="45" t="n"/>
    </row>
    <row r="157">
      <c r="B157" s="44" t="n"/>
      <c r="C157" s="46" t="n"/>
      <c r="F157" s="45" t="n"/>
    </row>
    <row r="158">
      <c r="B158" s="44" t="n"/>
      <c r="C158" s="46" t="n"/>
      <c r="F158" s="45" t="n"/>
    </row>
    <row r="159">
      <c r="B159" s="44" t="n"/>
      <c r="C159" s="46" t="n"/>
      <c r="F159" s="45" t="n"/>
    </row>
    <row r="160">
      <c r="B160" s="44" t="n"/>
      <c r="C160" s="46" t="n"/>
      <c r="F160" s="45" t="n"/>
    </row>
    <row r="161">
      <c r="B161" s="44" t="n"/>
      <c r="C161" s="46" t="n"/>
      <c r="F161" s="45" t="n"/>
    </row>
    <row r="162">
      <c r="B162" s="44" t="n"/>
      <c r="C162" s="46" t="n"/>
      <c r="F162" s="45" t="n"/>
    </row>
    <row r="163">
      <c r="B163" s="44" t="n"/>
      <c r="C163" s="46" t="n"/>
      <c r="F163" s="45" t="n"/>
    </row>
    <row r="164">
      <c r="B164" s="44" t="n"/>
      <c r="C164" s="46" t="n"/>
      <c r="F164" s="45" t="n"/>
    </row>
    <row r="165">
      <c r="B165" s="44" t="n"/>
      <c r="C165" s="46" t="n"/>
      <c r="F165" s="45" t="n"/>
    </row>
    <row r="166">
      <c r="B166" s="44" t="n"/>
      <c r="C166" s="46" t="n"/>
      <c r="F166" s="45" t="n"/>
    </row>
    <row r="167">
      <c r="B167" s="44" t="n"/>
      <c r="C167" s="46" t="n"/>
      <c r="F167" s="45" t="n"/>
    </row>
    <row r="168">
      <c r="B168" s="44" t="n"/>
      <c r="C168" s="46" t="n"/>
      <c r="F168" s="45" t="n"/>
    </row>
    <row r="169">
      <c r="B169" s="44" t="n"/>
      <c r="C169" s="46" t="n"/>
      <c r="F169" s="45" t="n"/>
    </row>
    <row r="170">
      <c r="B170" s="44" t="n"/>
      <c r="C170" s="46" t="n"/>
      <c r="F170" s="45" t="n"/>
    </row>
    <row r="171">
      <c r="B171" s="44" t="n"/>
      <c r="C171" s="46" t="n"/>
      <c r="F171" s="45" t="n"/>
    </row>
    <row r="172">
      <c r="B172" s="44" t="n"/>
      <c r="C172" s="46" t="n"/>
      <c r="F172" s="45" t="n"/>
    </row>
    <row r="173">
      <c r="B173" s="44" t="n"/>
      <c r="C173" s="46" t="n"/>
      <c r="F173" s="45" t="n"/>
    </row>
    <row r="174">
      <c r="B174" s="44" t="n"/>
      <c r="C174" s="46" t="n"/>
      <c r="F174" s="45" t="n"/>
    </row>
    <row r="175">
      <c r="B175" s="44" t="n"/>
      <c r="C175" s="46" t="n"/>
      <c r="F175" s="45" t="n"/>
    </row>
    <row r="176">
      <c r="B176" s="44" t="n"/>
      <c r="C176" s="46" t="n"/>
      <c r="F176" s="45" t="n"/>
    </row>
    <row r="177">
      <c r="B177" s="44" t="n"/>
      <c r="C177" s="46" t="n"/>
      <c r="F177" s="45" t="n"/>
    </row>
    <row r="178">
      <c r="B178" s="44" t="n"/>
      <c r="C178" s="46" t="n"/>
      <c r="F178" s="45" t="n"/>
    </row>
    <row r="179">
      <c r="B179" s="44" t="n"/>
      <c r="C179" s="46" t="n"/>
      <c r="F179" s="45" t="n"/>
    </row>
    <row r="180">
      <c r="B180" s="44" t="n"/>
      <c r="C180" s="46" t="n"/>
      <c r="F180" s="45" t="n"/>
    </row>
    <row r="181">
      <c r="B181" s="44" t="n"/>
      <c r="C181" s="46" t="n"/>
      <c r="F181" s="45" t="n"/>
    </row>
    <row r="182">
      <c r="B182" s="44" t="n"/>
      <c r="C182" s="46" t="n"/>
      <c r="F182" s="45" t="n"/>
    </row>
    <row r="183">
      <c r="B183" s="44" t="n"/>
      <c r="C183" s="46" t="n"/>
      <c r="F183" s="45" t="n"/>
    </row>
    <row r="184">
      <c r="B184" s="44" t="n"/>
      <c r="C184" s="46" t="n"/>
      <c r="F184" s="45" t="n"/>
    </row>
    <row r="185">
      <c r="B185" s="44" t="n"/>
      <c r="C185" s="46" t="n"/>
      <c r="F185" s="45" t="n"/>
    </row>
    <row r="186">
      <c r="B186" s="44" t="n"/>
      <c r="C186" s="46" t="n"/>
      <c r="F186" s="45" t="n"/>
    </row>
    <row r="187">
      <c r="B187" s="44" t="n"/>
      <c r="C187" s="46" t="n"/>
      <c r="F187" s="45" t="n"/>
    </row>
    <row r="188">
      <c r="B188" s="44" t="n"/>
      <c r="C188" s="46" t="n"/>
      <c r="F188" s="45" t="n"/>
    </row>
    <row r="189">
      <c r="B189" s="44" t="n"/>
      <c r="C189" s="46" t="n"/>
      <c r="F189" s="45" t="n"/>
    </row>
    <row r="190">
      <c r="B190" s="44" t="n"/>
      <c r="C190" s="46" t="n"/>
      <c r="F190" s="45" t="n"/>
    </row>
    <row r="191">
      <c r="B191" s="44" t="n"/>
      <c r="C191" s="46" t="n"/>
      <c r="F191" s="45" t="n"/>
    </row>
    <row r="192">
      <c r="B192" s="44" t="n"/>
      <c r="C192" s="46" t="n"/>
      <c r="F192" s="45" t="n"/>
    </row>
    <row r="193">
      <c r="B193" s="44" t="n"/>
      <c r="C193" s="46" t="n"/>
      <c r="F193" s="45" t="n"/>
    </row>
    <row r="194">
      <c r="B194" s="44" t="n"/>
      <c r="C194" s="46" t="n"/>
      <c r="F194" s="45" t="n"/>
    </row>
    <row r="195">
      <c r="B195" s="44" t="n"/>
      <c r="C195" s="46" t="n"/>
      <c r="F195" s="45" t="n"/>
    </row>
    <row r="196">
      <c r="B196" s="44" t="n"/>
      <c r="C196" s="46" t="n"/>
      <c r="F196" s="45" t="n"/>
    </row>
    <row r="197">
      <c r="B197" s="44" t="n"/>
      <c r="C197" s="46" t="n"/>
      <c r="F197" s="45" t="n"/>
    </row>
    <row r="198">
      <c r="B198" s="44" t="n"/>
      <c r="C198" s="46" t="n"/>
      <c r="F198" s="45" t="n"/>
    </row>
    <row r="199">
      <c r="B199" s="44" t="n"/>
      <c r="C199" s="46" t="n"/>
      <c r="F199" s="45" t="n"/>
    </row>
    <row r="200">
      <c r="B200" s="44" t="n"/>
      <c r="C200" s="46" t="n"/>
      <c r="F200" s="45" t="n"/>
    </row>
    <row r="201">
      <c r="B201" s="44" t="n"/>
      <c r="C201" s="46" t="n"/>
      <c r="F201" s="45" t="n"/>
    </row>
    <row r="202">
      <c r="B202" s="44" t="n"/>
      <c r="C202" s="46" t="n"/>
      <c r="F202" s="45" t="n"/>
    </row>
    <row r="203">
      <c r="B203" s="44" t="n"/>
      <c r="C203" s="46" t="n"/>
      <c r="F203" s="45" t="n"/>
    </row>
    <row r="204">
      <c r="B204" s="44" t="n"/>
      <c r="C204" s="46" t="n"/>
      <c r="F204" s="45" t="n"/>
    </row>
    <row r="205">
      <c r="B205" s="44" t="n"/>
      <c r="C205" s="46" t="n"/>
      <c r="F205" s="45" t="n"/>
    </row>
    <row r="206">
      <c r="B206" s="44" t="n"/>
      <c r="C206" s="46" t="n"/>
      <c r="F206" s="45" t="n"/>
    </row>
    <row r="207">
      <c r="B207" s="44" t="n"/>
      <c r="C207" s="46" t="n"/>
      <c r="F207" s="45" t="n"/>
    </row>
    <row r="208">
      <c r="B208" s="44" t="n"/>
      <c r="C208" s="46" t="n"/>
      <c r="F208" s="45" t="n"/>
    </row>
    <row r="209">
      <c r="B209" s="44" t="n"/>
      <c r="C209" s="46" t="n"/>
      <c r="F209" s="45" t="n"/>
    </row>
    <row r="210">
      <c r="B210" s="44" t="n"/>
      <c r="C210" s="46" t="n"/>
      <c r="F210" s="45" t="n"/>
    </row>
    <row r="211">
      <c r="B211" s="44" t="n"/>
      <c r="C211" s="46" t="n"/>
      <c r="F211" s="45" t="n"/>
    </row>
    <row r="212">
      <c r="B212" s="44" t="n"/>
      <c r="C212" s="46" t="n"/>
      <c r="F212" s="45" t="n"/>
    </row>
    <row r="213">
      <c r="B213" s="44" t="n"/>
      <c r="C213" s="46" t="n"/>
      <c r="F213" s="45" t="n"/>
    </row>
    <row r="214">
      <c r="B214" s="44" t="n"/>
      <c r="C214" s="46" t="n"/>
      <c r="F214" s="45" t="n"/>
    </row>
    <row r="215">
      <c r="B215" s="44" t="n"/>
      <c r="C215" s="46" t="n"/>
      <c r="F215" s="45" t="n"/>
    </row>
    <row r="216">
      <c r="B216" s="44" t="n"/>
      <c r="C216" s="46" t="n"/>
      <c r="F216" s="45" t="n"/>
    </row>
    <row r="217">
      <c r="B217" s="44" t="n"/>
      <c r="C217" s="46" t="n"/>
      <c r="F217" s="45" t="n"/>
    </row>
    <row r="218">
      <c r="B218" s="44" t="n"/>
      <c r="C218" s="46" t="n"/>
      <c r="F218" s="45" t="n"/>
    </row>
    <row r="219">
      <c r="B219" s="44" t="n"/>
      <c r="C219" s="46" t="n"/>
      <c r="F219" s="45" t="n"/>
    </row>
    <row r="220">
      <c r="B220" s="44" t="n"/>
      <c r="C220" s="46" t="n"/>
      <c r="F220" s="45" t="n"/>
    </row>
    <row r="221">
      <c r="B221" s="44" t="n"/>
      <c r="C221" s="46" t="n"/>
      <c r="F221" s="45" t="n"/>
    </row>
    <row r="222">
      <c r="B222" s="44" t="n"/>
      <c r="C222" s="46" t="n"/>
      <c r="F222" s="45" t="n"/>
    </row>
    <row r="223">
      <c r="B223" s="44" t="n"/>
      <c r="C223" s="46" t="n"/>
      <c r="F223" s="45" t="n"/>
    </row>
    <row r="224">
      <c r="B224" s="44" t="n"/>
      <c r="C224" s="46" t="n"/>
      <c r="F224" s="45" t="n"/>
    </row>
    <row r="225">
      <c r="B225" s="44" t="n"/>
      <c r="C225" s="46" t="n"/>
      <c r="F225" s="45" t="n"/>
    </row>
    <row r="226">
      <c r="B226" s="44" t="n"/>
      <c r="C226" s="46" t="n"/>
      <c r="F226" s="45" t="n"/>
    </row>
    <row r="227">
      <c r="B227" s="44" t="n"/>
      <c r="C227" s="46" t="n"/>
      <c r="F227" s="45" t="n"/>
    </row>
    <row r="228">
      <c r="B228" s="44" t="n"/>
      <c r="C228" s="46" t="n"/>
      <c r="F228" s="45" t="n"/>
    </row>
    <row r="229">
      <c r="B229" s="44" t="n"/>
      <c r="C229" s="46" t="n"/>
      <c r="F229" s="45" t="n"/>
    </row>
    <row r="230">
      <c r="B230" s="44" t="n"/>
      <c r="C230" s="46" t="n"/>
      <c r="F230" s="45" t="n"/>
    </row>
    <row r="231">
      <c r="B231" s="44" t="n"/>
      <c r="C231" s="46" t="n"/>
      <c r="F231" s="45" t="n"/>
    </row>
    <row r="232">
      <c r="B232" s="44" t="n"/>
      <c r="C232" s="46" t="n"/>
      <c r="F232" s="45" t="n"/>
    </row>
    <row r="233">
      <c r="B233" s="44" t="n"/>
      <c r="C233" s="46" t="n"/>
      <c r="F233" s="45" t="n"/>
    </row>
    <row r="234">
      <c r="B234" s="44" t="n"/>
      <c r="C234" s="46" t="n"/>
      <c r="F234" s="45" t="n"/>
    </row>
    <row r="235">
      <c r="B235" s="44" t="n"/>
      <c r="C235" s="46" t="n"/>
      <c r="F235" s="45" t="n"/>
    </row>
    <row r="236">
      <c r="B236" s="44" t="n"/>
      <c r="C236" s="46" t="n"/>
      <c r="F236" s="45" t="n"/>
    </row>
    <row r="237">
      <c r="B237" s="44" t="n"/>
      <c r="C237" s="46" t="n"/>
      <c r="F237" s="45" t="n"/>
    </row>
    <row r="238">
      <c r="B238" s="44" t="n"/>
      <c r="C238" s="46" t="n"/>
      <c r="F238" s="45" t="n"/>
    </row>
    <row r="239">
      <c r="B239" s="44" t="n"/>
      <c r="C239" s="46" t="n"/>
      <c r="F239" s="45" t="n"/>
    </row>
    <row r="240">
      <c r="B240" s="44" t="n"/>
      <c r="C240" s="46" t="n"/>
      <c r="F240" s="45" t="n"/>
    </row>
    <row r="241">
      <c r="B241" s="44" t="n"/>
      <c r="C241" s="46" t="n"/>
      <c r="F241" s="45" t="n"/>
    </row>
    <row r="242">
      <c r="B242" s="44" t="n"/>
      <c r="C242" s="46" t="n"/>
      <c r="F242" s="45" t="n"/>
    </row>
    <row r="243">
      <c r="B243" s="44" t="n"/>
      <c r="C243" s="46" t="n"/>
      <c r="F243" s="45" t="n"/>
    </row>
    <row r="244">
      <c r="B244" s="44" t="n"/>
      <c r="C244" s="46" t="n"/>
      <c r="F244" s="45" t="n"/>
    </row>
    <row r="245">
      <c r="B245" s="44" t="n"/>
      <c r="C245" s="46" t="n"/>
      <c r="F245" s="45" t="n"/>
    </row>
    <row r="246">
      <c r="B246" s="44" t="n"/>
      <c r="C246" s="46" t="n"/>
      <c r="F246" s="45" t="n"/>
    </row>
    <row r="247">
      <c r="B247" s="44" t="n"/>
      <c r="C247" s="46" t="n"/>
      <c r="F247" s="45" t="n"/>
    </row>
    <row r="248">
      <c r="B248" s="44" t="n"/>
      <c r="C248" s="46" t="n"/>
      <c r="F248" s="45" t="n"/>
    </row>
    <row r="249">
      <c r="B249" s="44" t="n"/>
      <c r="C249" s="46" t="n"/>
      <c r="F249" s="45" t="n"/>
    </row>
    <row r="250">
      <c r="B250" s="44" t="n"/>
      <c r="C250" s="46" t="n"/>
      <c r="F250" s="45" t="n"/>
    </row>
    <row r="251">
      <c r="B251" s="44" t="n"/>
      <c r="C251" s="46" t="n"/>
      <c r="F251" s="45" t="n"/>
    </row>
    <row r="252">
      <c r="B252" s="44" t="n"/>
      <c r="C252" s="46" t="n"/>
      <c r="F252" s="45" t="n"/>
    </row>
    <row r="253">
      <c r="B253" s="44" t="n"/>
      <c r="C253" s="46" t="n"/>
      <c r="F253" s="45" t="n"/>
    </row>
    <row r="254">
      <c r="B254" s="44" t="n"/>
      <c r="C254" s="46" t="n"/>
      <c r="F254" s="45" t="n"/>
    </row>
    <row r="255">
      <c r="B255" s="44" t="n"/>
      <c r="C255" s="46" t="n"/>
      <c r="F255" s="45" t="n"/>
    </row>
    <row r="256">
      <c r="B256" s="44" t="n"/>
      <c r="C256" s="46" t="n"/>
      <c r="F256" s="45" t="n"/>
    </row>
    <row r="257">
      <c r="B257" s="44" t="n"/>
      <c r="C257" s="46" t="n"/>
      <c r="F257" s="45" t="n"/>
    </row>
    <row r="258">
      <c r="B258" s="44" t="n"/>
      <c r="C258" s="46" t="n"/>
      <c r="F258" s="45" t="n"/>
    </row>
    <row r="259">
      <c r="B259" s="44" t="n"/>
      <c r="C259" s="46" t="n"/>
      <c r="F259" s="45" t="n"/>
    </row>
    <row r="260">
      <c r="B260" s="44" t="n"/>
      <c r="C260" s="46" t="n"/>
      <c r="F260" s="45" t="n"/>
    </row>
    <row r="261">
      <c r="B261" s="44" t="n"/>
      <c r="C261" s="46" t="n"/>
      <c r="F261" s="45" t="n"/>
    </row>
    <row r="262">
      <c r="B262" s="44" t="n"/>
      <c r="C262" s="46" t="n"/>
      <c r="F262" s="45" t="n"/>
    </row>
    <row r="263">
      <c r="B263" s="44" t="n"/>
      <c r="C263" s="46" t="n"/>
      <c r="F263" s="45" t="n"/>
    </row>
    <row r="264">
      <c r="B264" s="44" t="n"/>
      <c r="C264" s="46" t="n"/>
      <c r="F264" s="45" t="n"/>
    </row>
    <row r="265">
      <c r="B265" s="44" t="n"/>
      <c r="C265" s="46" t="n"/>
      <c r="F265" s="45" t="n"/>
    </row>
    <row r="266">
      <c r="B266" s="44" t="n"/>
      <c r="C266" s="46" t="n"/>
      <c r="F266" s="45" t="n"/>
    </row>
    <row r="267">
      <c r="B267" s="44" t="n"/>
      <c r="C267" s="46" t="n"/>
      <c r="F267" s="45" t="n"/>
    </row>
    <row r="268">
      <c r="B268" s="44" t="n"/>
      <c r="C268" s="46" t="n"/>
      <c r="F268" s="45" t="n"/>
    </row>
    <row r="269">
      <c r="B269" s="44" t="n"/>
      <c r="C269" s="46" t="n"/>
      <c r="F269" s="45" t="n"/>
    </row>
    <row r="270">
      <c r="B270" s="44" t="n"/>
      <c r="C270" s="46" t="n"/>
      <c r="F270" s="45" t="n"/>
    </row>
    <row r="271">
      <c r="B271" s="44" t="n"/>
      <c r="C271" s="46" t="n"/>
      <c r="F271" s="45" t="n"/>
    </row>
    <row r="272">
      <c r="B272" s="44" t="n"/>
      <c r="C272" s="46" t="n"/>
      <c r="F272" s="45" t="n"/>
    </row>
    <row r="273">
      <c r="B273" s="44" t="n"/>
      <c r="C273" s="46" t="n"/>
      <c r="F273" s="45" t="n"/>
    </row>
    <row r="274">
      <c r="B274" s="44" t="n"/>
      <c r="C274" s="46" t="n"/>
      <c r="F274" s="45" t="n"/>
    </row>
    <row r="275">
      <c r="B275" s="44" t="n"/>
      <c r="C275" s="46" t="n"/>
      <c r="F275" s="45" t="n"/>
    </row>
    <row r="276">
      <c r="B276" s="44" t="n"/>
      <c r="C276" s="46" t="n"/>
      <c r="F276" s="45" t="n"/>
    </row>
    <row r="277">
      <c r="B277" s="44" t="n"/>
      <c r="C277" s="46" t="n"/>
      <c r="F277" s="45" t="n"/>
    </row>
    <row r="278">
      <c r="B278" s="44" t="n"/>
      <c r="C278" s="46" t="n"/>
      <c r="F278" s="45" t="n"/>
    </row>
    <row r="279">
      <c r="B279" s="44" t="n"/>
      <c r="C279" s="46" t="n"/>
      <c r="F279" s="45" t="n"/>
    </row>
    <row r="280">
      <c r="B280" s="44" t="n"/>
      <c r="C280" s="46" t="n"/>
      <c r="F280" s="45" t="n"/>
    </row>
    <row r="281">
      <c r="B281" s="44" t="n"/>
      <c r="C281" s="46" t="n"/>
      <c r="F281" s="45" t="n"/>
    </row>
    <row r="282">
      <c r="B282" s="44" t="n"/>
      <c r="C282" s="46" t="n"/>
      <c r="F282" s="45" t="n"/>
    </row>
    <row r="283">
      <c r="B283" s="44" t="n"/>
      <c r="C283" s="46" t="n"/>
      <c r="F283" s="45" t="n"/>
    </row>
    <row r="284">
      <c r="B284" s="44" t="n"/>
      <c r="C284" s="46" t="n"/>
      <c r="F284" s="45" t="n"/>
    </row>
    <row r="285">
      <c r="B285" s="44" t="n"/>
      <c r="C285" s="46" t="n"/>
      <c r="F285" s="45" t="n"/>
    </row>
    <row r="286">
      <c r="B286" s="44" t="n"/>
      <c r="C286" s="46" t="n"/>
      <c r="F286" s="45" t="n"/>
    </row>
    <row r="287">
      <c r="B287" s="44" t="n"/>
      <c r="C287" s="46" t="n"/>
      <c r="F287" s="45" t="n"/>
    </row>
    <row r="288">
      <c r="B288" s="44" t="n"/>
      <c r="C288" s="46" t="n"/>
      <c r="F288" s="45" t="n"/>
    </row>
    <row r="289">
      <c r="B289" s="44" t="n"/>
      <c r="C289" s="46" t="n"/>
      <c r="F289" s="45" t="n"/>
    </row>
    <row r="290">
      <c r="B290" s="44" t="n"/>
      <c r="C290" s="46" t="n"/>
      <c r="F290" s="45" t="n"/>
    </row>
    <row r="291">
      <c r="B291" s="44" t="n"/>
      <c r="C291" s="46" t="n"/>
      <c r="F291" s="45" t="n"/>
    </row>
    <row r="292">
      <c r="B292" s="44" t="n"/>
      <c r="C292" s="46" t="n"/>
      <c r="F292" s="45" t="n"/>
    </row>
    <row r="293">
      <c r="B293" s="44" t="n"/>
      <c r="C293" s="46" t="n"/>
      <c r="F293" s="45" t="n"/>
    </row>
    <row r="294">
      <c r="B294" s="44" t="n"/>
      <c r="C294" s="46" t="n"/>
      <c r="F294" s="45" t="n"/>
    </row>
    <row r="295">
      <c r="B295" s="44" t="n"/>
      <c r="C295" s="46" t="n"/>
      <c r="F295" s="45" t="n"/>
    </row>
    <row r="296">
      <c r="B296" s="44" t="n"/>
      <c r="C296" s="46" t="n"/>
      <c r="F296" s="45" t="n"/>
    </row>
    <row r="297">
      <c r="B297" s="44" t="n"/>
      <c r="C297" s="46" t="n"/>
      <c r="F297" s="45" t="n"/>
    </row>
    <row r="298">
      <c r="B298" s="44" t="n"/>
      <c r="C298" s="46" t="n"/>
      <c r="F298" s="45" t="n"/>
    </row>
    <row r="299">
      <c r="B299" s="44" t="n"/>
      <c r="C299" s="46" t="n"/>
      <c r="F299" s="45" t="n"/>
    </row>
    <row r="300">
      <c r="B300" s="44" t="n"/>
      <c r="C300" s="46" t="n"/>
      <c r="F300" s="45" t="n"/>
    </row>
    <row r="301">
      <c r="B301" s="44" t="n"/>
      <c r="C301" s="46" t="n"/>
      <c r="F301" s="45" t="n"/>
    </row>
    <row r="302">
      <c r="B302" s="44" t="n"/>
      <c r="C302" s="46" t="n"/>
      <c r="F302" s="45" t="n"/>
    </row>
  </sheetData>
  <conditionalFormatting sqref="N22">
    <cfRule type="cellIs" priority="1" operator="lessThan" dxfId="0">
      <formula>0</formula>
    </cfRule>
  </conditionalFormatting>
  <conditionalFormatting sqref="N24">
    <cfRule type="cellIs" priority="2" operator="lessThan" dxfId="0">
      <formula>0</formula>
    </cfRule>
    <cfRule type="cellIs" priority="3" operator="greaterThan" dxfId="1">
      <formula>0</formula>
    </cfRule>
  </conditionalFormatting>
  <conditionalFormatting sqref="N30">
    <cfRule type="expression" priority="4" dxfId="0">
      <formula>AND($N$3&gt;0,N30&lt;0)</formula>
    </cfRule>
    <cfRule type="expression" priority="5" dxfId="1">
      <formula>AND($N$3&gt;0,N30&gt;=0)</formula>
    </cfRule>
  </conditionalFormatting>
  <conditionalFormatting sqref="N32">
    <cfRule type="expression" priority="6" dxfId="0">
      <formula>AND($N$3&gt;0,N32&lt;0)</formula>
    </cfRule>
    <cfRule type="expression" priority="7" dxfId="1">
      <formula>AND($N$3&gt;0,N32&gt;=0)</formula>
    </cfRule>
  </conditionalFormatting>
  <dataValidations count="2">
    <dataValidation sqref="E3:E302" showDropDown="0" showInputMessage="0" showErrorMessage="0" allowBlank="1" type="list">
      <formula1>'選択肢マスター'!$K$2:$K$12</formula1>
    </dataValidation>
    <dataValidation sqref="H3:H302" showDropDown="0" showInputMessage="0" showErrorMessage="0" allowBlank="1" type="list">
      <formula1>'選択肢マスター'!$J$2:$J$3</formula1>
    </dataValidation>
  </dataValidations>
  <pageMargins left="0.75" right="0.75" top="1" bottom="1" header="0.5" footer="0.5"/>
</worksheet>
</file>

<file path=xl/worksheets/sheet19.xml><?xml version="1.0" encoding="utf-8"?>
<worksheet xmlns="http://schemas.openxmlformats.org/spreadsheetml/2006/main">
  <sheetPr>
    <tabColor rgb="00C55A11"/>
    <outlinePr summaryBelow="1" summaryRight="1"/>
    <pageSetUpPr/>
  </sheetPr>
  <dimension ref="A1:R302"/>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8" customWidth="1" min="3" max="3"/>
    <col width="26" customWidth="1" min="4" max="4"/>
    <col width="18" customWidth="1" min="5" max="5"/>
    <col width="12" customWidth="1" min="6" max="6"/>
    <col width="26" customWidth="1" min="7" max="7"/>
    <col width="11" customWidth="1" min="8" max="8"/>
    <col width="26" customWidth="1" min="13" max="13"/>
    <col width="15" customWidth="1" min="14" max="14"/>
    <col width="52" customWidth="1" min="15" max="15"/>
    <col width="20" customWidth="1" min="17" max="17"/>
    <col width="14" customWidth="1" min="18" max="18"/>
  </cols>
  <sheetData>
    <row r="1">
      <c r="A1" s="8" t="inlineStr">
        <is>
          <t>◆ 5月の経費入力。3行目から下へ足していってよい。右の月次P/Lは行が動かないので壊れない</t>
        </is>
      </c>
      <c r="M1" s="11" t="inlineStr">
        <is>
          <t>▼ 月次P/L（この位置は固定。左の経費表を何行足してもずれません）</t>
        </is>
      </c>
    </row>
    <row r="2" ht="30" customHeight="1">
      <c r="A2" s="3" t="inlineStr">
        <is>
          <t>No.</t>
        </is>
      </c>
      <c r="B2" s="3" t="inlineStr">
        <is>
          <t>日付</t>
        </is>
      </c>
      <c r="C2" s="3" t="inlineStr">
        <is>
          <t>時刻</t>
        </is>
      </c>
      <c r="D2" s="3" t="inlineStr">
        <is>
          <t>品目</t>
        </is>
      </c>
      <c r="E2" s="3" t="inlineStr">
        <is>
          <t>科目</t>
        </is>
      </c>
      <c r="F2" s="3" t="inlineStr">
        <is>
          <t>金額</t>
        </is>
      </c>
      <c r="G2" s="3" t="inlineStr">
        <is>
          <t>備考</t>
        </is>
      </c>
      <c r="H2" s="3" t="inlineStr">
        <is>
          <t>現金立替え</t>
        </is>
      </c>
      <c r="M2" s="3" t="inlineStr">
        <is>
          <t>項目</t>
        </is>
      </c>
      <c r="N2" s="3" t="inlineStr">
        <is>
          <t>金額</t>
        </is>
      </c>
      <c r="O2" s="3" t="inlineStr">
        <is>
          <t>計算の中身</t>
        </is>
      </c>
      <c r="Q2" s="11" t="inlineStr">
        <is>
          <t>▼ 科目別 集計</t>
        </is>
      </c>
    </row>
    <row r="3" ht="30" customHeight="1">
      <c r="B3" s="44" t="n"/>
      <c r="C3" s="46" t="n"/>
      <c r="F3" s="45" t="n"/>
      <c r="M3" s="47" t="inlineStr">
        <is>
          <t>売上</t>
        </is>
      </c>
      <c r="N3" s="48">
        <f>'5月_売上顧客'!$L$4</f>
        <v/>
      </c>
      <c r="O3" s="2" t="inlineStr">
        <is>
          <t>5月_売上顧客 の合計売上</t>
        </is>
      </c>
      <c r="Q3" s="3" t="inlineStr">
        <is>
          <t>科目</t>
        </is>
      </c>
      <c r="R3" s="3" t="inlineStr">
        <is>
          <t>金額</t>
        </is>
      </c>
    </row>
    <row r="4">
      <c r="B4" s="44" t="n"/>
      <c r="C4" s="46" t="n"/>
      <c r="F4" s="45" t="n"/>
      <c r="M4" s="49" t="inlineStr">
        <is>
          <t>エアコン台数(参考)</t>
        </is>
      </c>
      <c r="N4" s="50">
        <f>COUNTIFS('5月_売上顧客'!$M$5:$M$504,"エアコン(ノーマル)")+COUNTIFS('5月_売上顧客'!$M$5:$M$504,"エアコン(ロボ)")+COUNTIFS('5月_売上顧客'!$M$5:$M$504,"天カセ")+COUNTIFS('5月_売上顧客'!$M$5:$M$504,"業務用エアコン1方向")</f>
        <v/>
      </c>
      <c r="O4" s="2" t="inlineStr">
        <is>
          <t>エアコン(ノーマル/ロボ)・天カセ・業務用1方向</t>
        </is>
      </c>
      <c r="Q4" s="51" t="inlineStr">
        <is>
          <t>交通費</t>
        </is>
      </c>
      <c r="R4" s="52">
        <f>SUMIFS($F$3:$F$302,$E$3:$E$302,"交通費")</f>
        <v/>
      </c>
    </row>
    <row r="5">
      <c r="B5" s="44" t="n"/>
      <c r="C5" s="46" t="n"/>
      <c r="F5" s="45" t="n"/>
      <c r="M5" s="49" t="inlineStr">
        <is>
          <t>換気扇台数(参考)</t>
        </is>
      </c>
      <c r="N5" s="50">
        <f>COUNTIFS('5月_売上顧客'!$M$5:$M$504,"換気扇")</f>
        <v/>
      </c>
      <c r="O5" s="2" t="inlineStr">
        <is>
          <t>実施メニュー＝換気扇</t>
        </is>
      </c>
      <c r="Q5" s="51" t="inlineStr">
        <is>
          <t>保険料</t>
        </is>
      </c>
      <c r="R5" s="52">
        <f>SUMIFS($F$3:$F$302,$E$3:$E$302,"保険料")</f>
        <v/>
      </c>
    </row>
    <row r="6">
      <c r="B6" s="44" t="n"/>
      <c r="C6" s="46" t="n"/>
      <c r="F6" s="45" t="n"/>
      <c r="M6" s="49" t="inlineStr">
        <is>
          <t>浴室台数(参考)</t>
        </is>
      </c>
      <c r="N6" s="50">
        <f>COUNTIFS('5月_売上顧客'!$M$5:$M$504,"浴室")</f>
        <v/>
      </c>
      <c r="O6" s="2" t="inlineStr">
        <is>
          <t>実施メニュー＝浴室</t>
        </is>
      </c>
      <c r="Q6" s="51" t="inlineStr">
        <is>
          <t>通信費</t>
        </is>
      </c>
      <c r="R6" s="52">
        <f>SUMIFS($F$3:$F$302,$E$3:$E$302,"通信費")</f>
        <v/>
      </c>
    </row>
    <row r="7">
      <c r="B7" s="44" t="n"/>
      <c r="C7" s="46" t="n"/>
      <c r="F7" s="45" t="n"/>
      <c r="M7" s="49" t="inlineStr">
        <is>
          <t>資材費</t>
        </is>
      </c>
      <c r="N7" s="53">
        <f>N4*373+N5*176+N6*149</f>
        <v/>
      </c>
      <c r="O7" s="2" t="inlineStr">
        <is>
          <t>エアコン373 + 換気扇176 + 浴室149</t>
        </is>
      </c>
      <c r="Q7" s="51" t="inlineStr">
        <is>
          <t>広告費</t>
        </is>
      </c>
      <c r="R7" s="52">
        <f>SUMIFS($F$3:$F$302,$E$3:$E$302,"広告費")</f>
        <v/>
      </c>
    </row>
    <row r="8">
      <c r="B8" s="44" t="n"/>
      <c r="C8" s="46" t="n"/>
      <c r="F8" s="45" t="n"/>
      <c r="M8" s="49" t="inlineStr">
        <is>
          <t>外注費（協力業者）</t>
        </is>
      </c>
      <c r="N8" s="53">
        <f>SUMIFS($F$3:$F$302,$E$3:$E$302,"外注費")</f>
        <v/>
      </c>
      <c r="O8" s="2" t="inlineStr">
        <is>
          <t>経費表の科目＝外注費。★2027年から原価として独立</t>
        </is>
      </c>
      <c r="Q8" s="51" t="inlineStr">
        <is>
          <t>耐久品</t>
        </is>
      </c>
      <c r="R8" s="52">
        <f>SUMIFS($F$3:$F$302,$E$3:$E$302,"耐久品")</f>
        <v/>
      </c>
    </row>
    <row r="9">
      <c r="B9" s="44" t="n"/>
      <c r="C9" s="46" t="n"/>
      <c r="F9" s="45" t="n"/>
      <c r="M9" s="49" t="inlineStr">
        <is>
          <t>現場人件費（原価）</t>
        </is>
      </c>
      <c r="N9" s="53">
        <f>SUMIFS($F$3:$F$302,$E$3:$E$302,"現場人件費(原価)")</f>
        <v/>
      </c>
      <c r="O9" s="2" t="inlineStr">
        <is>
          <t>経費表の科目＝現場人件費(原価)</t>
        </is>
      </c>
      <c r="Q9" s="51" t="inlineStr">
        <is>
          <t>備品</t>
        </is>
      </c>
      <c r="R9" s="52">
        <f>SUMIFS($F$3:$F$302,$E$3:$E$302,"備品")</f>
        <v/>
      </c>
    </row>
    <row r="10">
      <c r="B10" s="44" t="n"/>
      <c r="C10" s="46" t="n"/>
      <c r="F10" s="45" t="n"/>
      <c r="M10" s="47" t="inlineStr">
        <is>
          <t>原価合計</t>
        </is>
      </c>
      <c r="N10" s="48">
        <f>N7+N8+N9</f>
        <v/>
      </c>
      <c r="O10" s="2" t="inlineStr">
        <is>
          <t>資材費＋外注費＋現場人件費</t>
        </is>
      </c>
      <c r="Q10" s="51" t="inlineStr">
        <is>
          <t>個別ロイ</t>
        </is>
      </c>
      <c r="R10" s="52">
        <f>SUMIFS($F$3:$F$302,$E$3:$E$302,"個別ロイ")</f>
        <v/>
      </c>
    </row>
    <row r="11">
      <c r="B11" s="44" t="n"/>
      <c r="C11" s="46" t="n"/>
      <c r="F11" s="45" t="n"/>
      <c r="M11" s="47" t="inlineStr">
        <is>
          <t>売上総利益</t>
        </is>
      </c>
      <c r="N11" s="48">
        <f>N3-N10</f>
        <v/>
      </c>
      <c r="O11" s="2" t="inlineStr">
        <is>
          <t>売上 − 原価合計</t>
        </is>
      </c>
      <c r="Q11" s="51" t="inlineStr">
        <is>
          <t>現場人件費(原価)</t>
        </is>
      </c>
      <c r="R11" s="52">
        <f>SUMIFS($F$3:$F$302,$E$3:$E$302,"現場人件費(原価)")</f>
        <v/>
      </c>
    </row>
    <row r="12">
      <c r="B12" s="44" t="n"/>
      <c r="C12" s="46" t="n"/>
      <c r="F12" s="45" t="n"/>
      <c r="Q12" s="51" t="inlineStr">
        <is>
          <t>固定給(販管費)</t>
        </is>
      </c>
      <c r="R12" s="52">
        <f>SUMIFS($F$3:$F$302,$E$3:$E$302,"固定給(販管費)")</f>
        <v/>
      </c>
    </row>
    <row r="13">
      <c r="B13" s="44" t="n"/>
      <c r="C13" s="46" t="n"/>
      <c r="F13" s="45" t="n"/>
      <c r="M13" s="49" t="inlineStr">
        <is>
          <t>経費合計（左の表）</t>
        </is>
      </c>
      <c r="N13" s="53">
        <f>SUM($F$3:$F$302)</f>
        <v/>
      </c>
      <c r="O13" s="2" t="inlineStr">
        <is>
          <t>左の経費入力表の金額合計</t>
        </is>
      </c>
      <c r="Q13" s="51" t="inlineStr">
        <is>
          <t>外注費</t>
        </is>
      </c>
      <c r="R13" s="52">
        <f>SUMIFS($F$3:$F$302,$E$3:$E$302,"外注費")</f>
        <v/>
      </c>
    </row>
    <row r="14">
      <c r="B14" s="44" t="n"/>
      <c r="C14" s="46" t="n"/>
      <c r="F14" s="45" t="n"/>
      <c r="M14" s="49" t="inlineStr">
        <is>
          <t>− 原価へ回した分</t>
        </is>
      </c>
      <c r="N14" s="53">
        <f>-(N8+N9)</f>
        <v/>
      </c>
      <c r="O14" s="2" t="inlineStr">
        <is>
          <t>外注費・現場人件費は原価で数えたので戻す</t>
        </is>
      </c>
      <c r="Q14" s="51" t="inlineStr">
        <is>
          <t>その他(備考へ)</t>
        </is>
      </c>
      <c r="R14" s="52">
        <f>SUMIFS($F$3:$F$302,$E$3:$E$302,"その他(備考へ)")</f>
        <v/>
      </c>
    </row>
    <row r="15">
      <c r="B15" s="44" t="n"/>
      <c r="C15" s="46" t="n"/>
      <c r="F15" s="45" t="n"/>
      <c r="M15" s="49" t="inlineStr">
        <is>
          <t>− 個別ロイ（下で計上）</t>
        </is>
      </c>
      <c r="N15" s="53">
        <f>-SUMIFS($F$3:$F$302,$E$3:$E$302,"個別ロイ")</f>
        <v/>
      </c>
      <c r="O15" s="2" t="inlineStr">
        <is>
          <t>★二重計上を防ぐため、ここで一度引く</t>
        </is>
      </c>
      <c r="Q15" s="13" t="inlineStr">
        <is>
          <t>合計</t>
        </is>
      </c>
      <c r="R15" s="54">
        <f>SUM(R4:R14)</f>
        <v/>
      </c>
    </row>
    <row r="16">
      <c r="B16" s="44" t="n"/>
      <c r="C16" s="46" t="n"/>
      <c r="F16" s="45" t="n"/>
      <c r="M16" s="49" t="inlineStr">
        <is>
          <t>ロイヤリティ 固定分</t>
        </is>
      </c>
      <c r="N16" s="53">
        <f>IF($N$3+$N$13=0,0,50050)</f>
        <v/>
      </c>
      <c r="O16" s="2" t="inlineStr">
        <is>
          <t>★50,050円。左の経費表には入力しないこと（まだ動いていない月は0）</t>
        </is>
      </c>
    </row>
    <row r="17">
      <c r="B17" s="44" t="n"/>
      <c r="C17" s="46" t="n"/>
      <c r="F17" s="45" t="n"/>
      <c r="M17" s="49" t="inlineStr">
        <is>
          <t>ロイヤリティ 38%分</t>
        </is>
      </c>
      <c r="N17" s="53">
        <f>SUMIFS('5月_売上顧客'!$L$5:$L$504,'5月_売上顧客'!$V$5:$V$504,"38%")*0.38</f>
        <v/>
      </c>
      <c r="O17" s="2" t="inlineStr">
        <is>
          <t>本舗ロイ区分＝38% の売上 × 38%</t>
        </is>
      </c>
    </row>
    <row r="18">
      <c r="B18" s="44" t="n"/>
      <c r="C18" s="46" t="n"/>
      <c r="F18" s="45" t="n"/>
      <c r="M18" s="49" t="inlineStr">
        <is>
          <t>ロイヤリティ 10%分</t>
        </is>
      </c>
      <c r="N18" s="53">
        <f>SUMIFS('5月_売上顧客'!$L$5:$L$504,'5月_売上顧客'!$V$5:$V$504,"10%")*0.1</f>
        <v/>
      </c>
      <c r="O18" s="2" t="inlineStr">
        <is>
          <t>本舗ロイ区分＝10% の売上 × 10%</t>
        </is>
      </c>
    </row>
    <row r="19">
      <c r="B19" s="44" t="n"/>
      <c r="C19" s="46" t="n"/>
      <c r="F19" s="45" t="n"/>
      <c r="M19" s="49" t="inlineStr">
        <is>
          <t>ロイヤリティ 個別実額</t>
        </is>
      </c>
      <c r="N19" s="53">
        <f>SUMIFS($F$3:$F$302,$E$3:$E$302,"個別ロイ")</f>
        <v/>
      </c>
      <c r="O19" s="2" t="inlineStr">
        <is>
          <t>経費表の科目＝個別ロイ（toB・楽ラクーン等）</t>
        </is>
      </c>
    </row>
    <row r="20">
      <c r="B20" s="44" t="n"/>
      <c r="C20" s="46" t="n"/>
      <c r="F20" s="45" t="n"/>
      <c r="M20" s="47" t="inlineStr">
        <is>
          <t>ロイヤリティ 合計</t>
        </is>
      </c>
      <c r="N20" s="48">
        <f>N16+N17+N18+N19</f>
        <v/>
      </c>
      <c r="O20" s="2" t="inlineStr">
        <is>
          <t>固定＋38%＋10%＋個別</t>
        </is>
      </c>
    </row>
    <row r="21">
      <c r="B21" s="44" t="n"/>
      <c r="C21" s="46" t="n"/>
      <c r="F21" s="45" t="n"/>
      <c r="M21" s="47" t="inlineStr">
        <is>
          <t>販売管理費</t>
        </is>
      </c>
      <c r="N21" s="48">
        <f>N13+N14+N15+N20</f>
        <v/>
      </c>
      <c r="O21" s="2" t="inlineStr">
        <is>
          <t>経費合計 − 原価分 − 個別ロイ ＋ ロイヤリティ合計</t>
        </is>
      </c>
    </row>
    <row r="22">
      <c r="B22" s="44" t="n"/>
      <c r="C22" s="46" t="n"/>
      <c r="F22" s="45" t="n"/>
      <c r="M22" s="47" t="inlineStr">
        <is>
          <t>営業利益</t>
        </is>
      </c>
      <c r="N22" s="48">
        <f>N11-N21</f>
        <v/>
      </c>
      <c r="O22" s="2" t="inlineStr">
        <is>
          <t>売上総利益 − 販売管理費</t>
        </is>
      </c>
    </row>
    <row r="23">
      <c r="B23" s="44" t="n"/>
      <c r="C23" s="46" t="n"/>
      <c r="F23" s="45" t="n"/>
      <c r="M23" s="49" t="inlineStr">
        <is>
          <t>融資返済</t>
        </is>
      </c>
      <c r="N23" s="53">
        <f>IF($N$3+$N$13=0,0,38059)</f>
        <v/>
      </c>
      <c r="O23" s="2" t="inlineStr">
        <is>
          <t>固定 38,059円（まだ動いていない月は0）</t>
        </is>
      </c>
    </row>
    <row r="24">
      <c r="B24" s="44" t="n"/>
      <c r="C24" s="46" t="n"/>
      <c r="F24" s="45" t="n"/>
      <c r="M24" s="47" t="inlineStr">
        <is>
          <t>経常利益</t>
        </is>
      </c>
      <c r="N24" s="48">
        <f>N22-N23</f>
        <v/>
      </c>
      <c r="O24" s="2" t="inlineStr">
        <is>
          <t>営業利益 − 融資返済</t>
        </is>
      </c>
    </row>
    <row r="25">
      <c r="B25" s="44" t="n"/>
      <c r="C25" s="46" t="n"/>
      <c r="F25" s="45" t="n"/>
    </row>
    <row r="26">
      <c r="B26" s="44" t="n"/>
      <c r="C26" s="46" t="n"/>
      <c r="F26" s="45" t="n"/>
      <c r="M26" s="49" t="inlineStr">
        <is>
          <t>経常利益率</t>
        </is>
      </c>
      <c r="N26" s="55">
        <f>IFERROR(N24/N3,0)</f>
        <v/>
      </c>
      <c r="O26" s="2" t="inlineStr">
        <is>
          <t>経常利益 ÷ 売上</t>
        </is>
      </c>
    </row>
    <row r="27">
      <c r="B27" s="44" t="n"/>
      <c r="C27" s="46" t="n"/>
      <c r="F27" s="45" t="n"/>
    </row>
    <row r="28">
      <c r="B28" s="44" t="n"/>
      <c r="C28" s="46" t="n"/>
      <c r="F28" s="45" t="n"/>
      <c r="M28" s="11" t="inlineStr">
        <is>
          <t>▼ 計画（中立）との比較</t>
        </is>
      </c>
    </row>
    <row r="29">
      <c r="B29" s="44" t="n"/>
      <c r="C29" s="46" t="n"/>
      <c r="F29" s="45" t="n"/>
      <c r="M29" s="51" t="inlineStr">
        <is>
          <t>計画 売上</t>
        </is>
      </c>
      <c r="N29" s="45" t="n">
        <v>2890000</v>
      </c>
      <c r="O29" s="2" t="inlineStr"/>
    </row>
    <row r="30">
      <c r="B30" s="44" t="n"/>
      <c r="C30" s="46" t="n"/>
      <c r="F30" s="45" t="n"/>
      <c r="M30" s="51" t="inlineStr">
        <is>
          <t>実績 − 計画（売上）</t>
        </is>
      </c>
      <c r="N30" s="45">
        <f>N3-N29</f>
        <v/>
      </c>
      <c r="O30" s="2" t="inlineStr">
        <is>
          <t>マイナスなら赤</t>
        </is>
      </c>
    </row>
    <row r="31">
      <c r="B31" s="44" t="n"/>
      <c r="C31" s="46" t="n"/>
      <c r="F31" s="45" t="n"/>
      <c r="M31" s="51" t="inlineStr">
        <is>
          <t>計画 経常利益</t>
        </is>
      </c>
      <c r="N31" s="45" t="n">
        <v>892282</v>
      </c>
      <c r="O31" s="2" t="inlineStr"/>
    </row>
    <row r="32">
      <c r="B32" s="44" t="n"/>
      <c r="C32" s="46" t="n"/>
      <c r="F32" s="45" t="n"/>
      <c r="M32" s="51" t="inlineStr">
        <is>
          <t>実績 − 計画（経常）</t>
        </is>
      </c>
      <c r="N32" s="45">
        <f>N24-N31</f>
        <v/>
      </c>
      <c r="O32" s="2" t="inlineStr">
        <is>
          <t>マイナスなら赤</t>
        </is>
      </c>
    </row>
    <row r="33">
      <c r="B33" s="44" t="n"/>
      <c r="C33" s="46" t="n"/>
      <c r="F33" s="45" t="n"/>
      <c r="M33" s="51" t="inlineStr">
        <is>
          <t>計画 件数</t>
        </is>
      </c>
      <c r="N33" s="56" t="n">
        <v>70</v>
      </c>
      <c r="O33" s="2" t="inlineStr"/>
    </row>
    <row r="34">
      <c r="B34" s="44" t="n"/>
      <c r="C34" s="46" t="n"/>
      <c r="F34" s="45" t="n"/>
      <c r="M34" s="51" t="inlineStr">
        <is>
          <t>実績 件数</t>
        </is>
      </c>
      <c r="N34" s="56">
        <f>'5月_売上顧客'!$E$4</f>
        <v/>
      </c>
      <c r="O34" s="2" t="inlineStr"/>
    </row>
    <row r="35">
      <c r="B35" s="44" t="n"/>
      <c r="C35" s="46" t="n"/>
      <c r="F35" s="45" t="n"/>
    </row>
    <row r="36">
      <c r="B36" s="44" t="n"/>
      <c r="C36" s="46" t="n"/>
      <c r="F36" s="45" t="n"/>
      <c r="M36" s="8" t="inlineStr">
        <is>
          <t>【ロイヤリティはこのP/Lだけで数えます】</t>
        </is>
      </c>
    </row>
    <row r="37">
      <c r="B37" s="44" t="n"/>
      <c r="C37" s="46" t="n"/>
      <c r="F37" s="45" t="n"/>
      <c r="M37" s="2" t="inlineStr">
        <is>
          <t xml:space="preserve">  ・固定分 50,050円は左の経費表に入力しないこと（2026年版はここが二重計上の疑いだった）</t>
        </is>
      </c>
    </row>
    <row r="38">
      <c r="B38" s="44" t="n"/>
      <c r="C38" s="46" t="n"/>
      <c r="F38" s="45" t="n"/>
      <c r="M38" s="2" t="inlineStr">
        <is>
          <t xml:space="preserve">  ・個別ロイは左の経費表に科目「個別ロイ」で入力する。P/Lは15行目で引いて19行目で足すので、数えるのは1回だけ</t>
        </is>
      </c>
    </row>
    <row r="39">
      <c r="B39" s="44" t="n"/>
      <c r="C39" s="46" t="n"/>
      <c r="F39" s="45" t="n"/>
      <c r="M39" s="8" t="inlineStr">
        <is>
          <t>【人件費は2つに分けます】</t>
        </is>
      </c>
    </row>
    <row r="40">
      <c r="B40" s="44" t="n"/>
      <c r="C40" s="46" t="n"/>
      <c r="F40" s="45" t="n"/>
      <c r="M40" s="2" t="inlineStr">
        <is>
          <t xml:space="preserve">  ・現場人件費(原価) … 現場に出た分。原価に入る</t>
        </is>
      </c>
    </row>
    <row r="41">
      <c r="B41" s="44" t="n"/>
      <c r="C41" s="46" t="n"/>
      <c r="F41" s="45" t="n"/>
      <c r="M41" s="2" t="inlineStr">
        <is>
          <t xml:space="preserve">  ・固定給(販管費) … 和真さんの固定給40万＋プール10万、新人の給与。販管費に入る</t>
        </is>
      </c>
    </row>
    <row r="42">
      <c r="B42" s="44" t="n"/>
      <c r="C42" s="46" t="n"/>
      <c r="F42" s="45" t="n"/>
      <c r="M42" s="2" t="inlineStr">
        <is>
          <t xml:space="preserve">  ・歩合（経常利益×45%）の行は2027年から使いません</t>
        </is>
      </c>
    </row>
    <row r="43">
      <c r="B43" s="44" t="n"/>
      <c r="C43" s="46" t="n"/>
      <c r="F43" s="45" t="n"/>
      <c r="M43" s="8" t="inlineStr">
        <is>
          <t>【保険料・通信費は「その他」に入れないこと】</t>
        </is>
      </c>
    </row>
    <row r="44">
      <c r="B44" s="44" t="n"/>
      <c r="C44" s="46" t="n"/>
      <c r="F44" s="45" t="n"/>
      <c r="M44" s="2" t="inlineStr">
        <is>
          <t xml:space="preserve">  ・賠償保険 43,760／通信費 8,470／日新火災 18,050 ＝ 月70,280円。科目を独立させました</t>
        </is>
      </c>
    </row>
    <row r="45">
      <c r="B45" s="44" t="n"/>
      <c r="C45" s="46" t="n"/>
      <c r="F45" s="45" t="n"/>
    </row>
    <row r="46">
      <c r="B46" s="44" t="n"/>
      <c r="C46" s="46" t="n"/>
      <c r="F46" s="45" t="n"/>
    </row>
    <row r="47">
      <c r="B47" s="44" t="n"/>
      <c r="C47" s="46" t="n"/>
      <c r="F47" s="45" t="n"/>
    </row>
    <row r="48">
      <c r="B48" s="44" t="n"/>
      <c r="C48" s="46" t="n"/>
      <c r="F48" s="45" t="n"/>
    </row>
    <row r="49">
      <c r="B49" s="44" t="n"/>
      <c r="C49" s="46" t="n"/>
      <c r="F49" s="45" t="n"/>
    </row>
    <row r="50">
      <c r="B50" s="44" t="n"/>
      <c r="C50" s="46" t="n"/>
      <c r="F50" s="45" t="n"/>
    </row>
    <row r="51">
      <c r="B51" s="44" t="n"/>
      <c r="C51" s="46" t="n"/>
      <c r="F51" s="45" t="n"/>
    </row>
    <row r="52">
      <c r="B52" s="44" t="n"/>
      <c r="C52" s="46" t="n"/>
      <c r="F52" s="45" t="n"/>
    </row>
    <row r="53">
      <c r="B53" s="44" t="n"/>
      <c r="C53" s="46" t="n"/>
      <c r="F53" s="45" t="n"/>
    </row>
    <row r="54">
      <c r="B54" s="44" t="n"/>
      <c r="C54" s="46" t="n"/>
      <c r="F54" s="45" t="n"/>
    </row>
    <row r="55">
      <c r="B55" s="44" t="n"/>
      <c r="C55" s="46" t="n"/>
      <c r="F55" s="45" t="n"/>
    </row>
    <row r="56">
      <c r="B56" s="44" t="n"/>
      <c r="C56" s="46" t="n"/>
      <c r="F56" s="45" t="n"/>
    </row>
    <row r="57">
      <c r="B57" s="44" t="n"/>
      <c r="C57" s="46" t="n"/>
      <c r="F57" s="45" t="n"/>
    </row>
    <row r="58">
      <c r="B58" s="44" t="n"/>
      <c r="C58" s="46" t="n"/>
      <c r="F58" s="45" t="n"/>
    </row>
    <row r="59">
      <c r="B59" s="44" t="n"/>
      <c r="C59" s="46" t="n"/>
      <c r="F59" s="45" t="n"/>
    </row>
    <row r="60">
      <c r="B60" s="44" t="n"/>
      <c r="C60" s="46" t="n"/>
      <c r="F60" s="45" t="n"/>
    </row>
    <row r="61">
      <c r="B61" s="44" t="n"/>
      <c r="C61" s="46" t="n"/>
      <c r="F61" s="45" t="n"/>
    </row>
    <row r="62">
      <c r="B62" s="44" t="n"/>
      <c r="C62" s="46" t="n"/>
      <c r="F62" s="45" t="n"/>
    </row>
    <row r="63">
      <c r="B63" s="44" t="n"/>
      <c r="C63" s="46" t="n"/>
      <c r="F63" s="45" t="n"/>
    </row>
    <row r="64">
      <c r="B64" s="44" t="n"/>
      <c r="C64" s="46" t="n"/>
      <c r="F64" s="45" t="n"/>
    </row>
    <row r="65">
      <c r="B65" s="44" t="n"/>
      <c r="C65" s="46" t="n"/>
      <c r="F65" s="45" t="n"/>
    </row>
    <row r="66">
      <c r="B66" s="44" t="n"/>
      <c r="C66" s="46" t="n"/>
      <c r="F66" s="45" t="n"/>
    </row>
    <row r="67">
      <c r="B67" s="44" t="n"/>
      <c r="C67" s="46" t="n"/>
      <c r="F67" s="45" t="n"/>
    </row>
    <row r="68">
      <c r="B68" s="44" t="n"/>
      <c r="C68" s="46" t="n"/>
      <c r="F68" s="45" t="n"/>
    </row>
    <row r="69">
      <c r="B69" s="44" t="n"/>
      <c r="C69" s="46" t="n"/>
      <c r="F69" s="45" t="n"/>
    </row>
    <row r="70">
      <c r="B70" s="44" t="n"/>
      <c r="C70" s="46" t="n"/>
      <c r="F70" s="45" t="n"/>
    </row>
    <row r="71">
      <c r="B71" s="44" t="n"/>
      <c r="C71" s="46" t="n"/>
      <c r="F71" s="45" t="n"/>
    </row>
    <row r="72">
      <c r="B72" s="44" t="n"/>
      <c r="C72" s="46" t="n"/>
      <c r="F72" s="45" t="n"/>
    </row>
    <row r="73">
      <c r="B73" s="44" t="n"/>
      <c r="C73" s="46" t="n"/>
      <c r="F73" s="45" t="n"/>
    </row>
    <row r="74">
      <c r="B74" s="44" t="n"/>
      <c r="C74" s="46" t="n"/>
      <c r="F74" s="45" t="n"/>
    </row>
    <row r="75">
      <c r="B75" s="44" t="n"/>
      <c r="C75" s="46" t="n"/>
      <c r="F75" s="45" t="n"/>
    </row>
    <row r="76">
      <c r="B76" s="44" t="n"/>
      <c r="C76" s="46" t="n"/>
      <c r="F76" s="45" t="n"/>
    </row>
    <row r="77">
      <c r="B77" s="44" t="n"/>
      <c r="C77" s="46" t="n"/>
      <c r="F77" s="45" t="n"/>
    </row>
    <row r="78">
      <c r="B78" s="44" t="n"/>
      <c r="C78" s="46" t="n"/>
      <c r="F78" s="45" t="n"/>
    </row>
    <row r="79">
      <c r="B79" s="44" t="n"/>
      <c r="C79" s="46" t="n"/>
      <c r="F79" s="45" t="n"/>
    </row>
    <row r="80">
      <c r="B80" s="44" t="n"/>
      <c r="C80" s="46" t="n"/>
      <c r="F80" s="45" t="n"/>
    </row>
    <row r="81">
      <c r="B81" s="44" t="n"/>
      <c r="C81" s="46" t="n"/>
      <c r="F81" s="45" t="n"/>
    </row>
    <row r="82">
      <c r="B82" s="44" t="n"/>
      <c r="C82" s="46" t="n"/>
      <c r="F82" s="45" t="n"/>
    </row>
    <row r="83">
      <c r="B83" s="44" t="n"/>
      <c r="C83" s="46" t="n"/>
      <c r="F83" s="45" t="n"/>
    </row>
    <row r="84">
      <c r="B84" s="44" t="n"/>
      <c r="C84" s="46" t="n"/>
      <c r="F84" s="45" t="n"/>
    </row>
    <row r="85">
      <c r="B85" s="44" t="n"/>
      <c r="C85" s="46" t="n"/>
      <c r="F85" s="45" t="n"/>
    </row>
    <row r="86">
      <c r="B86" s="44" t="n"/>
      <c r="C86" s="46" t="n"/>
      <c r="F86" s="45" t="n"/>
    </row>
    <row r="87">
      <c r="B87" s="44" t="n"/>
      <c r="C87" s="46" t="n"/>
      <c r="F87" s="45" t="n"/>
    </row>
    <row r="88">
      <c r="B88" s="44" t="n"/>
      <c r="C88" s="46" t="n"/>
      <c r="F88" s="45" t="n"/>
    </row>
    <row r="89">
      <c r="B89" s="44" t="n"/>
      <c r="C89" s="46" t="n"/>
      <c r="F89" s="45" t="n"/>
    </row>
    <row r="90">
      <c r="B90" s="44" t="n"/>
      <c r="C90" s="46" t="n"/>
      <c r="F90" s="45" t="n"/>
    </row>
    <row r="91">
      <c r="B91" s="44" t="n"/>
      <c r="C91" s="46" t="n"/>
      <c r="F91" s="45" t="n"/>
    </row>
    <row r="92">
      <c r="B92" s="44" t="n"/>
      <c r="C92" s="46" t="n"/>
      <c r="F92" s="45" t="n"/>
    </row>
    <row r="93">
      <c r="B93" s="44" t="n"/>
      <c r="C93" s="46" t="n"/>
      <c r="F93" s="45" t="n"/>
    </row>
    <row r="94">
      <c r="B94" s="44" t="n"/>
      <c r="C94" s="46" t="n"/>
      <c r="F94" s="45" t="n"/>
    </row>
    <row r="95">
      <c r="B95" s="44" t="n"/>
      <c r="C95" s="46" t="n"/>
      <c r="F95" s="45" t="n"/>
    </row>
    <row r="96">
      <c r="B96" s="44" t="n"/>
      <c r="C96" s="46" t="n"/>
      <c r="F96" s="45" t="n"/>
    </row>
    <row r="97">
      <c r="B97" s="44" t="n"/>
      <c r="C97" s="46" t="n"/>
      <c r="F97" s="45" t="n"/>
    </row>
    <row r="98">
      <c r="B98" s="44" t="n"/>
      <c r="C98" s="46" t="n"/>
      <c r="F98" s="45" t="n"/>
    </row>
    <row r="99">
      <c r="B99" s="44" t="n"/>
      <c r="C99" s="46" t="n"/>
      <c r="F99" s="45" t="n"/>
    </row>
    <row r="100">
      <c r="B100" s="44" t="n"/>
      <c r="C100" s="46" t="n"/>
      <c r="F100" s="45" t="n"/>
    </row>
    <row r="101">
      <c r="B101" s="44" t="n"/>
      <c r="C101" s="46" t="n"/>
      <c r="F101" s="45" t="n"/>
    </row>
    <row r="102">
      <c r="B102" s="44" t="n"/>
      <c r="C102" s="46" t="n"/>
      <c r="F102" s="45" t="n"/>
    </row>
    <row r="103">
      <c r="B103" s="44" t="n"/>
      <c r="C103" s="46" t="n"/>
      <c r="F103" s="45" t="n"/>
    </row>
    <row r="104">
      <c r="B104" s="44" t="n"/>
      <c r="C104" s="46" t="n"/>
      <c r="F104" s="45" t="n"/>
    </row>
    <row r="105">
      <c r="B105" s="44" t="n"/>
      <c r="C105" s="46" t="n"/>
      <c r="F105" s="45" t="n"/>
    </row>
    <row r="106">
      <c r="B106" s="44" t="n"/>
      <c r="C106" s="46" t="n"/>
      <c r="F106" s="45" t="n"/>
    </row>
    <row r="107">
      <c r="B107" s="44" t="n"/>
      <c r="C107" s="46" t="n"/>
      <c r="F107" s="45" t="n"/>
    </row>
    <row r="108">
      <c r="B108" s="44" t="n"/>
      <c r="C108" s="46" t="n"/>
      <c r="F108" s="45" t="n"/>
    </row>
    <row r="109">
      <c r="B109" s="44" t="n"/>
      <c r="C109" s="46" t="n"/>
      <c r="F109" s="45" t="n"/>
    </row>
    <row r="110">
      <c r="B110" s="44" t="n"/>
      <c r="C110" s="46" t="n"/>
      <c r="F110" s="45" t="n"/>
    </row>
    <row r="111">
      <c r="B111" s="44" t="n"/>
      <c r="C111" s="46" t="n"/>
      <c r="F111" s="45" t="n"/>
    </row>
    <row r="112">
      <c r="B112" s="44" t="n"/>
      <c r="C112" s="46" t="n"/>
      <c r="F112" s="45" t="n"/>
    </row>
    <row r="113">
      <c r="B113" s="44" t="n"/>
      <c r="C113" s="46" t="n"/>
      <c r="F113" s="45" t="n"/>
    </row>
    <row r="114">
      <c r="B114" s="44" t="n"/>
      <c r="C114" s="46" t="n"/>
      <c r="F114" s="45" t="n"/>
    </row>
    <row r="115">
      <c r="B115" s="44" t="n"/>
      <c r="C115" s="46" t="n"/>
      <c r="F115" s="45" t="n"/>
    </row>
    <row r="116">
      <c r="B116" s="44" t="n"/>
      <c r="C116" s="46" t="n"/>
      <c r="F116" s="45" t="n"/>
    </row>
    <row r="117">
      <c r="B117" s="44" t="n"/>
      <c r="C117" s="46" t="n"/>
      <c r="F117" s="45" t="n"/>
    </row>
    <row r="118">
      <c r="B118" s="44" t="n"/>
      <c r="C118" s="46" t="n"/>
      <c r="F118" s="45" t="n"/>
    </row>
    <row r="119">
      <c r="B119" s="44" t="n"/>
      <c r="C119" s="46" t="n"/>
      <c r="F119" s="45" t="n"/>
    </row>
    <row r="120">
      <c r="B120" s="44" t="n"/>
      <c r="C120" s="46" t="n"/>
      <c r="F120" s="45" t="n"/>
    </row>
    <row r="121">
      <c r="B121" s="44" t="n"/>
      <c r="C121" s="46" t="n"/>
      <c r="F121" s="45" t="n"/>
    </row>
    <row r="122">
      <c r="B122" s="44" t="n"/>
      <c r="C122" s="46" t="n"/>
      <c r="F122" s="45" t="n"/>
    </row>
    <row r="123">
      <c r="B123" s="44" t="n"/>
      <c r="C123" s="46" t="n"/>
      <c r="F123" s="45" t="n"/>
    </row>
    <row r="124">
      <c r="B124" s="44" t="n"/>
      <c r="C124" s="46" t="n"/>
      <c r="F124" s="45" t="n"/>
    </row>
    <row r="125">
      <c r="B125" s="44" t="n"/>
      <c r="C125" s="46" t="n"/>
      <c r="F125" s="45" t="n"/>
    </row>
    <row r="126">
      <c r="B126" s="44" t="n"/>
      <c r="C126" s="46" t="n"/>
      <c r="F126" s="45" t="n"/>
    </row>
    <row r="127">
      <c r="B127" s="44" t="n"/>
      <c r="C127" s="46" t="n"/>
      <c r="F127" s="45" t="n"/>
    </row>
    <row r="128">
      <c r="B128" s="44" t="n"/>
      <c r="C128" s="46" t="n"/>
      <c r="F128" s="45" t="n"/>
    </row>
    <row r="129">
      <c r="B129" s="44" t="n"/>
      <c r="C129" s="46" t="n"/>
      <c r="F129" s="45" t="n"/>
    </row>
    <row r="130">
      <c r="B130" s="44" t="n"/>
      <c r="C130" s="46" t="n"/>
      <c r="F130" s="45" t="n"/>
    </row>
    <row r="131">
      <c r="B131" s="44" t="n"/>
      <c r="C131" s="46" t="n"/>
      <c r="F131" s="45" t="n"/>
    </row>
    <row r="132">
      <c r="B132" s="44" t="n"/>
      <c r="C132" s="46" t="n"/>
      <c r="F132" s="45" t="n"/>
    </row>
    <row r="133">
      <c r="B133" s="44" t="n"/>
      <c r="C133" s="46" t="n"/>
      <c r="F133" s="45" t="n"/>
    </row>
    <row r="134">
      <c r="B134" s="44" t="n"/>
      <c r="C134" s="46" t="n"/>
      <c r="F134" s="45" t="n"/>
    </row>
    <row r="135">
      <c r="B135" s="44" t="n"/>
      <c r="C135" s="46" t="n"/>
      <c r="F135" s="45" t="n"/>
    </row>
    <row r="136">
      <c r="B136" s="44" t="n"/>
      <c r="C136" s="46" t="n"/>
      <c r="F136" s="45" t="n"/>
    </row>
    <row r="137">
      <c r="B137" s="44" t="n"/>
      <c r="C137" s="46" t="n"/>
      <c r="F137" s="45" t="n"/>
    </row>
    <row r="138">
      <c r="B138" s="44" t="n"/>
      <c r="C138" s="46" t="n"/>
      <c r="F138" s="45" t="n"/>
    </row>
    <row r="139">
      <c r="B139" s="44" t="n"/>
      <c r="C139" s="46" t="n"/>
      <c r="F139" s="45" t="n"/>
    </row>
    <row r="140">
      <c r="B140" s="44" t="n"/>
      <c r="C140" s="46" t="n"/>
      <c r="F140" s="45" t="n"/>
    </row>
    <row r="141">
      <c r="B141" s="44" t="n"/>
      <c r="C141" s="46" t="n"/>
      <c r="F141" s="45" t="n"/>
    </row>
    <row r="142">
      <c r="B142" s="44" t="n"/>
      <c r="C142" s="46" t="n"/>
      <c r="F142" s="45" t="n"/>
    </row>
    <row r="143">
      <c r="B143" s="44" t="n"/>
      <c r="C143" s="46" t="n"/>
      <c r="F143" s="45" t="n"/>
    </row>
    <row r="144">
      <c r="B144" s="44" t="n"/>
      <c r="C144" s="46" t="n"/>
      <c r="F144" s="45" t="n"/>
    </row>
    <row r="145">
      <c r="B145" s="44" t="n"/>
      <c r="C145" s="46" t="n"/>
      <c r="F145" s="45" t="n"/>
    </row>
    <row r="146">
      <c r="B146" s="44" t="n"/>
      <c r="C146" s="46" t="n"/>
      <c r="F146" s="45" t="n"/>
    </row>
    <row r="147">
      <c r="B147" s="44" t="n"/>
      <c r="C147" s="46" t="n"/>
      <c r="F147" s="45" t="n"/>
    </row>
    <row r="148">
      <c r="B148" s="44" t="n"/>
      <c r="C148" s="46" t="n"/>
      <c r="F148" s="45" t="n"/>
    </row>
    <row r="149">
      <c r="B149" s="44" t="n"/>
      <c r="C149" s="46" t="n"/>
      <c r="F149" s="45" t="n"/>
    </row>
    <row r="150">
      <c r="B150" s="44" t="n"/>
      <c r="C150" s="46" t="n"/>
      <c r="F150" s="45" t="n"/>
    </row>
    <row r="151">
      <c r="B151" s="44" t="n"/>
      <c r="C151" s="46" t="n"/>
      <c r="F151" s="45" t="n"/>
    </row>
    <row r="152">
      <c r="B152" s="44" t="n"/>
      <c r="C152" s="46" t="n"/>
      <c r="F152" s="45" t="n"/>
    </row>
    <row r="153">
      <c r="B153" s="44" t="n"/>
      <c r="C153" s="46" t="n"/>
      <c r="F153" s="45" t="n"/>
    </row>
    <row r="154">
      <c r="B154" s="44" t="n"/>
      <c r="C154" s="46" t="n"/>
      <c r="F154" s="45" t="n"/>
    </row>
    <row r="155">
      <c r="B155" s="44" t="n"/>
      <c r="C155" s="46" t="n"/>
      <c r="F155" s="45" t="n"/>
    </row>
    <row r="156">
      <c r="B156" s="44" t="n"/>
      <c r="C156" s="46" t="n"/>
      <c r="F156" s="45" t="n"/>
    </row>
    <row r="157">
      <c r="B157" s="44" t="n"/>
      <c r="C157" s="46" t="n"/>
      <c r="F157" s="45" t="n"/>
    </row>
    <row r="158">
      <c r="B158" s="44" t="n"/>
      <c r="C158" s="46" t="n"/>
      <c r="F158" s="45" t="n"/>
    </row>
    <row r="159">
      <c r="B159" s="44" t="n"/>
      <c r="C159" s="46" t="n"/>
      <c r="F159" s="45" t="n"/>
    </row>
    <row r="160">
      <c r="B160" s="44" t="n"/>
      <c r="C160" s="46" t="n"/>
      <c r="F160" s="45" t="n"/>
    </row>
    <row r="161">
      <c r="B161" s="44" t="n"/>
      <c r="C161" s="46" t="n"/>
      <c r="F161" s="45" t="n"/>
    </row>
    <row r="162">
      <c r="B162" s="44" t="n"/>
      <c r="C162" s="46" t="n"/>
      <c r="F162" s="45" t="n"/>
    </row>
    <row r="163">
      <c r="B163" s="44" t="n"/>
      <c r="C163" s="46" t="n"/>
      <c r="F163" s="45" t="n"/>
    </row>
    <row r="164">
      <c r="B164" s="44" t="n"/>
      <c r="C164" s="46" t="n"/>
      <c r="F164" s="45" t="n"/>
    </row>
    <row r="165">
      <c r="B165" s="44" t="n"/>
      <c r="C165" s="46" t="n"/>
      <c r="F165" s="45" t="n"/>
    </row>
    <row r="166">
      <c r="B166" s="44" t="n"/>
      <c r="C166" s="46" t="n"/>
      <c r="F166" s="45" t="n"/>
    </row>
    <row r="167">
      <c r="B167" s="44" t="n"/>
      <c r="C167" s="46" t="n"/>
      <c r="F167" s="45" t="n"/>
    </row>
    <row r="168">
      <c r="B168" s="44" t="n"/>
      <c r="C168" s="46" t="n"/>
      <c r="F168" s="45" t="n"/>
    </row>
    <row r="169">
      <c r="B169" s="44" t="n"/>
      <c r="C169" s="46" t="n"/>
      <c r="F169" s="45" t="n"/>
    </row>
    <row r="170">
      <c r="B170" s="44" t="n"/>
      <c r="C170" s="46" t="n"/>
      <c r="F170" s="45" t="n"/>
    </row>
    <row r="171">
      <c r="B171" s="44" t="n"/>
      <c r="C171" s="46" t="n"/>
      <c r="F171" s="45" t="n"/>
    </row>
    <row r="172">
      <c r="B172" s="44" t="n"/>
      <c r="C172" s="46" t="n"/>
      <c r="F172" s="45" t="n"/>
    </row>
    <row r="173">
      <c r="B173" s="44" t="n"/>
      <c r="C173" s="46" t="n"/>
      <c r="F173" s="45" t="n"/>
    </row>
    <row r="174">
      <c r="B174" s="44" t="n"/>
      <c r="C174" s="46" t="n"/>
      <c r="F174" s="45" t="n"/>
    </row>
    <row r="175">
      <c r="B175" s="44" t="n"/>
      <c r="C175" s="46" t="n"/>
      <c r="F175" s="45" t="n"/>
    </row>
    <row r="176">
      <c r="B176" s="44" t="n"/>
      <c r="C176" s="46" t="n"/>
      <c r="F176" s="45" t="n"/>
    </row>
    <row r="177">
      <c r="B177" s="44" t="n"/>
      <c r="C177" s="46" t="n"/>
      <c r="F177" s="45" t="n"/>
    </row>
    <row r="178">
      <c r="B178" s="44" t="n"/>
      <c r="C178" s="46" t="n"/>
      <c r="F178" s="45" t="n"/>
    </row>
    <row r="179">
      <c r="B179" s="44" t="n"/>
      <c r="C179" s="46" t="n"/>
      <c r="F179" s="45" t="n"/>
    </row>
    <row r="180">
      <c r="B180" s="44" t="n"/>
      <c r="C180" s="46" t="n"/>
      <c r="F180" s="45" t="n"/>
    </row>
    <row r="181">
      <c r="B181" s="44" t="n"/>
      <c r="C181" s="46" t="n"/>
      <c r="F181" s="45" t="n"/>
    </row>
    <row r="182">
      <c r="B182" s="44" t="n"/>
      <c r="C182" s="46" t="n"/>
      <c r="F182" s="45" t="n"/>
    </row>
    <row r="183">
      <c r="B183" s="44" t="n"/>
      <c r="C183" s="46" t="n"/>
      <c r="F183" s="45" t="n"/>
    </row>
    <row r="184">
      <c r="B184" s="44" t="n"/>
      <c r="C184" s="46" t="n"/>
      <c r="F184" s="45" t="n"/>
    </row>
    <row r="185">
      <c r="B185" s="44" t="n"/>
      <c r="C185" s="46" t="n"/>
      <c r="F185" s="45" t="n"/>
    </row>
    <row r="186">
      <c r="B186" s="44" t="n"/>
      <c r="C186" s="46" t="n"/>
      <c r="F186" s="45" t="n"/>
    </row>
    <row r="187">
      <c r="B187" s="44" t="n"/>
      <c r="C187" s="46" t="n"/>
      <c r="F187" s="45" t="n"/>
    </row>
    <row r="188">
      <c r="B188" s="44" t="n"/>
      <c r="C188" s="46" t="n"/>
      <c r="F188" s="45" t="n"/>
    </row>
    <row r="189">
      <c r="B189" s="44" t="n"/>
      <c r="C189" s="46" t="n"/>
      <c r="F189" s="45" t="n"/>
    </row>
    <row r="190">
      <c r="B190" s="44" t="n"/>
      <c r="C190" s="46" t="n"/>
      <c r="F190" s="45" t="n"/>
    </row>
    <row r="191">
      <c r="B191" s="44" t="n"/>
      <c r="C191" s="46" t="n"/>
      <c r="F191" s="45" t="n"/>
    </row>
    <row r="192">
      <c r="B192" s="44" t="n"/>
      <c r="C192" s="46" t="n"/>
      <c r="F192" s="45" t="n"/>
    </row>
    <row r="193">
      <c r="B193" s="44" t="n"/>
      <c r="C193" s="46" t="n"/>
      <c r="F193" s="45" t="n"/>
    </row>
    <row r="194">
      <c r="B194" s="44" t="n"/>
      <c r="C194" s="46" t="n"/>
      <c r="F194" s="45" t="n"/>
    </row>
    <row r="195">
      <c r="B195" s="44" t="n"/>
      <c r="C195" s="46" t="n"/>
      <c r="F195" s="45" t="n"/>
    </row>
    <row r="196">
      <c r="B196" s="44" t="n"/>
      <c r="C196" s="46" t="n"/>
      <c r="F196" s="45" t="n"/>
    </row>
    <row r="197">
      <c r="B197" s="44" t="n"/>
      <c r="C197" s="46" t="n"/>
      <c r="F197" s="45" t="n"/>
    </row>
    <row r="198">
      <c r="B198" s="44" t="n"/>
      <c r="C198" s="46" t="n"/>
      <c r="F198" s="45" t="n"/>
    </row>
    <row r="199">
      <c r="B199" s="44" t="n"/>
      <c r="C199" s="46" t="n"/>
      <c r="F199" s="45" t="n"/>
    </row>
    <row r="200">
      <c r="B200" s="44" t="n"/>
      <c r="C200" s="46" t="n"/>
      <c r="F200" s="45" t="n"/>
    </row>
    <row r="201">
      <c r="B201" s="44" t="n"/>
      <c r="C201" s="46" t="n"/>
      <c r="F201" s="45" t="n"/>
    </row>
    <row r="202">
      <c r="B202" s="44" t="n"/>
      <c r="C202" s="46" t="n"/>
      <c r="F202" s="45" t="n"/>
    </row>
    <row r="203">
      <c r="B203" s="44" t="n"/>
      <c r="C203" s="46" t="n"/>
      <c r="F203" s="45" t="n"/>
    </row>
    <row r="204">
      <c r="B204" s="44" t="n"/>
      <c r="C204" s="46" t="n"/>
      <c r="F204" s="45" t="n"/>
    </row>
    <row r="205">
      <c r="B205" s="44" t="n"/>
      <c r="C205" s="46" t="n"/>
      <c r="F205" s="45" t="n"/>
    </row>
    <row r="206">
      <c r="B206" s="44" t="n"/>
      <c r="C206" s="46" t="n"/>
      <c r="F206" s="45" t="n"/>
    </row>
    <row r="207">
      <c r="B207" s="44" t="n"/>
      <c r="C207" s="46" t="n"/>
      <c r="F207" s="45" t="n"/>
    </row>
    <row r="208">
      <c r="B208" s="44" t="n"/>
      <c r="C208" s="46" t="n"/>
      <c r="F208" s="45" t="n"/>
    </row>
    <row r="209">
      <c r="B209" s="44" t="n"/>
      <c r="C209" s="46" t="n"/>
      <c r="F209" s="45" t="n"/>
    </row>
    <row r="210">
      <c r="B210" s="44" t="n"/>
      <c r="C210" s="46" t="n"/>
      <c r="F210" s="45" t="n"/>
    </row>
    <row r="211">
      <c r="B211" s="44" t="n"/>
      <c r="C211" s="46" t="n"/>
      <c r="F211" s="45" t="n"/>
    </row>
    <row r="212">
      <c r="B212" s="44" t="n"/>
      <c r="C212" s="46" t="n"/>
      <c r="F212" s="45" t="n"/>
    </row>
    <row r="213">
      <c r="B213" s="44" t="n"/>
      <c r="C213" s="46" t="n"/>
      <c r="F213" s="45" t="n"/>
    </row>
    <row r="214">
      <c r="B214" s="44" t="n"/>
      <c r="C214" s="46" t="n"/>
      <c r="F214" s="45" t="n"/>
    </row>
    <row r="215">
      <c r="B215" s="44" t="n"/>
      <c r="C215" s="46" t="n"/>
      <c r="F215" s="45" t="n"/>
    </row>
    <row r="216">
      <c r="B216" s="44" t="n"/>
      <c r="C216" s="46" t="n"/>
      <c r="F216" s="45" t="n"/>
    </row>
    <row r="217">
      <c r="B217" s="44" t="n"/>
      <c r="C217" s="46" t="n"/>
      <c r="F217" s="45" t="n"/>
    </row>
    <row r="218">
      <c r="B218" s="44" t="n"/>
      <c r="C218" s="46" t="n"/>
      <c r="F218" s="45" t="n"/>
    </row>
    <row r="219">
      <c r="B219" s="44" t="n"/>
      <c r="C219" s="46" t="n"/>
      <c r="F219" s="45" t="n"/>
    </row>
    <row r="220">
      <c r="B220" s="44" t="n"/>
      <c r="C220" s="46" t="n"/>
      <c r="F220" s="45" t="n"/>
    </row>
    <row r="221">
      <c r="B221" s="44" t="n"/>
      <c r="C221" s="46" t="n"/>
      <c r="F221" s="45" t="n"/>
    </row>
    <row r="222">
      <c r="B222" s="44" t="n"/>
      <c r="C222" s="46" t="n"/>
      <c r="F222" s="45" t="n"/>
    </row>
    <row r="223">
      <c r="B223" s="44" t="n"/>
      <c r="C223" s="46" t="n"/>
      <c r="F223" s="45" t="n"/>
    </row>
    <row r="224">
      <c r="B224" s="44" t="n"/>
      <c r="C224" s="46" t="n"/>
      <c r="F224" s="45" t="n"/>
    </row>
    <row r="225">
      <c r="B225" s="44" t="n"/>
      <c r="C225" s="46" t="n"/>
      <c r="F225" s="45" t="n"/>
    </row>
    <row r="226">
      <c r="B226" s="44" t="n"/>
      <c r="C226" s="46" t="n"/>
      <c r="F226" s="45" t="n"/>
    </row>
    <row r="227">
      <c r="B227" s="44" t="n"/>
      <c r="C227" s="46" t="n"/>
      <c r="F227" s="45" t="n"/>
    </row>
    <row r="228">
      <c r="B228" s="44" t="n"/>
      <c r="C228" s="46" t="n"/>
      <c r="F228" s="45" t="n"/>
    </row>
    <row r="229">
      <c r="B229" s="44" t="n"/>
      <c r="C229" s="46" t="n"/>
      <c r="F229" s="45" t="n"/>
    </row>
    <row r="230">
      <c r="B230" s="44" t="n"/>
      <c r="C230" s="46" t="n"/>
      <c r="F230" s="45" t="n"/>
    </row>
    <row r="231">
      <c r="B231" s="44" t="n"/>
      <c r="C231" s="46" t="n"/>
      <c r="F231" s="45" t="n"/>
    </row>
    <row r="232">
      <c r="B232" s="44" t="n"/>
      <c r="C232" s="46" t="n"/>
      <c r="F232" s="45" t="n"/>
    </row>
    <row r="233">
      <c r="B233" s="44" t="n"/>
      <c r="C233" s="46" t="n"/>
      <c r="F233" s="45" t="n"/>
    </row>
    <row r="234">
      <c r="B234" s="44" t="n"/>
      <c r="C234" s="46" t="n"/>
      <c r="F234" s="45" t="n"/>
    </row>
    <row r="235">
      <c r="B235" s="44" t="n"/>
      <c r="C235" s="46" t="n"/>
      <c r="F235" s="45" t="n"/>
    </row>
    <row r="236">
      <c r="B236" s="44" t="n"/>
      <c r="C236" s="46" t="n"/>
      <c r="F236" s="45" t="n"/>
    </row>
    <row r="237">
      <c r="B237" s="44" t="n"/>
      <c r="C237" s="46" t="n"/>
      <c r="F237" s="45" t="n"/>
    </row>
    <row r="238">
      <c r="B238" s="44" t="n"/>
      <c r="C238" s="46" t="n"/>
      <c r="F238" s="45" t="n"/>
    </row>
    <row r="239">
      <c r="B239" s="44" t="n"/>
      <c r="C239" s="46" t="n"/>
      <c r="F239" s="45" t="n"/>
    </row>
    <row r="240">
      <c r="B240" s="44" t="n"/>
      <c r="C240" s="46" t="n"/>
      <c r="F240" s="45" t="n"/>
    </row>
    <row r="241">
      <c r="B241" s="44" t="n"/>
      <c r="C241" s="46" t="n"/>
      <c r="F241" s="45" t="n"/>
    </row>
    <row r="242">
      <c r="B242" s="44" t="n"/>
      <c r="C242" s="46" t="n"/>
      <c r="F242" s="45" t="n"/>
    </row>
    <row r="243">
      <c r="B243" s="44" t="n"/>
      <c r="C243" s="46" t="n"/>
      <c r="F243" s="45" t="n"/>
    </row>
    <row r="244">
      <c r="B244" s="44" t="n"/>
      <c r="C244" s="46" t="n"/>
      <c r="F244" s="45" t="n"/>
    </row>
    <row r="245">
      <c r="B245" s="44" t="n"/>
      <c r="C245" s="46" t="n"/>
      <c r="F245" s="45" t="n"/>
    </row>
    <row r="246">
      <c r="B246" s="44" t="n"/>
      <c r="C246" s="46" t="n"/>
      <c r="F246" s="45" t="n"/>
    </row>
    <row r="247">
      <c r="B247" s="44" t="n"/>
      <c r="C247" s="46" t="n"/>
      <c r="F247" s="45" t="n"/>
    </row>
    <row r="248">
      <c r="B248" s="44" t="n"/>
      <c r="C248" s="46" t="n"/>
      <c r="F248" s="45" t="n"/>
    </row>
    <row r="249">
      <c r="B249" s="44" t="n"/>
      <c r="C249" s="46" t="n"/>
      <c r="F249" s="45" t="n"/>
    </row>
    <row r="250">
      <c r="B250" s="44" t="n"/>
      <c r="C250" s="46" t="n"/>
      <c r="F250" s="45" t="n"/>
    </row>
    <row r="251">
      <c r="B251" s="44" t="n"/>
      <c r="C251" s="46" t="n"/>
      <c r="F251" s="45" t="n"/>
    </row>
    <row r="252">
      <c r="B252" s="44" t="n"/>
      <c r="C252" s="46" t="n"/>
      <c r="F252" s="45" t="n"/>
    </row>
    <row r="253">
      <c r="B253" s="44" t="n"/>
      <c r="C253" s="46" t="n"/>
      <c r="F253" s="45" t="n"/>
    </row>
    <row r="254">
      <c r="B254" s="44" t="n"/>
      <c r="C254" s="46" t="n"/>
      <c r="F254" s="45" t="n"/>
    </row>
    <row r="255">
      <c r="B255" s="44" t="n"/>
      <c r="C255" s="46" t="n"/>
      <c r="F255" s="45" t="n"/>
    </row>
    <row r="256">
      <c r="B256" s="44" t="n"/>
      <c r="C256" s="46" t="n"/>
      <c r="F256" s="45" t="n"/>
    </row>
    <row r="257">
      <c r="B257" s="44" t="n"/>
      <c r="C257" s="46" t="n"/>
      <c r="F257" s="45" t="n"/>
    </row>
    <row r="258">
      <c r="B258" s="44" t="n"/>
      <c r="C258" s="46" t="n"/>
      <c r="F258" s="45" t="n"/>
    </row>
    <row r="259">
      <c r="B259" s="44" t="n"/>
      <c r="C259" s="46" t="n"/>
      <c r="F259" s="45" t="n"/>
    </row>
    <row r="260">
      <c r="B260" s="44" t="n"/>
      <c r="C260" s="46" t="n"/>
      <c r="F260" s="45" t="n"/>
    </row>
    <row r="261">
      <c r="B261" s="44" t="n"/>
      <c r="C261" s="46" t="n"/>
      <c r="F261" s="45" t="n"/>
    </row>
    <row r="262">
      <c r="B262" s="44" t="n"/>
      <c r="C262" s="46" t="n"/>
      <c r="F262" s="45" t="n"/>
    </row>
    <row r="263">
      <c r="B263" s="44" t="n"/>
      <c r="C263" s="46" t="n"/>
      <c r="F263" s="45" t="n"/>
    </row>
    <row r="264">
      <c r="B264" s="44" t="n"/>
      <c r="C264" s="46" t="n"/>
      <c r="F264" s="45" t="n"/>
    </row>
    <row r="265">
      <c r="B265" s="44" t="n"/>
      <c r="C265" s="46" t="n"/>
      <c r="F265" s="45" t="n"/>
    </row>
    <row r="266">
      <c r="B266" s="44" t="n"/>
      <c r="C266" s="46" t="n"/>
      <c r="F266" s="45" t="n"/>
    </row>
    <row r="267">
      <c r="B267" s="44" t="n"/>
      <c r="C267" s="46" t="n"/>
      <c r="F267" s="45" t="n"/>
    </row>
    <row r="268">
      <c r="B268" s="44" t="n"/>
      <c r="C268" s="46" t="n"/>
      <c r="F268" s="45" t="n"/>
    </row>
    <row r="269">
      <c r="B269" s="44" t="n"/>
      <c r="C269" s="46" t="n"/>
      <c r="F269" s="45" t="n"/>
    </row>
    <row r="270">
      <c r="B270" s="44" t="n"/>
      <c r="C270" s="46" t="n"/>
      <c r="F270" s="45" t="n"/>
    </row>
    <row r="271">
      <c r="B271" s="44" t="n"/>
      <c r="C271" s="46" t="n"/>
      <c r="F271" s="45" t="n"/>
    </row>
    <row r="272">
      <c r="B272" s="44" t="n"/>
      <c r="C272" s="46" t="n"/>
      <c r="F272" s="45" t="n"/>
    </row>
    <row r="273">
      <c r="B273" s="44" t="n"/>
      <c r="C273" s="46" t="n"/>
      <c r="F273" s="45" t="n"/>
    </row>
    <row r="274">
      <c r="B274" s="44" t="n"/>
      <c r="C274" s="46" t="n"/>
      <c r="F274" s="45" t="n"/>
    </row>
    <row r="275">
      <c r="B275" s="44" t="n"/>
      <c r="C275" s="46" t="n"/>
      <c r="F275" s="45" t="n"/>
    </row>
    <row r="276">
      <c r="B276" s="44" t="n"/>
      <c r="C276" s="46" t="n"/>
      <c r="F276" s="45" t="n"/>
    </row>
    <row r="277">
      <c r="B277" s="44" t="n"/>
      <c r="C277" s="46" t="n"/>
      <c r="F277" s="45" t="n"/>
    </row>
    <row r="278">
      <c r="B278" s="44" t="n"/>
      <c r="C278" s="46" t="n"/>
      <c r="F278" s="45" t="n"/>
    </row>
    <row r="279">
      <c r="B279" s="44" t="n"/>
      <c r="C279" s="46" t="n"/>
      <c r="F279" s="45" t="n"/>
    </row>
    <row r="280">
      <c r="B280" s="44" t="n"/>
      <c r="C280" s="46" t="n"/>
      <c r="F280" s="45" t="n"/>
    </row>
    <row r="281">
      <c r="B281" s="44" t="n"/>
      <c r="C281" s="46" t="n"/>
      <c r="F281" s="45" t="n"/>
    </row>
    <row r="282">
      <c r="B282" s="44" t="n"/>
      <c r="C282" s="46" t="n"/>
      <c r="F282" s="45" t="n"/>
    </row>
    <row r="283">
      <c r="B283" s="44" t="n"/>
      <c r="C283" s="46" t="n"/>
      <c r="F283" s="45" t="n"/>
    </row>
    <row r="284">
      <c r="B284" s="44" t="n"/>
      <c r="C284" s="46" t="n"/>
      <c r="F284" s="45" t="n"/>
    </row>
    <row r="285">
      <c r="B285" s="44" t="n"/>
      <c r="C285" s="46" t="n"/>
      <c r="F285" s="45" t="n"/>
    </row>
    <row r="286">
      <c r="B286" s="44" t="n"/>
      <c r="C286" s="46" t="n"/>
      <c r="F286" s="45" t="n"/>
    </row>
    <row r="287">
      <c r="B287" s="44" t="n"/>
      <c r="C287" s="46" t="n"/>
      <c r="F287" s="45" t="n"/>
    </row>
    <row r="288">
      <c r="B288" s="44" t="n"/>
      <c r="C288" s="46" t="n"/>
      <c r="F288" s="45" t="n"/>
    </row>
    <row r="289">
      <c r="B289" s="44" t="n"/>
      <c r="C289" s="46" t="n"/>
      <c r="F289" s="45" t="n"/>
    </row>
    <row r="290">
      <c r="B290" s="44" t="n"/>
      <c r="C290" s="46" t="n"/>
      <c r="F290" s="45" t="n"/>
    </row>
    <row r="291">
      <c r="B291" s="44" t="n"/>
      <c r="C291" s="46" t="n"/>
      <c r="F291" s="45" t="n"/>
    </row>
    <row r="292">
      <c r="B292" s="44" t="n"/>
      <c r="C292" s="46" t="n"/>
      <c r="F292" s="45" t="n"/>
    </row>
    <row r="293">
      <c r="B293" s="44" t="n"/>
      <c r="C293" s="46" t="n"/>
      <c r="F293" s="45" t="n"/>
    </row>
    <row r="294">
      <c r="B294" s="44" t="n"/>
      <c r="C294" s="46" t="n"/>
      <c r="F294" s="45" t="n"/>
    </row>
    <row r="295">
      <c r="B295" s="44" t="n"/>
      <c r="C295" s="46" t="n"/>
      <c r="F295" s="45" t="n"/>
    </row>
    <row r="296">
      <c r="B296" s="44" t="n"/>
      <c r="C296" s="46" t="n"/>
      <c r="F296" s="45" t="n"/>
    </row>
    <row r="297">
      <c r="B297" s="44" t="n"/>
      <c r="C297" s="46" t="n"/>
      <c r="F297" s="45" t="n"/>
    </row>
    <row r="298">
      <c r="B298" s="44" t="n"/>
      <c r="C298" s="46" t="n"/>
      <c r="F298" s="45" t="n"/>
    </row>
    <row r="299">
      <c r="B299" s="44" t="n"/>
      <c r="C299" s="46" t="n"/>
      <c r="F299" s="45" t="n"/>
    </row>
    <row r="300">
      <c r="B300" s="44" t="n"/>
      <c r="C300" s="46" t="n"/>
      <c r="F300" s="45" t="n"/>
    </row>
    <row r="301">
      <c r="B301" s="44" t="n"/>
      <c r="C301" s="46" t="n"/>
      <c r="F301" s="45" t="n"/>
    </row>
    <row r="302">
      <c r="B302" s="44" t="n"/>
      <c r="C302" s="46" t="n"/>
      <c r="F302" s="45" t="n"/>
    </row>
  </sheetData>
  <conditionalFormatting sqref="N22">
    <cfRule type="cellIs" priority="1" operator="lessThan" dxfId="0">
      <formula>0</formula>
    </cfRule>
  </conditionalFormatting>
  <conditionalFormatting sqref="N24">
    <cfRule type="cellIs" priority="2" operator="lessThan" dxfId="0">
      <formula>0</formula>
    </cfRule>
    <cfRule type="cellIs" priority="3" operator="greaterThan" dxfId="1">
      <formula>0</formula>
    </cfRule>
  </conditionalFormatting>
  <conditionalFormatting sqref="N30">
    <cfRule type="expression" priority="4" dxfId="0">
      <formula>AND($N$3&gt;0,N30&lt;0)</formula>
    </cfRule>
    <cfRule type="expression" priority="5" dxfId="1">
      <formula>AND($N$3&gt;0,N30&gt;=0)</formula>
    </cfRule>
  </conditionalFormatting>
  <conditionalFormatting sqref="N32">
    <cfRule type="expression" priority="6" dxfId="0">
      <formula>AND($N$3&gt;0,N32&lt;0)</formula>
    </cfRule>
    <cfRule type="expression" priority="7" dxfId="1">
      <formula>AND($N$3&gt;0,N32&gt;=0)</formula>
    </cfRule>
  </conditionalFormatting>
  <dataValidations count="2">
    <dataValidation sqref="E3:E302" showDropDown="0" showInputMessage="0" showErrorMessage="0" allowBlank="1" type="list">
      <formula1>'選択肢マスター'!$K$2:$K$12</formula1>
    </dataValidation>
    <dataValidation sqref="H3:H302" showDropDown="0" showInputMessage="0" showErrorMessage="0" allowBlank="1" type="list">
      <formula1>'選択肢マスター'!$J$2:$J$3</formula1>
    </dataValidation>
  </dataValidations>
  <pageMargins left="0.75" right="0.75" top="1" bottom="1" header="0.5" footer="0.5"/>
</worksheet>
</file>

<file path=xl/worksheets/sheet20.xml><?xml version="1.0" encoding="utf-8"?>
<worksheet xmlns="http://schemas.openxmlformats.org/spreadsheetml/2006/main">
  <sheetPr>
    <tabColor rgb="00C55A11"/>
    <outlinePr summaryBelow="1" summaryRight="1"/>
    <pageSetUpPr/>
  </sheetPr>
  <dimension ref="A1:R302"/>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8" customWidth="1" min="3" max="3"/>
    <col width="26" customWidth="1" min="4" max="4"/>
    <col width="18" customWidth="1" min="5" max="5"/>
    <col width="12" customWidth="1" min="6" max="6"/>
    <col width="26" customWidth="1" min="7" max="7"/>
    <col width="11" customWidth="1" min="8" max="8"/>
    <col width="26" customWidth="1" min="13" max="13"/>
    <col width="15" customWidth="1" min="14" max="14"/>
    <col width="52" customWidth="1" min="15" max="15"/>
    <col width="20" customWidth="1" min="17" max="17"/>
    <col width="14" customWidth="1" min="18" max="18"/>
  </cols>
  <sheetData>
    <row r="1">
      <c r="A1" s="8" t="inlineStr">
        <is>
          <t>◆ 6月の経費入力。3行目から下へ足していってよい。右の月次P/Lは行が動かないので壊れない</t>
        </is>
      </c>
      <c r="M1" s="11" t="inlineStr">
        <is>
          <t>▼ 月次P/L（この位置は固定。左の経費表を何行足してもずれません）</t>
        </is>
      </c>
    </row>
    <row r="2" ht="30" customHeight="1">
      <c r="A2" s="3" t="inlineStr">
        <is>
          <t>No.</t>
        </is>
      </c>
      <c r="B2" s="3" t="inlineStr">
        <is>
          <t>日付</t>
        </is>
      </c>
      <c r="C2" s="3" t="inlineStr">
        <is>
          <t>時刻</t>
        </is>
      </c>
      <c r="D2" s="3" t="inlineStr">
        <is>
          <t>品目</t>
        </is>
      </c>
      <c r="E2" s="3" t="inlineStr">
        <is>
          <t>科目</t>
        </is>
      </c>
      <c r="F2" s="3" t="inlineStr">
        <is>
          <t>金額</t>
        </is>
      </c>
      <c r="G2" s="3" t="inlineStr">
        <is>
          <t>備考</t>
        </is>
      </c>
      <c r="H2" s="3" t="inlineStr">
        <is>
          <t>現金立替え</t>
        </is>
      </c>
      <c r="M2" s="3" t="inlineStr">
        <is>
          <t>項目</t>
        </is>
      </c>
      <c r="N2" s="3" t="inlineStr">
        <is>
          <t>金額</t>
        </is>
      </c>
      <c r="O2" s="3" t="inlineStr">
        <is>
          <t>計算の中身</t>
        </is>
      </c>
      <c r="Q2" s="11" t="inlineStr">
        <is>
          <t>▼ 科目別 集計</t>
        </is>
      </c>
    </row>
    <row r="3" ht="30" customHeight="1">
      <c r="B3" s="44" t="n"/>
      <c r="C3" s="46" t="n"/>
      <c r="F3" s="45" t="n"/>
      <c r="M3" s="47" t="inlineStr">
        <is>
          <t>売上</t>
        </is>
      </c>
      <c r="N3" s="48">
        <f>'6月_売上顧客'!$L$4</f>
        <v/>
      </c>
      <c r="O3" s="2" t="inlineStr">
        <is>
          <t>6月_売上顧客 の合計売上</t>
        </is>
      </c>
      <c r="Q3" s="3" t="inlineStr">
        <is>
          <t>科目</t>
        </is>
      </c>
      <c r="R3" s="3" t="inlineStr">
        <is>
          <t>金額</t>
        </is>
      </c>
    </row>
    <row r="4">
      <c r="B4" s="44" t="n"/>
      <c r="C4" s="46" t="n"/>
      <c r="F4" s="45" t="n"/>
      <c r="M4" s="49" t="inlineStr">
        <is>
          <t>エアコン台数(参考)</t>
        </is>
      </c>
      <c r="N4" s="50">
        <f>COUNTIFS('6月_売上顧客'!$M$5:$M$504,"エアコン(ノーマル)")+COUNTIFS('6月_売上顧客'!$M$5:$M$504,"エアコン(ロボ)")+COUNTIFS('6月_売上顧客'!$M$5:$M$504,"天カセ")+COUNTIFS('6月_売上顧客'!$M$5:$M$504,"業務用エアコン1方向")</f>
        <v/>
      </c>
      <c r="O4" s="2" t="inlineStr">
        <is>
          <t>エアコン(ノーマル/ロボ)・天カセ・業務用1方向</t>
        </is>
      </c>
      <c r="Q4" s="51" t="inlineStr">
        <is>
          <t>交通費</t>
        </is>
      </c>
      <c r="R4" s="52">
        <f>SUMIFS($F$3:$F$302,$E$3:$E$302,"交通費")</f>
        <v/>
      </c>
    </row>
    <row r="5">
      <c r="B5" s="44" t="n"/>
      <c r="C5" s="46" t="n"/>
      <c r="F5" s="45" t="n"/>
      <c r="M5" s="49" t="inlineStr">
        <is>
          <t>換気扇台数(参考)</t>
        </is>
      </c>
      <c r="N5" s="50">
        <f>COUNTIFS('6月_売上顧客'!$M$5:$M$504,"換気扇")</f>
        <v/>
      </c>
      <c r="O5" s="2" t="inlineStr">
        <is>
          <t>実施メニュー＝換気扇</t>
        </is>
      </c>
      <c r="Q5" s="51" t="inlineStr">
        <is>
          <t>保険料</t>
        </is>
      </c>
      <c r="R5" s="52">
        <f>SUMIFS($F$3:$F$302,$E$3:$E$302,"保険料")</f>
        <v/>
      </c>
    </row>
    <row r="6">
      <c r="B6" s="44" t="n"/>
      <c r="C6" s="46" t="n"/>
      <c r="F6" s="45" t="n"/>
      <c r="M6" s="49" t="inlineStr">
        <is>
          <t>浴室台数(参考)</t>
        </is>
      </c>
      <c r="N6" s="50">
        <f>COUNTIFS('6月_売上顧客'!$M$5:$M$504,"浴室")</f>
        <v/>
      </c>
      <c r="O6" s="2" t="inlineStr">
        <is>
          <t>実施メニュー＝浴室</t>
        </is>
      </c>
      <c r="Q6" s="51" t="inlineStr">
        <is>
          <t>通信費</t>
        </is>
      </c>
      <c r="R6" s="52">
        <f>SUMIFS($F$3:$F$302,$E$3:$E$302,"通信費")</f>
        <v/>
      </c>
    </row>
    <row r="7">
      <c r="B7" s="44" t="n"/>
      <c r="C7" s="46" t="n"/>
      <c r="F7" s="45" t="n"/>
      <c r="M7" s="49" t="inlineStr">
        <is>
          <t>資材費</t>
        </is>
      </c>
      <c r="N7" s="53">
        <f>N4*373+N5*176+N6*149</f>
        <v/>
      </c>
      <c r="O7" s="2" t="inlineStr">
        <is>
          <t>エアコン373 + 換気扇176 + 浴室149</t>
        </is>
      </c>
      <c r="Q7" s="51" t="inlineStr">
        <is>
          <t>広告費</t>
        </is>
      </c>
      <c r="R7" s="52">
        <f>SUMIFS($F$3:$F$302,$E$3:$E$302,"広告費")</f>
        <v/>
      </c>
    </row>
    <row r="8">
      <c r="B8" s="44" t="n"/>
      <c r="C8" s="46" t="n"/>
      <c r="F8" s="45" t="n"/>
      <c r="M8" s="49" t="inlineStr">
        <is>
          <t>外注費（協力業者）</t>
        </is>
      </c>
      <c r="N8" s="53">
        <f>SUMIFS($F$3:$F$302,$E$3:$E$302,"外注費")</f>
        <v/>
      </c>
      <c r="O8" s="2" t="inlineStr">
        <is>
          <t>経費表の科目＝外注費。★2027年から原価として独立</t>
        </is>
      </c>
      <c r="Q8" s="51" t="inlineStr">
        <is>
          <t>耐久品</t>
        </is>
      </c>
      <c r="R8" s="52">
        <f>SUMIFS($F$3:$F$302,$E$3:$E$302,"耐久品")</f>
        <v/>
      </c>
    </row>
    <row r="9">
      <c r="B9" s="44" t="n"/>
      <c r="C9" s="46" t="n"/>
      <c r="F9" s="45" t="n"/>
      <c r="M9" s="49" t="inlineStr">
        <is>
          <t>現場人件費（原価）</t>
        </is>
      </c>
      <c r="N9" s="53">
        <f>SUMIFS($F$3:$F$302,$E$3:$E$302,"現場人件費(原価)")</f>
        <v/>
      </c>
      <c r="O9" s="2" t="inlineStr">
        <is>
          <t>経費表の科目＝現場人件費(原価)</t>
        </is>
      </c>
      <c r="Q9" s="51" t="inlineStr">
        <is>
          <t>備品</t>
        </is>
      </c>
      <c r="R9" s="52">
        <f>SUMIFS($F$3:$F$302,$E$3:$E$302,"備品")</f>
        <v/>
      </c>
    </row>
    <row r="10">
      <c r="B10" s="44" t="n"/>
      <c r="C10" s="46" t="n"/>
      <c r="F10" s="45" t="n"/>
      <c r="M10" s="47" t="inlineStr">
        <is>
          <t>原価合計</t>
        </is>
      </c>
      <c r="N10" s="48">
        <f>N7+N8+N9</f>
        <v/>
      </c>
      <c r="O10" s="2" t="inlineStr">
        <is>
          <t>資材費＋外注費＋現場人件費</t>
        </is>
      </c>
      <c r="Q10" s="51" t="inlineStr">
        <is>
          <t>個別ロイ</t>
        </is>
      </c>
      <c r="R10" s="52">
        <f>SUMIFS($F$3:$F$302,$E$3:$E$302,"個別ロイ")</f>
        <v/>
      </c>
    </row>
    <row r="11">
      <c r="B11" s="44" t="n"/>
      <c r="C11" s="46" t="n"/>
      <c r="F11" s="45" t="n"/>
      <c r="M11" s="47" t="inlineStr">
        <is>
          <t>売上総利益</t>
        </is>
      </c>
      <c r="N11" s="48">
        <f>N3-N10</f>
        <v/>
      </c>
      <c r="O11" s="2" t="inlineStr">
        <is>
          <t>売上 − 原価合計</t>
        </is>
      </c>
      <c r="Q11" s="51" t="inlineStr">
        <is>
          <t>現場人件費(原価)</t>
        </is>
      </c>
      <c r="R11" s="52">
        <f>SUMIFS($F$3:$F$302,$E$3:$E$302,"現場人件費(原価)")</f>
        <v/>
      </c>
    </row>
    <row r="12">
      <c r="B12" s="44" t="n"/>
      <c r="C12" s="46" t="n"/>
      <c r="F12" s="45" t="n"/>
      <c r="Q12" s="51" t="inlineStr">
        <is>
          <t>固定給(販管費)</t>
        </is>
      </c>
      <c r="R12" s="52">
        <f>SUMIFS($F$3:$F$302,$E$3:$E$302,"固定給(販管費)")</f>
        <v/>
      </c>
    </row>
    <row r="13">
      <c r="B13" s="44" t="n"/>
      <c r="C13" s="46" t="n"/>
      <c r="F13" s="45" t="n"/>
      <c r="M13" s="49" t="inlineStr">
        <is>
          <t>経費合計（左の表）</t>
        </is>
      </c>
      <c r="N13" s="53">
        <f>SUM($F$3:$F$302)</f>
        <v/>
      </c>
      <c r="O13" s="2" t="inlineStr">
        <is>
          <t>左の経費入力表の金額合計</t>
        </is>
      </c>
      <c r="Q13" s="51" t="inlineStr">
        <is>
          <t>外注費</t>
        </is>
      </c>
      <c r="R13" s="52">
        <f>SUMIFS($F$3:$F$302,$E$3:$E$302,"外注費")</f>
        <v/>
      </c>
    </row>
    <row r="14">
      <c r="B14" s="44" t="n"/>
      <c r="C14" s="46" t="n"/>
      <c r="F14" s="45" t="n"/>
      <c r="M14" s="49" t="inlineStr">
        <is>
          <t>− 原価へ回した分</t>
        </is>
      </c>
      <c r="N14" s="53">
        <f>-(N8+N9)</f>
        <v/>
      </c>
      <c r="O14" s="2" t="inlineStr">
        <is>
          <t>外注費・現場人件費は原価で数えたので戻す</t>
        </is>
      </c>
      <c r="Q14" s="51" t="inlineStr">
        <is>
          <t>その他(備考へ)</t>
        </is>
      </c>
      <c r="R14" s="52">
        <f>SUMIFS($F$3:$F$302,$E$3:$E$302,"その他(備考へ)")</f>
        <v/>
      </c>
    </row>
    <row r="15">
      <c r="B15" s="44" t="n"/>
      <c r="C15" s="46" t="n"/>
      <c r="F15" s="45" t="n"/>
      <c r="M15" s="49" t="inlineStr">
        <is>
          <t>− 個別ロイ（下で計上）</t>
        </is>
      </c>
      <c r="N15" s="53">
        <f>-SUMIFS($F$3:$F$302,$E$3:$E$302,"個別ロイ")</f>
        <v/>
      </c>
      <c r="O15" s="2" t="inlineStr">
        <is>
          <t>★二重計上を防ぐため、ここで一度引く</t>
        </is>
      </c>
      <c r="Q15" s="13" t="inlineStr">
        <is>
          <t>合計</t>
        </is>
      </c>
      <c r="R15" s="54">
        <f>SUM(R4:R14)</f>
        <v/>
      </c>
    </row>
    <row r="16">
      <c r="B16" s="44" t="n"/>
      <c r="C16" s="46" t="n"/>
      <c r="F16" s="45" t="n"/>
      <c r="M16" s="49" t="inlineStr">
        <is>
          <t>ロイヤリティ 固定分</t>
        </is>
      </c>
      <c r="N16" s="53">
        <f>IF($N$3+$N$13=0,0,50050)</f>
        <v/>
      </c>
      <c r="O16" s="2" t="inlineStr">
        <is>
          <t>★50,050円。左の経費表には入力しないこと（まだ動いていない月は0）</t>
        </is>
      </c>
    </row>
    <row r="17">
      <c r="B17" s="44" t="n"/>
      <c r="C17" s="46" t="n"/>
      <c r="F17" s="45" t="n"/>
      <c r="M17" s="49" t="inlineStr">
        <is>
          <t>ロイヤリティ 38%分</t>
        </is>
      </c>
      <c r="N17" s="53">
        <f>SUMIFS('6月_売上顧客'!$L$5:$L$504,'6月_売上顧客'!$V$5:$V$504,"38%")*0.38</f>
        <v/>
      </c>
      <c r="O17" s="2" t="inlineStr">
        <is>
          <t>本舗ロイ区分＝38% の売上 × 38%</t>
        </is>
      </c>
    </row>
    <row r="18">
      <c r="B18" s="44" t="n"/>
      <c r="C18" s="46" t="n"/>
      <c r="F18" s="45" t="n"/>
      <c r="M18" s="49" t="inlineStr">
        <is>
          <t>ロイヤリティ 10%分</t>
        </is>
      </c>
      <c r="N18" s="53">
        <f>SUMIFS('6月_売上顧客'!$L$5:$L$504,'6月_売上顧客'!$V$5:$V$504,"10%")*0.1</f>
        <v/>
      </c>
      <c r="O18" s="2" t="inlineStr">
        <is>
          <t>本舗ロイ区分＝10% の売上 × 10%</t>
        </is>
      </c>
    </row>
    <row r="19">
      <c r="B19" s="44" t="n"/>
      <c r="C19" s="46" t="n"/>
      <c r="F19" s="45" t="n"/>
      <c r="M19" s="49" t="inlineStr">
        <is>
          <t>ロイヤリティ 個別実額</t>
        </is>
      </c>
      <c r="N19" s="53">
        <f>SUMIFS($F$3:$F$302,$E$3:$E$302,"個別ロイ")</f>
        <v/>
      </c>
      <c r="O19" s="2" t="inlineStr">
        <is>
          <t>経費表の科目＝個別ロイ（toB・楽ラクーン等）</t>
        </is>
      </c>
    </row>
    <row r="20">
      <c r="B20" s="44" t="n"/>
      <c r="C20" s="46" t="n"/>
      <c r="F20" s="45" t="n"/>
      <c r="M20" s="47" t="inlineStr">
        <is>
          <t>ロイヤリティ 合計</t>
        </is>
      </c>
      <c r="N20" s="48">
        <f>N16+N17+N18+N19</f>
        <v/>
      </c>
      <c r="O20" s="2" t="inlineStr">
        <is>
          <t>固定＋38%＋10%＋個別</t>
        </is>
      </c>
    </row>
    <row r="21">
      <c r="B21" s="44" t="n"/>
      <c r="C21" s="46" t="n"/>
      <c r="F21" s="45" t="n"/>
      <c r="M21" s="47" t="inlineStr">
        <is>
          <t>販売管理費</t>
        </is>
      </c>
      <c r="N21" s="48">
        <f>N13+N14+N15+N20</f>
        <v/>
      </c>
      <c r="O21" s="2" t="inlineStr">
        <is>
          <t>経費合計 − 原価分 − 個別ロイ ＋ ロイヤリティ合計</t>
        </is>
      </c>
    </row>
    <row r="22">
      <c r="B22" s="44" t="n"/>
      <c r="C22" s="46" t="n"/>
      <c r="F22" s="45" t="n"/>
      <c r="M22" s="47" t="inlineStr">
        <is>
          <t>営業利益</t>
        </is>
      </c>
      <c r="N22" s="48">
        <f>N11-N21</f>
        <v/>
      </c>
      <c r="O22" s="2" t="inlineStr">
        <is>
          <t>売上総利益 − 販売管理費</t>
        </is>
      </c>
    </row>
    <row r="23">
      <c r="B23" s="44" t="n"/>
      <c r="C23" s="46" t="n"/>
      <c r="F23" s="45" t="n"/>
      <c r="M23" s="49" t="inlineStr">
        <is>
          <t>融資返済</t>
        </is>
      </c>
      <c r="N23" s="53">
        <f>IF($N$3+$N$13=0,0,38059)</f>
        <v/>
      </c>
      <c r="O23" s="2" t="inlineStr">
        <is>
          <t>固定 38,059円（まだ動いていない月は0）</t>
        </is>
      </c>
    </row>
    <row r="24">
      <c r="B24" s="44" t="n"/>
      <c r="C24" s="46" t="n"/>
      <c r="F24" s="45" t="n"/>
      <c r="M24" s="47" t="inlineStr">
        <is>
          <t>経常利益</t>
        </is>
      </c>
      <c r="N24" s="48">
        <f>N22-N23</f>
        <v/>
      </c>
      <c r="O24" s="2" t="inlineStr">
        <is>
          <t>営業利益 − 融資返済</t>
        </is>
      </c>
    </row>
    <row r="25">
      <c r="B25" s="44" t="n"/>
      <c r="C25" s="46" t="n"/>
      <c r="F25" s="45" t="n"/>
    </row>
    <row r="26">
      <c r="B26" s="44" t="n"/>
      <c r="C26" s="46" t="n"/>
      <c r="F26" s="45" t="n"/>
      <c r="M26" s="49" t="inlineStr">
        <is>
          <t>経常利益率</t>
        </is>
      </c>
      <c r="N26" s="55">
        <f>IFERROR(N24/N3,0)</f>
        <v/>
      </c>
      <c r="O26" s="2" t="inlineStr">
        <is>
          <t>経常利益 ÷ 売上</t>
        </is>
      </c>
    </row>
    <row r="27">
      <c r="B27" s="44" t="n"/>
      <c r="C27" s="46" t="n"/>
      <c r="F27" s="45" t="n"/>
    </row>
    <row r="28">
      <c r="B28" s="44" t="n"/>
      <c r="C28" s="46" t="n"/>
      <c r="F28" s="45" t="n"/>
      <c r="M28" s="11" t="inlineStr">
        <is>
          <t>▼ 計画（中立）との比較</t>
        </is>
      </c>
    </row>
    <row r="29">
      <c r="B29" s="44" t="n"/>
      <c r="C29" s="46" t="n"/>
      <c r="F29" s="45" t="n"/>
      <c r="M29" s="51" t="inlineStr">
        <is>
          <t>計画 売上</t>
        </is>
      </c>
      <c r="N29" s="45" t="n">
        <v>3400000</v>
      </c>
      <c r="O29" s="2" t="inlineStr"/>
    </row>
    <row r="30">
      <c r="B30" s="44" t="n"/>
      <c r="C30" s="46" t="n"/>
      <c r="F30" s="45" t="n"/>
      <c r="M30" s="51" t="inlineStr">
        <is>
          <t>実績 − 計画（売上）</t>
        </is>
      </c>
      <c r="N30" s="45">
        <f>N3-N29</f>
        <v/>
      </c>
      <c r="O30" s="2" t="inlineStr">
        <is>
          <t>マイナスなら赤</t>
        </is>
      </c>
    </row>
    <row r="31">
      <c r="B31" s="44" t="n"/>
      <c r="C31" s="46" t="n"/>
      <c r="F31" s="45" t="n"/>
      <c r="M31" s="51" t="inlineStr">
        <is>
          <t>計画 経常利益</t>
        </is>
      </c>
      <c r="N31" s="45" t="n">
        <v>1231143</v>
      </c>
      <c r="O31" s="2" t="inlineStr"/>
    </row>
    <row r="32">
      <c r="B32" s="44" t="n"/>
      <c r="C32" s="46" t="n"/>
      <c r="F32" s="45" t="n"/>
      <c r="M32" s="51" t="inlineStr">
        <is>
          <t>実績 − 計画（経常）</t>
        </is>
      </c>
      <c r="N32" s="45">
        <f>N24-N31</f>
        <v/>
      </c>
      <c r="O32" s="2" t="inlineStr">
        <is>
          <t>マイナスなら赤</t>
        </is>
      </c>
    </row>
    <row r="33">
      <c r="B33" s="44" t="n"/>
      <c r="C33" s="46" t="n"/>
      <c r="F33" s="45" t="n"/>
      <c r="M33" s="51" t="inlineStr">
        <is>
          <t>計画 件数</t>
        </is>
      </c>
      <c r="N33" s="56" t="n">
        <v>82</v>
      </c>
      <c r="O33" s="2" t="inlineStr"/>
    </row>
    <row r="34">
      <c r="B34" s="44" t="n"/>
      <c r="C34" s="46" t="n"/>
      <c r="F34" s="45" t="n"/>
      <c r="M34" s="51" t="inlineStr">
        <is>
          <t>実績 件数</t>
        </is>
      </c>
      <c r="N34" s="56">
        <f>'6月_売上顧客'!$E$4</f>
        <v/>
      </c>
      <c r="O34" s="2" t="inlineStr"/>
    </row>
    <row r="35">
      <c r="B35" s="44" t="n"/>
      <c r="C35" s="46" t="n"/>
      <c r="F35" s="45" t="n"/>
    </row>
    <row r="36">
      <c r="B36" s="44" t="n"/>
      <c r="C36" s="46" t="n"/>
      <c r="F36" s="45" t="n"/>
      <c r="M36" s="8" t="inlineStr">
        <is>
          <t>【ロイヤリティはこのP/Lだけで数えます】</t>
        </is>
      </c>
    </row>
    <row r="37">
      <c r="B37" s="44" t="n"/>
      <c r="C37" s="46" t="n"/>
      <c r="F37" s="45" t="n"/>
      <c r="M37" s="2" t="inlineStr">
        <is>
          <t xml:space="preserve">  ・固定分 50,050円は左の経費表に入力しないこと（2026年版はここが二重計上の疑いだった）</t>
        </is>
      </c>
    </row>
    <row r="38">
      <c r="B38" s="44" t="n"/>
      <c r="C38" s="46" t="n"/>
      <c r="F38" s="45" t="n"/>
      <c r="M38" s="2" t="inlineStr">
        <is>
          <t xml:space="preserve">  ・個別ロイは左の経費表に科目「個別ロイ」で入力する。P/Lは15行目で引いて19行目で足すので、数えるのは1回だけ</t>
        </is>
      </c>
    </row>
    <row r="39">
      <c r="B39" s="44" t="n"/>
      <c r="C39" s="46" t="n"/>
      <c r="F39" s="45" t="n"/>
      <c r="M39" s="8" t="inlineStr">
        <is>
          <t>【人件費は2つに分けます】</t>
        </is>
      </c>
    </row>
    <row r="40">
      <c r="B40" s="44" t="n"/>
      <c r="C40" s="46" t="n"/>
      <c r="F40" s="45" t="n"/>
      <c r="M40" s="2" t="inlineStr">
        <is>
          <t xml:space="preserve">  ・現場人件費(原価) … 現場に出た分。原価に入る</t>
        </is>
      </c>
    </row>
    <row r="41">
      <c r="B41" s="44" t="n"/>
      <c r="C41" s="46" t="n"/>
      <c r="F41" s="45" t="n"/>
      <c r="M41" s="2" t="inlineStr">
        <is>
          <t xml:space="preserve">  ・固定給(販管費) … 和真さんの固定給40万＋プール10万、新人の給与。販管費に入る</t>
        </is>
      </c>
    </row>
    <row r="42">
      <c r="B42" s="44" t="n"/>
      <c r="C42" s="46" t="n"/>
      <c r="F42" s="45" t="n"/>
      <c r="M42" s="2" t="inlineStr">
        <is>
          <t xml:space="preserve">  ・歩合（経常利益×45%）の行は2027年から使いません</t>
        </is>
      </c>
    </row>
    <row r="43">
      <c r="B43" s="44" t="n"/>
      <c r="C43" s="46" t="n"/>
      <c r="F43" s="45" t="n"/>
      <c r="M43" s="8" t="inlineStr">
        <is>
          <t>【保険料・通信費は「その他」に入れないこと】</t>
        </is>
      </c>
    </row>
    <row r="44">
      <c r="B44" s="44" t="n"/>
      <c r="C44" s="46" t="n"/>
      <c r="F44" s="45" t="n"/>
      <c r="M44" s="2" t="inlineStr">
        <is>
          <t xml:space="preserve">  ・賠償保険 43,760／通信費 8,470／日新火災 18,050 ＝ 月70,280円。科目を独立させました</t>
        </is>
      </c>
    </row>
    <row r="45">
      <c r="B45" s="44" t="n"/>
      <c r="C45" s="46" t="n"/>
      <c r="F45" s="45" t="n"/>
    </row>
    <row r="46">
      <c r="B46" s="44" t="n"/>
      <c r="C46" s="46" t="n"/>
      <c r="F46" s="45" t="n"/>
    </row>
    <row r="47">
      <c r="B47" s="44" t="n"/>
      <c r="C47" s="46" t="n"/>
      <c r="F47" s="45" t="n"/>
    </row>
    <row r="48">
      <c r="B48" s="44" t="n"/>
      <c r="C48" s="46" t="n"/>
      <c r="F48" s="45" t="n"/>
    </row>
    <row r="49">
      <c r="B49" s="44" t="n"/>
      <c r="C49" s="46" t="n"/>
      <c r="F49" s="45" t="n"/>
    </row>
    <row r="50">
      <c r="B50" s="44" t="n"/>
      <c r="C50" s="46" t="n"/>
      <c r="F50" s="45" t="n"/>
    </row>
    <row r="51">
      <c r="B51" s="44" t="n"/>
      <c r="C51" s="46" t="n"/>
      <c r="F51" s="45" t="n"/>
    </row>
    <row r="52">
      <c r="B52" s="44" t="n"/>
      <c r="C52" s="46" t="n"/>
      <c r="F52" s="45" t="n"/>
    </row>
    <row r="53">
      <c r="B53" s="44" t="n"/>
      <c r="C53" s="46" t="n"/>
      <c r="F53" s="45" t="n"/>
    </row>
    <row r="54">
      <c r="B54" s="44" t="n"/>
      <c r="C54" s="46" t="n"/>
      <c r="F54" s="45" t="n"/>
    </row>
    <row r="55">
      <c r="B55" s="44" t="n"/>
      <c r="C55" s="46" t="n"/>
      <c r="F55" s="45" t="n"/>
    </row>
    <row r="56">
      <c r="B56" s="44" t="n"/>
      <c r="C56" s="46" t="n"/>
      <c r="F56" s="45" t="n"/>
    </row>
    <row r="57">
      <c r="B57" s="44" t="n"/>
      <c r="C57" s="46" t="n"/>
      <c r="F57" s="45" t="n"/>
    </row>
    <row r="58">
      <c r="B58" s="44" t="n"/>
      <c r="C58" s="46" t="n"/>
      <c r="F58" s="45" t="n"/>
    </row>
    <row r="59">
      <c r="B59" s="44" t="n"/>
      <c r="C59" s="46" t="n"/>
      <c r="F59" s="45" t="n"/>
    </row>
    <row r="60">
      <c r="B60" s="44" t="n"/>
      <c r="C60" s="46" t="n"/>
      <c r="F60" s="45" t="n"/>
    </row>
    <row r="61">
      <c r="B61" s="44" t="n"/>
      <c r="C61" s="46" t="n"/>
      <c r="F61" s="45" t="n"/>
    </row>
    <row r="62">
      <c r="B62" s="44" t="n"/>
      <c r="C62" s="46" t="n"/>
      <c r="F62" s="45" t="n"/>
    </row>
    <row r="63">
      <c r="B63" s="44" t="n"/>
      <c r="C63" s="46" t="n"/>
      <c r="F63" s="45" t="n"/>
    </row>
    <row r="64">
      <c r="B64" s="44" t="n"/>
      <c r="C64" s="46" t="n"/>
      <c r="F64" s="45" t="n"/>
    </row>
    <row r="65">
      <c r="B65" s="44" t="n"/>
      <c r="C65" s="46" t="n"/>
      <c r="F65" s="45" t="n"/>
    </row>
    <row r="66">
      <c r="B66" s="44" t="n"/>
      <c r="C66" s="46" t="n"/>
      <c r="F66" s="45" t="n"/>
    </row>
    <row r="67">
      <c r="B67" s="44" t="n"/>
      <c r="C67" s="46" t="n"/>
      <c r="F67" s="45" t="n"/>
    </row>
    <row r="68">
      <c r="B68" s="44" t="n"/>
      <c r="C68" s="46" t="n"/>
      <c r="F68" s="45" t="n"/>
    </row>
    <row r="69">
      <c r="B69" s="44" t="n"/>
      <c r="C69" s="46" t="n"/>
      <c r="F69" s="45" t="n"/>
    </row>
    <row r="70">
      <c r="B70" s="44" t="n"/>
      <c r="C70" s="46" t="n"/>
      <c r="F70" s="45" t="n"/>
    </row>
    <row r="71">
      <c r="B71" s="44" t="n"/>
      <c r="C71" s="46" t="n"/>
      <c r="F71" s="45" t="n"/>
    </row>
    <row r="72">
      <c r="B72" s="44" t="n"/>
      <c r="C72" s="46" t="n"/>
      <c r="F72" s="45" t="n"/>
    </row>
    <row r="73">
      <c r="B73" s="44" t="n"/>
      <c r="C73" s="46" t="n"/>
      <c r="F73" s="45" t="n"/>
    </row>
    <row r="74">
      <c r="B74" s="44" t="n"/>
      <c r="C74" s="46" t="n"/>
      <c r="F74" s="45" t="n"/>
    </row>
    <row r="75">
      <c r="B75" s="44" t="n"/>
      <c r="C75" s="46" t="n"/>
      <c r="F75" s="45" t="n"/>
    </row>
    <row r="76">
      <c r="B76" s="44" t="n"/>
      <c r="C76" s="46" t="n"/>
      <c r="F76" s="45" t="n"/>
    </row>
    <row r="77">
      <c r="B77" s="44" t="n"/>
      <c r="C77" s="46" t="n"/>
      <c r="F77" s="45" t="n"/>
    </row>
    <row r="78">
      <c r="B78" s="44" t="n"/>
      <c r="C78" s="46" t="n"/>
      <c r="F78" s="45" t="n"/>
    </row>
    <row r="79">
      <c r="B79" s="44" t="n"/>
      <c r="C79" s="46" t="n"/>
      <c r="F79" s="45" t="n"/>
    </row>
    <row r="80">
      <c r="B80" s="44" t="n"/>
      <c r="C80" s="46" t="n"/>
      <c r="F80" s="45" t="n"/>
    </row>
    <row r="81">
      <c r="B81" s="44" t="n"/>
      <c r="C81" s="46" t="n"/>
      <c r="F81" s="45" t="n"/>
    </row>
    <row r="82">
      <c r="B82" s="44" t="n"/>
      <c r="C82" s="46" t="n"/>
      <c r="F82" s="45" t="n"/>
    </row>
    <row r="83">
      <c r="B83" s="44" t="n"/>
      <c r="C83" s="46" t="n"/>
      <c r="F83" s="45" t="n"/>
    </row>
    <row r="84">
      <c r="B84" s="44" t="n"/>
      <c r="C84" s="46" t="n"/>
      <c r="F84" s="45" t="n"/>
    </row>
    <row r="85">
      <c r="B85" s="44" t="n"/>
      <c r="C85" s="46" t="n"/>
      <c r="F85" s="45" t="n"/>
    </row>
    <row r="86">
      <c r="B86" s="44" t="n"/>
      <c r="C86" s="46" t="n"/>
      <c r="F86" s="45" t="n"/>
    </row>
    <row r="87">
      <c r="B87" s="44" t="n"/>
      <c r="C87" s="46" t="n"/>
      <c r="F87" s="45" t="n"/>
    </row>
    <row r="88">
      <c r="B88" s="44" t="n"/>
      <c r="C88" s="46" t="n"/>
      <c r="F88" s="45" t="n"/>
    </row>
    <row r="89">
      <c r="B89" s="44" t="n"/>
      <c r="C89" s="46" t="n"/>
      <c r="F89" s="45" t="n"/>
    </row>
    <row r="90">
      <c r="B90" s="44" t="n"/>
      <c r="C90" s="46" t="n"/>
      <c r="F90" s="45" t="n"/>
    </row>
    <row r="91">
      <c r="B91" s="44" t="n"/>
      <c r="C91" s="46" t="n"/>
      <c r="F91" s="45" t="n"/>
    </row>
    <row r="92">
      <c r="B92" s="44" t="n"/>
      <c r="C92" s="46" t="n"/>
      <c r="F92" s="45" t="n"/>
    </row>
    <row r="93">
      <c r="B93" s="44" t="n"/>
      <c r="C93" s="46" t="n"/>
      <c r="F93" s="45" t="n"/>
    </row>
    <row r="94">
      <c r="B94" s="44" t="n"/>
      <c r="C94" s="46" t="n"/>
      <c r="F94" s="45" t="n"/>
    </row>
    <row r="95">
      <c r="B95" s="44" t="n"/>
      <c r="C95" s="46" t="n"/>
      <c r="F95" s="45" t="n"/>
    </row>
    <row r="96">
      <c r="B96" s="44" t="n"/>
      <c r="C96" s="46" t="n"/>
      <c r="F96" s="45" t="n"/>
    </row>
    <row r="97">
      <c r="B97" s="44" t="n"/>
      <c r="C97" s="46" t="n"/>
      <c r="F97" s="45" t="n"/>
    </row>
    <row r="98">
      <c r="B98" s="44" t="n"/>
      <c r="C98" s="46" t="n"/>
      <c r="F98" s="45" t="n"/>
    </row>
    <row r="99">
      <c r="B99" s="44" t="n"/>
      <c r="C99" s="46" t="n"/>
      <c r="F99" s="45" t="n"/>
    </row>
    <row r="100">
      <c r="B100" s="44" t="n"/>
      <c r="C100" s="46" t="n"/>
      <c r="F100" s="45" t="n"/>
    </row>
    <row r="101">
      <c r="B101" s="44" t="n"/>
      <c r="C101" s="46" t="n"/>
      <c r="F101" s="45" t="n"/>
    </row>
    <row r="102">
      <c r="B102" s="44" t="n"/>
      <c r="C102" s="46" t="n"/>
      <c r="F102" s="45" t="n"/>
    </row>
    <row r="103">
      <c r="B103" s="44" t="n"/>
      <c r="C103" s="46" t="n"/>
      <c r="F103" s="45" t="n"/>
    </row>
    <row r="104">
      <c r="B104" s="44" t="n"/>
      <c r="C104" s="46" t="n"/>
      <c r="F104" s="45" t="n"/>
    </row>
    <row r="105">
      <c r="B105" s="44" t="n"/>
      <c r="C105" s="46" t="n"/>
      <c r="F105" s="45" t="n"/>
    </row>
    <row r="106">
      <c r="B106" s="44" t="n"/>
      <c r="C106" s="46" t="n"/>
      <c r="F106" s="45" t="n"/>
    </row>
    <row r="107">
      <c r="B107" s="44" t="n"/>
      <c r="C107" s="46" t="n"/>
      <c r="F107" s="45" t="n"/>
    </row>
    <row r="108">
      <c r="B108" s="44" t="n"/>
      <c r="C108" s="46" t="n"/>
      <c r="F108" s="45" t="n"/>
    </row>
    <row r="109">
      <c r="B109" s="44" t="n"/>
      <c r="C109" s="46" t="n"/>
      <c r="F109" s="45" t="n"/>
    </row>
    <row r="110">
      <c r="B110" s="44" t="n"/>
      <c r="C110" s="46" t="n"/>
      <c r="F110" s="45" t="n"/>
    </row>
    <row r="111">
      <c r="B111" s="44" t="n"/>
      <c r="C111" s="46" t="n"/>
      <c r="F111" s="45" t="n"/>
    </row>
    <row r="112">
      <c r="B112" s="44" t="n"/>
      <c r="C112" s="46" t="n"/>
      <c r="F112" s="45" t="n"/>
    </row>
    <row r="113">
      <c r="B113" s="44" t="n"/>
      <c r="C113" s="46" t="n"/>
      <c r="F113" s="45" t="n"/>
    </row>
    <row r="114">
      <c r="B114" s="44" t="n"/>
      <c r="C114" s="46" t="n"/>
      <c r="F114" s="45" t="n"/>
    </row>
    <row r="115">
      <c r="B115" s="44" t="n"/>
      <c r="C115" s="46" t="n"/>
      <c r="F115" s="45" t="n"/>
    </row>
    <row r="116">
      <c r="B116" s="44" t="n"/>
      <c r="C116" s="46" t="n"/>
      <c r="F116" s="45" t="n"/>
    </row>
    <row r="117">
      <c r="B117" s="44" t="n"/>
      <c r="C117" s="46" t="n"/>
      <c r="F117" s="45" t="n"/>
    </row>
    <row r="118">
      <c r="B118" s="44" t="n"/>
      <c r="C118" s="46" t="n"/>
      <c r="F118" s="45" t="n"/>
    </row>
    <row r="119">
      <c r="B119" s="44" t="n"/>
      <c r="C119" s="46" t="n"/>
      <c r="F119" s="45" t="n"/>
    </row>
    <row r="120">
      <c r="B120" s="44" t="n"/>
      <c r="C120" s="46" t="n"/>
      <c r="F120" s="45" t="n"/>
    </row>
    <row r="121">
      <c r="B121" s="44" t="n"/>
      <c r="C121" s="46" t="n"/>
      <c r="F121" s="45" t="n"/>
    </row>
    <row r="122">
      <c r="B122" s="44" t="n"/>
      <c r="C122" s="46" t="n"/>
      <c r="F122" s="45" t="n"/>
    </row>
    <row r="123">
      <c r="B123" s="44" t="n"/>
      <c r="C123" s="46" t="n"/>
      <c r="F123" s="45" t="n"/>
    </row>
    <row r="124">
      <c r="B124" s="44" t="n"/>
      <c r="C124" s="46" t="n"/>
      <c r="F124" s="45" t="n"/>
    </row>
    <row r="125">
      <c r="B125" s="44" t="n"/>
      <c r="C125" s="46" t="n"/>
      <c r="F125" s="45" t="n"/>
    </row>
    <row r="126">
      <c r="B126" s="44" t="n"/>
      <c r="C126" s="46" t="n"/>
      <c r="F126" s="45" t="n"/>
    </row>
    <row r="127">
      <c r="B127" s="44" t="n"/>
      <c r="C127" s="46" t="n"/>
      <c r="F127" s="45" t="n"/>
    </row>
    <row r="128">
      <c r="B128" s="44" t="n"/>
      <c r="C128" s="46" t="n"/>
      <c r="F128" s="45" t="n"/>
    </row>
    <row r="129">
      <c r="B129" s="44" t="n"/>
      <c r="C129" s="46" t="n"/>
      <c r="F129" s="45" t="n"/>
    </row>
    <row r="130">
      <c r="B130" s="44" t="n"/>
      <c r="C130" s="46" t="n"/>
      <c r="F130" s="45" t="n"/>
    </row>
    <row r="131">
      <c r="B131" s="44" t="n"/>
      <c r="C131" s="46" t="n"/>
      <c r="F131" s="45" t="n"/>
    </row>
    <row r="132">
      <c r="B132" s="44" t="n"/>
      <c r="C132" s="46" t="n"/>
      <c r="F132" s="45" t="n"/>
    </row>
    <row r="133">
      <c r="B133" s="44" t="n"/>
      <c r="C133" s="46" t="n"/>
      <c r="F133" s="45" t="n"/>
    </row>
    <row r="134">
      <c r="B134" s="44" t="n"/>
      <c r="C134" s="46" t="n"/>
      <c r="F134" s="45" t="n"/>
    </row>
    <row r="135">
      <c r="B135" s="44" t="n"/>
      <c r="C135" s="46" t="n"/>
      <c r="F135" s="45" t="n"/>
    </row>
    <row r="136">
      <c r="B136" s="44" t="n"/>
      <c r="C136" s="46" t="n"/>
      <c r="F136" s="45" t="n"/>
    </row>
    <row r="137">
      <c r="B137" s="44" t="n"/>
      <c r="C137" s="46" t="n"/>
      <c r="F137" s="45" t="n"/>
    </row>
    <row r="138">
      <c r="B138" s="44" t="n"/>
      <c r="C138" s="46" t="n"/>
      <c r="F138" s="45" t="n"/>
    </row>
    <row r="139">
      <c r="B139" s="44" t="n"/>
      <c r="C139" s="46" t="n"/>
      <c r="F139" s="45" t="n"/>
    </row>
    <row r="140">
      <c r="B140" s="44" t="n"/>
      <c r="C140" s="46" t="n"/>
      <c r="F140" s="45" t="n"/>
    </row>
    <row r="141">
      <c r="B141" s="44" t="n"/>
      <c r="C141" s="46" t="n"/>
      <c r="F141" s="45" t="n"/>
    </row>
    <row r="142">
      <c r="B142" s="44" t="n"/>
      <c r="C142" s="46" t="n"/>
      <c r="F142" s="45" t="n"/>
    </row>
    <row r="143">
      <c r="B143" s="44" t="n"/>
      <c r="C143" s="46" t="n"/>
      <c r="F143" s="45" t="n"/>
    </row>
    <row r="144">
      <c r="B144" s="44" t="n"/>
      <c r="C144" s="46" t="n"/>
      <c r="F144" s="45" t="n"/>
    </row>
    <row r="145">
      <c r="B145" s="44" t="n"/>
      <c r="C145" s="46" t="n"/>
      <c r="F145" s="45" t="n"/>
    </row>
    <row r="146">
      <c r="B146" s="44" t="n"/>
      <c r="C146" s="46" t="n"/>
      <c r="F146" s="45" t="n"/>
    </row>
    <row r="147">
      <c r="B147" s="44" t="n"/>
      <c r="C147" s="46" t="n"/>
      <c r="F147" s="45" t="n"/>
    </row>
    <row r="148">
      <c r="B148" s="44" t="n"/>
      <c r="C148" s="46" t="n"/>
      <c r="F148" s="45" t="n"/>
    </row>
    <row r="149">
      <c r="B149" s="44" t="n"/>
      <c r="C149" s="46" t="n"/>
      <c r="F149" s="45" t="n"/>
    </row>
    <row r="150">
      <c r="B150" s="44" t="n"/>
      <c r="C150" s="46" t="n"/>
      <c r="F150" s="45" t="n"/>
    </row>
    <row r="151">
      <c r="B151" s="44" t="n"/>
      <c r="C151" s="46" t="n"/>
      <c r="F151" s="45" t="n"/>
    </row>
    <row r="152">
      <c r="B152" s="44" t="n"/>
      <c r="C152" s="46" t="n"/>
      <c r="F152" s="45" t="n"/>
    </row>
    <row r="153">
      <c r="B153" s="44" t="n"/>
      <c r="C153" s="46" t="n"/>
      <c r="F153" s="45" t="n"/>
    </row>
    <row r="154">
      <c r="B154" s="44" t="n"/>
      <c r="C154" s="46" t="n"/>
      <c r="F154" s="45" t="n"/>
    </row>
    <row r="155">
      <c r="B155" s="44" t="n"/>
      <c r="C155" s="46" t="n"/>
      <c r="F155" s="45" t="n"/>
    </row>
    <row r="156">
      <c r="B156" s="44" t="n"/>
      <c r="C156" s="46" t="n"/>
      <c r="F156" s="45" t="n"/>
    </row>
    <row r="157">
      <c r="B157" s="44" t="n"/>
      <c r="C157" s="46" t="n"/>
      <c r="F157" s="45" t="n"/>
    </row>
    <row r="158">
      <c r="B158" s="44" t="n"/>
      <c r="C158" s="46" t="n"/>
      <c r="F158" s="45" t="n"/>
    </row>
    <row r="159">
      <c r="B159" s="44" t="n"/>
      <c r="C159" s="46" t="n"/>
      <c r="F159" s="45" t="n"/>
    </row>
    <row r="160">
      <c r="B160" s="44" t="n"/>
      <c r="C160" s="46" t="n"/>
      <c r="F160" s="45" t="n"/>
    </row>
    <row r="161">
      <c r="B161" s="44" t="n"/>
      <c r="C161" s="46" t="n"/>
      <c r="F161" s="45" t="n"/>
    </row>
    <row r="162">
      <c r="B162" s="44" t="n"/>
      <c r="C162" s="46" t="n"/>
      <c r="F162" s="45" t="n"/>
    </row>
    <row r="163">
      <c r="B163" s="44" t="n"/>
      <c r="C163" s="46" t="n"/>
      <c r="F163" s="45" t="n"/>
    </row>
    <row r="164">
      <c r="B164" s="44" t="n"/>
      <c r="C164" s="46" t="n"/>
      <c r="F164" s="45" t="n"/>
    </row>
    <row r="165">
      <c r="B165" s="44" t="n"/>
      <c r="C165" s="46" t="n"/>
      <c r="F165" s="45" t="n"/>
    </row>
    <row r="166">
      <c r="B166" s="44" t="n"/>
      <c r="C166" s="46" t="n"/>
      <c r="F166" s="45" t="n"/>
    </row>
    <row r="167">
      <c r="B167" s="44" t="n"/>
      <c r="C167" s="46" t="n"/>
      <c r="F167" s="45" t="n"/>
    </row>
    <row r="168">
      <c r="B168" s="44" t="n"/>
      <c r="C168" s="46" t="n"/>
      <c r="F168" s="45" t="n"/>
    </row>
    <row r="169">
      <c r="B169" s="44" t="n"/>
      <c r="C169" s="46" t="n"/>
      <c r="F169" s="45" t="n"/>
    </row>
    <row r="170">
      <c r="B170" s="44" t="n"/>
      <c r="C170" s="46" t="n"/>
      <c r="F170" s="45" t="n"/>
    </row>
    <row r="171">
      <c r="B171" s="44" t="n"/>
      <c r="C171" s="46" t="n"/>
      <c r="F171" s="45" t="n"/>
    </row>
    <row r="172">
      <c r="B172" s="44" t="n"/>
      <c r="C172" s="46" t="n"/>
      <c r="F172" s="45" t="n"/>
    </row>
    <row r="173">
      <c r="B173" s="44" t="n"/>
      <c r="C173" s="46" t="n"/>
      <c r="F173" s="45" t="n"/>
    </row>
    <row r="174">
      <c r="B174" s="44" t="n"/>
      <c r="C174" s="46" t="n"/>
      <c r="F174" s="45" t="n"/>
    </row>
    <row r="175">
      <c r="B175" s="44" t="n"/>
      <c r="C175" s="46" t="n"/>
      <c r="F175" s="45" t="n"/>
    </row>
    <row r="176">
      <c r="B176" s="44" t="n"/>
      <c r="C176" s="46" t="n"/>
      <c r="F176" s="45" t="n"/>
    </row>
    <row r="177">
      <c r="B177" s="44" t="n"/>
      <c r="C177" s="46" t="n"/>
      <c r="F177" s="45" t="n"/>
    </row>
    <row r="178">
      <c r="B178" s="44" t="n"/>
      <c r="C178" s="46" t="n"/>
      <c r="F178" s="45" t="n"/>
    </row>
    <row r="179">
      <c r="B179" s="44" t="n"/>
      <c r="C179" s="46" t="n"/>
      <c r="F179" s="45" t="n"/>
    </row>
    <row r="180">
      <c r="B180" s="44" t="n"/>
      <c r="C180" s="46" t="n"/>
      <c r="F180" s="45" t="n"/>
    </row>
    <row r="181">
      <c r="B181" s="44" t="n"/>
      <c r="C181" s="46" t="n"/>
      <c r="F181" s="45" t="n"/>
    </row>
    <row r="182">
      <c r="B182" s="44" t="n"/>
      <c r="C182" s="46" t="n"/>
      <c r="F182" s="45" t="n"/>
    </row>
    <row r="183">
      <c r="B183" s="44" t="n"/>
      <c r="C183" s="46" t="n"/>
      <c r="F183" s="45" t="n"/>
    </row>
    <row r="184">
      <c r="B184" s="44" t="n"/>
      <c r="C184" s="46" t="n"/>
      <c r="F184" s="45" t="n"/>
    </row>
    <row r="185">
      <c r="B185" s="44" t="n"/>
      <c r="C185" s="46" t="n"/>
      <c r="F185" s="45" t="n"/>
    </row>
    <row r="186">
      <c r="B186" s="44" t="n"/>
      <c r="C186" s="46" t="n"/>
      <c r="F186" s="45" t="n"/>
    </row>
    <row r="187">
      <c r="B187" s="44" t="n"/>
      <c r="C187" s="46" t="n"/>
      <c r="F187" s="45" t="n"/>
    </row>
    <row r="188">
      <c r="B188" s="44" t="n"/>
      <c r="C188" s="46" t="n"/>
      <c r="F188" s="45" t="n"/>
    </row>
    <row r="189">
      <c r="B189" s="44" t="n"/>
      <c r="C189" s="46" t="n"/>
      <c r="F189" s="45" t="n"/>
    </row>
    <row r="190">
      <c r="B190" s="44" t="n"/>
      <c r="C190" s="46" t="n"/>
      <c r="F190" s="45" t="n"/>
    </row>
    <row r="191">
      <c r="B191" s="44" t="n"/>
      <c r="C191" s="46" t="n"/>
      <c r="F191" s="45" t="n"/>
    </row>
    <row r="192">
      <c r="B192" s="44" t="n"/>
      <c r="C192" s="46" t="n"/>
      <c r="F192" s="45" t="n"/>
    </row>
    <row r="193">
      <c r="B193" s="44" t="n"/>
      <c r="C193" s="46" t="n"/>
      <c r="F193" s="45" t="n"/>
    </row>
    <row r="194">
      <c r="B194" s="44" t="n"/>
      <c r="C194" s="46" t="n"/>
      <c r="F194" s="45" t="n"/>
    </row>
    <row r="195">
      <c r="B195" s="44" t="n"/>
      <c r="C195" s="46" t="n"/>
      <c r="F195" s="45" t="n"/>
    </row>
    <row r="196">
      <c r="B196" s="44" t="n"/>
      <c r="C196" s="46" t="n"/>
      <c r="F196" s="45" t="n"/>
    </row>
    <row r="197">
      <c r="B197" s="44" t="n"/>
      <c r="C197" s="46" t="n"/>
      <c r="F197" s="45" t="n"/>
    </row>
    <row r="198">
      <c r="B198" s="44" t="n"/>
      <c r="C198" s="46" t="n"/>
      <c r="F198" s="45" t="n"/>
    </row>
    <row r="199">
      <c r="B199" s="44" t="n"/>
      <c r="C199" s="46" t="n"/>
      <c r="F199" s="45" t="n"/>
    </row>
    <row r="200">
      <c r="B200" s="44" t="n"/>
      <c r="C200" s="46" t="n"/>
      <c r="F200" s="45" t="n"/>
    </row>
    <row r="201">
      <c r="B201" s="44" t="n"/>
      <c r="C201" s="46" t="n"/>
      <c r="F201" s="45" t="n"/>
    </row>
    <row r="202">
      <c r="B202" s="44" t="n"/>
      <c r="C202" s="46" t="n"/>
      <c r="F202" s="45" t="n"/>
    </row>
    <row r="203">
      <c r="B203" s="44" t="n"/>
      <c r="C203" s="46" t="n"/>
      <c r="F203" s="45" t="n"/>
    </row>
    <row r="204">
      <c r="B204" s="44" t="n"/>
      <c r="C204" s="46" t="n"/>
      <c r="F204" s="45" t="n"/>
    </row>
    <row r="205">
      <c r="B205" s="44" t="n"/>
      <c r="C205" s="46" t="n"/>
      <c r="F205" s="45" t="n"/>
    </row>
    <row r="206">
      <c r="B206" s="44" t="n"/>
      <c r="C206" s="46" t="n"/>
      <c r="F206" s="45" t="n"/>
    </row>
    <row r="207">
      <c r="B207" s="44" t="n"/>
      <c r="C207" s="46" t="n"/>
      <c r="F207" s="45" t="n"/>
    </row>
    <row r="208">
      <c r="B208" s="44" t="n"/>
      <c r="C208" s="46" t="n"/>
      <c r="F208" s="45" t="n"/>
    </row>
    <row r="209">
      <c r="B209" s="44" t="n"/>
      <c r="C209" s="46" t="n"/>
      <c r="F209" s="45" t="n"/>
    </row>
    <row r="210">
      <c r="B210" s="44" t="n"/>
      <c r="C210" s="46" t="n"/>
      <c r="F210" s="45" t="n"/>
    </row>
    <row r="211">
      <c r="B211" s="44" t="n"/>
      <c r="C211" s="46" t="n"/>
      <c r="F211" s="45" t="n"/>
    </row>
    <row r="212">
      <c r="B212" s="44" t="n"/>
      <c r="C212" s="46" t="n"/>
      <c r="F212" s="45" t="n"/>
    </row>
    <row r="213">
      <c r="B213" s="44" t="n"/>
      <c r="C213" s="46" t="n"/>
      <c r="F213" s="45" t="n"/>
    </row>
    <row r="214">
      <c r="B214" s="44" t="n"/>
      <c r="C214" s="46" t="n"/>
      <c r="F214" s="45" t="n"/>
    </row>
    <row r="215">
      <c r="B215" s="44" t="n"/>
      <c r="C215" s="46" t="n"/>
      <c r="F215" s="45" t="n"/>
    </row>
    <row r="216">
      <c r="B216" s="44" t="n"/>
      <c r="C216" s="46" t="n"/>
      <c r="F216" s="45" t="n"/>
    </row>
    <row r="217">
      <c r="B217" s="44" t="n"/>
      <c r="C217" s="46" t="n"/>
      <c r="F217" s="45" t="n"/>
    </row>
    <row r="218">
      <c r="B218" s="44" t="n"/>
      <c r="C218" s="46" t="n"/>
      <c r="F218" s="45" t="n"/>
    </row>
    <row r="219">
      <c r="B219" s="44" t="n"/>
      <c r="C219" s="46" t="n"/>
      <c r="F219" s="45" t="n"/>
    </row>
    <row r="220">
      <c r="B220" s="44" t="n"/>
      <c r="C220" s="46" t="n"/>
      <c r="F220" s="45" t="n"/>
    </row>
    <row r="221">
      <c r="B221" s="44" t="n"/>
      <c r="C221" s="46" t="n"/>
      <c r="F221" s="45" t="n"/>
    </row>
    <row r="222">
      <c r="B222" s="44" t="n"/>
      <c r="C222" s="46" t="n"/>
      <c r="F222" s="45" t="n"/>
    </row>
    <row r="223">
      <c r="B223" s="44" t="n"/>
      <c r="C223" s="46" t="n"/>
      <c r="F223" s="45" t="n"/>
    </row>
    <row r="224">
      <c r="B224" s="44" t="n"/>
      <c r="C224" s="46" t="n"/>
      <c r="F224" s="45" t="n"/>
    </row>
    <row r="225">
      <c r="B225" s="44" t="n"/>
      <c r="C225" s="46" t="n"/>
      <c r="F225" s="45" t="n"/>
    </row>
    <row r="226">
      <c r="B226" s="44" t="n"/>
      <c r="C226" s="46" t="n"/>
      <c r="F226" s="45" t="n"/>
    </row>
    <row r="227">
      <c r="B227" s="44" t="n"/>
      <c r="C227" s="46" t="n"/>
      <c r="F227" s="45" t="n"/>
    </row>
    <row r="228">
      <c r="B228" s="44" t="n"/>
      <c r="C228" s="46" t="n"/>
      <c r="F228" s="45" t="n"/>
    </row>
    <row r="229">
      <c r="B229" s="44" t="n"/>
      <c r="C229" s="46" t="n"/>
      <c r="F229" s="45" t="n"/>
    </row>
    <row r="230">
      <c r="B230" s="44" t="n"/>
      <c r="C230" s="46" t="n"/>
      <c r="F230" s="45" t="n"/>
    </row>
    <row r="231">
      <c r="B231" s="44" t="n"/>
      <c r="C231" s="46" t="n"/>
      <c r="F231" s="45" t="n"/>
    </row>
    <row r="232">
      <c r="B232" s="44" t="n"/>
      <c r="C232" s="46" t="n"/>
      <c r="F232" s="45" t="n"/>
    </row>
    <row r="233">
      <c r="B233" s="44" t="n"/>
      <c r="C233" s="46" t="n"/>
      <c r="F233" s="45" t="n"/>
    </row>
    <row r="234">
      <c r="B234" s="44" t="n"/>
      <c r="C234" s="46" t="n"/>
      <c r="F234" s="45" t="n"/>
    </row>
    <row r="235">
      <c r="B235" s="44" t="n"/>
      <c r="C235" s="46" t="n"/>
      <c r="F235" s="45" t="n"/>
    </row>
    <row r="236">
      <c r="B236" s="44" t="n"/>
      <c r="C236" s="46" t="n"/>
      <c r="F236" s="45" t="n"/>
    </row>
    <row r="237">
      <c r="B237" s="44" t="n"/>
      <c r="C237" s="46" t="n"/>
      <c r="F237" s="45" t="n"/>
    </row>
    <row r="238">
      <c r="B238" s="44" t="n"/>
      <c r="C238" s="46" t="n"/>
      <c r="F238" s="45" t="n"/>
    </row>
    <row r="239">
      <c r="B239" s="44" t="n"/>
      <c r="C239" s="46" t="n"/>
      <c r="F239" s="45" t="n"/>
    </row>
    <row r="240">
      <c r="B240" s="44" t="n"/>
      <c r="C240" s="46" t="n"/>
      <c r="F240" s="45" t="n"/>
    </row>
    <row r="241">
      <c r="B241" s="44" t="n"/>
      <c r="C241" s="46" t="n"/>
      <c r="F241" s="45" t="n"/>
    </row>
    <row r="242">
      <c r="B242" s="44" t="n"/>
      <c r="C242" s="46" t="n"/>
      <c r="F242" s="45" t="n"/>
    </row>
    <row r="243">
      <c r="B243" s="44" t="n"/>
      <c r="C243" s="46" t="n"/>
      <c r="F243" s="45" t="n"/>
    </row>
    <row r="244">
      <c r="B244" s="44" t="n"/>
      <c r="C244" s="46" t="n"/>
      <c r="F244" s="45" t="n"/>
    </row>
    <row r="245">
      <c r="B245" s="44" t="n"/>
      <c r="C245" s="46" t="n"/>
      <c r="F245" s="45" t="n"/>
    </row>
    <row r="246">
      <c r="B246" s="44" t="n"/>
      <c r="C246" s="46" t="n"/>
      <c r="F246" s="45" t="n"/>
    </row>
    <row r="247">
      <c r="B247" s="44" t="n"/>
      <c r="C247" s="46" t="n"/>
      <c r="F247" s="45" t="n"/>
    </row>
    <row r="248">
      <c r="B248" s="44" t="n"/>
      <c r="C248" s="46" t="n"/>
      <c r="F248" s="45" t="n"/>
    </row>
    <row r="249">
      <c r="B249" s="44" t="n"/>
      <c r="C249" s="46" t="n"/>
      <c r="F249" s="45" t="n"/>
    </row>
    <row r="250">
      <c r="B250" s="44" t="n"/>
      <c r="C250" s="46" t="n"/>
      <c r="F250" s="45" t="n"/>
    </row>
    <row r="251">
      <c r="B251" s="44" t="n"/>
      <c r="C251" s="46" t="n"/>
      <c r="F251" s="45" t="n"/>
    </row>
    <row r="252">
      <c r="B252" s="44" t="n"/>
      <c r="C252" s="46" t="n"/>
      <c r="F252" s="45" t="n"/>
    </row>
    <row r="253">
      <c r="B253" s="44" t="n"/>
      <c r="C253" s="46" t="n"/>
      <c r="F253" s="45" t="n"/>
    </row>
    <row r="254">
      <c r="B254" s="44" t="n"/>
      <c r="C254" s="46" t="n"/>
      <c r="F254" s="45" t="n"/>
    </row>
    <row r="255">
      <c r="B255" s="44" t="n"/>
      <c r="C255" s="46" t="n"/>
      <c r="F255" s="45" t="n"/>
    </row>
    <row r="256">
      <c r="B256" s="44" t="n"/>
      <c r="C256" s="46" t="n"/>
      <c r="F256" s="45" t="n"/>
    </row>
    <row r="257">
      <c r="B257" s="44" t="n"/>
      <c r="C257" s="46" t="n"/>
      <c r="F257" s="45" t="n"/>
    </row>
    <row r="258">
      <c r="B258" s="44" t="n"/>
      <c r="C258" s="46" t="n"/>
      <c r="F258" s="45" t="n"/>
    </row>
    <row r="259">
      <c r="B259" s="44" t="n"/>
      <c r="C259" s="46" t="n"/>
      <c r="F259" s="45" t="n"/>
    </row>
    <row r="260">
      <c r="B260" s="44" t="n"/>
      <c r="C260" s="46" t="n"/>
      <c r="F260" s="45" t="n"/>
    </row>
    <row r="261">
      <c r="B261" s="44" t="n"/>
      <c r="C261" s="46" t="n"/>
      <c r="F261" s="45" t="n"/>
    </row>
    <row r="262">
      <c r="B262" s="44" t="n"/>
      <c r="C262" s="46" t="n"/>
      <c r="F262" s="45" t="n"/>
    </row>
    <row r="263">
      <c r="B263" s="44" t="n"/>
      <c r="C263" s="46" t="n"/>
      <c r="F263" s="45" t="n"/>
    </row>
    <row r="264">
      <c r="B264" s="44" t="n"/>
      <c r="C264" s="46" t="n"/>
      <c r="F264" s="45" t="n"/>
    </row>
    <row r="265">
      <c r="B265" s="44" t="n"/>
      <c r="C265" s="46" t="n"/>
      <c r="F265" s="45" t="n"/>
    </row>
    <row r="266">
      <c r="B266" s="44" t="n"/>
      <c r="C266" s="46" t="n"/>
      <c r="F266" s="45" t="n"/>
    </row>
    <row r="267">
      <c r="B267" s="44" t="n"/>
      <c r="C267" s="46" t="n"/>
      <c r="F267" s="45" t="n"/>
    </row>
    <row r="268">
      <c r="B268" s="44" t="n"/>
      <c r="C268" s="46" t="n"/>
      <c r="F268" s="45" t="n"/>
    </row>
    <row r="269">
      <c r="B269" s="44" t="n"/>
      <c r="C269" s="46" t="n"/>
      <c r="F269" s="45" t="n"/>
    </row>
    <row r="270">
      <c r="B270" s="44" t="n"/>
      <c r="C270" s="46" t="n"/>
      <c r="F270" s="45" t="n"/>
    </row>
    <row r="271">
      <c r="B271" s="44" t="n"/>
      <c r="C271" s="46" t="n"/>
      <c r="F271" s="45" t="n"/>
    </row>
    <row r="272">
      <c r="B272" s="44" t="n"/>
      <c r="C272" s="46" t="n"/>
      <c r="F272" s="45" t="n"/>
    </row>
    <row r="273">
      <c r="B273" s="44" t="n"/>
      <c r="C273" s="46" t="n"/>
      <c r="F273" s="45" t="n"/>
    </row>
    <row r="274">
      <c r="B274" s="44" t="n"/>
      <c r="C274" s="46" t="n"/>
      <c r="F274" s="45" t="n"/>
    </row>
    <row r="275">
      <c r="B275" s="44" t="n"/>
      <c r="C275" s="46" t="n"/>
      <c r="F275" s="45" t="n"/>
    </row>
    <row r="276">
      <c r="B276" s="44" t="n"/>
      <c r="C276" s="46" t="n"/>
      <c r="F276" s="45" t="n"/>
    </row>
    <row r="277">
      <c r="B277" s="44" t="n"/>
      <c r="C277" s="46" t="n"/>
      <c r="F277" s="45" t="n"/>
    </row>
    <row r="278">
      <c r="B278" s="44" t="n"/>
      <c r="C278" s="46" t="n"/>
      <c r="F278" s="45" t="n"/>
    </row>
    <row r="279">
      <c r="B279" s="44" t="n"/>
      <c r="C279" s="46" t="n"/>
      <c r="F279" s="45" t="n"/>
    </row>
    <row r="280">
      <c r="B280" s="44" t="n"/>
      <c r="C280" s="46" t="n"/>
      <c r="F280" s="45" t="n"/>
    </row>
    <row r="281">
      <c r="B281" s="44" t="n"/>
      <c r="C281" s="46" t="n"/>
      <c r="F281" s="45" t="n"/>
    </row>
    <row r="282">
      <c r="B282" s="44" t="n"/>
      <c r="C282" s="46" t="n"/>
      <c r="F282" s="45" t="n"/>
    </row>
    <row r="283">
      <c r="B283" s="44" t="n"/>
      <c r="C283" s="46" t="n"/>
      <c r="F283" s="45" t="n"/>
    </row>
    <row r="284">
      <c r="B284" s="44" t="n"/>
      <c r="C284" s="46" t="n"/>
      <c r="F284" s="45" t="n"/>
    </row>
    <row r="285">
      <c r="B285" s="44" t="n"/>
      <c r="C285" s="46" t="n"/>
      <c r="F285" s="45" t="n"/>
    </row>
    <row r="286">
      <c r="B286" s="44" t="n"/>
      <c r="C286" s="46" t="n"/>
      <c r="F286" s="45" t="n"/>
    </row>
    <row r="287">
      <c r="B287" s="44" t="n"/>
      <c r="C287" s="46" t="n"/>
      <c r="F287" s="45" t="n"/>
    </row>
    <row r="288">
      <c r="B288" s="44" t="n"/>
      <c r="C288" s="46" t="n"/>
      <c r="F288" s="45" t="n"/>
    </row>
    <row r="289">
      <c r="B289" s="44" t="n"/>
      <c r="C289" s="46" t="n"/>
      <c r="F289" s="45" t="n"/>
    </row>
    <row r="290">
      <c r="B290" s="44" t="n"/>
      <c r="C290" s="46" t="n"/>
      <c r="F290" s="45" t="n"/>
    </row>
    <row r="291">
      <c r="B291" s="44" t="n"/>
      <c r="C291" s="46" t="n"/>
      <c r="F291" s="45" t="n"/>
    </row>
    <row r="292">
      <c r="B292" s="44" t="n"/>
      <c r="C292" s="46" t="n"/>
      <c r="F292" s="45" t="n"/>
    </row>
    <row r="293">
      <c r="B293" s="44" t="n"/>
      <c r="C293" s="46" t="n"/>
      <c r="F293" s="45" t="n"/>
    </row>
    <row r="294">
      <c r="B294" s="44" t="n"/>
      <c r="C294" s="46" t="n"/>
      <c r="F294" s="45" t="n"/>
    </row>
    <row r="295">
      <c r="B295" s="44" t="n"/>
      <c r="C295" s="46" t="n"/>
      <c r="F295" s="45" t="n"/>
    </row>
    <row r="296">
      <c r="B296" s="44" t="n"/>
      <c r="C296" s="46" t="n"/>
      <c r="F296" s="45" t="n"/>
    </row>
    <row r="297">
      <c r="B297" s="44" t="n"/>
      <c r="C297" s="46" t="n"/>
      <c r="F297" s="45" t="n"/>
    </row>
    <row r="298">
      <c r="B298" s="44" t="n"/>
      <c r="C298" s="46" t="n"/>
      <c r="F298" s="45" t="n"/>
    </row>
    <row r="299">
      <c r="B299" s="44" t="n"/>
      <c r="C299" s="46" t="n"/>
      <c r="F299" s="45" t="n"/>
    </row>
    <row r="300">
      <c r="B300" s="44" t="n"/>
      <c r="C300" s="46" t="n"/>
      <c r="F300" s="45" t="n"/>
    </row>
    <row r="301">
      <c r="B301" s="44" t="n"/>
      <c r="C301" s="46" t="n"/>
      <c r="F301" s="45" t="n"/>
    </row>
    <row r="302">
      <c r="B302" s="44" t="n"/>
      <c r="C302" s="46" t="n"/>
      <c r="F302" s="45" t="n"/>
    </row>
  </sheetData>
  <conditionalFormatting sqref="N22">
    <cfRule type="cellIs" priority="1" operator="lessThan" dxfId="0">
      <formula>0</formula>
    </cfRule>
  </conditionalFormatting>
  <conditionalFormatting sqref="N24">
    <cfRule type="cellIs" priority="2" operator="lessThan" dxfId="0">
      <formula>0</formula>
    </cfRule>
    <cfRule type="cellIs" priority="3" operator="greaterThan" dxfId="1">
      <formula>0</formula>
    </cfRule>
  </conditionalFormatting>
  <conditionalFormatting sqref="N30">
    <cfRule type="expression" priority="4" dxfId="0">
      <formula>AND($N$3&gt;0,N30&lt;0)</formula>
    </cfRule>
    <cfRule type="expression" priority="5" dxfId="1">
      <formula>AND($N$3&gt;0,N30&gt;=0)</formula>
    </cfRule>
  </conditionalFormatting>
  <conditionalFormatting sqref="N32">
    <cfRule type="expression" priority="6" dxfId="0">
      <formula>AND($N$3&gt;0,N32&lt;0)</formula>
    </cfRule>
    <cfRule type="expression" priority="7" dxfId="1">
      <formula>AND($N$3&gt;0,N32&gt;=0)</formula>
    </cfRule>
  </conditionalFormatting>
  <dataValidations count="2">
    <dataValidation sqref="E3:E302" showDropDown="0" showInputMessage="0" showErrorMessage="0" allowBlank="1" type="list">
      <formula1>'選択肢マスター'!$K$2:$K$12</formula1>
    </dataValidation>
    <dataValidation sqref="H3:H302" showDropDown="0" showInputMessage="0" showErrorMessage="0" allowBlank="1" type="list">
      <formula1>'選択肢マスター'!$J$2:$J$3</formula1>
    </dataValidation>
  </dataValidations>
  <pageMargins left="0.75" right="0.75" top="1" bottom="1" header="0.5" footer="0.5"/>
</worksheet>
</file>

<file path=xl/worksheets/sheet21.xml><?xml version="1.0" encoding="utf-8"?>
<worksheet xmlns="http://schemas.openxmlformats.org/spreadsheetml/2006/main">
  <sheetPr>
    <tabColor rgb="00C55A11"/>
    <outlinePr summaryBelow="1" summaryRight="1"/>
    <pageSetUpPr/>
  </sheetPr>
  <dimension ref="A1:R302"/>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8" customWidth="1" min="3" max="3"/>
    <col width="26" customWidth="1" min="4" max="4"/>
    <col width="18" customWidth="1" min="5" max="5"/>
    <col width="12" customWidth="1" min="6" max="6"/>
    <col width="26" customWidth="1" min="7" max="7"/>
    <col width="11" customWidth="1" min="8" max="8"/>
    <col width="26" customWidth="1" min="13" max="13"/>
    <col width="15" customWidth="1" min="14" max="14"/>
    <col width="52" customWidth="1" min="15" max="15"/>
    <col width="20" customWidth="1" min="17" max="17"/>
    <col width="14" customWidth="1" min="18" max="18"/>
  </cols>
  <sheetData>
    <row r="1">
      <c r="A1" s="8" t="inlineStr">
        <is>
          <t>◆ 7月の経費入力。3行目から下へ足していってよい。右の月次P/Lは行が動かないので壊れない</t>
        </is>
      </c>
      <c r="M1" s="11" t="inlineStr">
        <is>
          <t>▼ 月次P/L（この位置は固定。左の経費表を何行足してもずれません）</t>
        </is>
      </c>
    </row>
    <row r="2" ht="30" customHeight="1">
      <c r="A2" s="3" t="inlineStr">
        <is>
          <t>No.</t>
        </is>
      </c>
      <c r="B2" s="3" t="inlineStr">
        <is>
          <t>日付</t>
        </is>
      </c>
      <c r="C2" s="3" t="inlineStr">
        <is>
          <t>時刻</t>
        </is>
      </c>
      <c r="D2" s="3" t="inlineStr">
        <is>
          <t>品目</t>
        </is>
      </c>
      <c r="E2" s="3" t="inlineStr">
        <is>
          <t>科目</t>
        </is>
      </c>
      <c r="F2" s="3" t="inlineStr">
        <is>
          <t>金額</t>
        </is>
      </c>
      <c r="G2" s="3" t="inlineStr">
        <is>
          <t>備考</t>
        </is>
      </c>
      <c r="H2" s="3" t="inlineStr">
        <is>
          <t>現金立替え</t>
        </is>
      </c>
      <c r="M2" s="3" t="inlineStr">
        <is>
          <t>項目</t>
        </is>
      </c>
      <c r="N2" s="3" t="inlineStr">
        <is>
          <t>金額</t>
        </is>
      </c>
      <c r="O2" s="3" t="inlineStr">
        <is>
          <t>計算の中身</t>
        </is>
      </c>
      <c r="Q2" s="11" t="inlineStr">
        <is>
          <t>▼ 科目別 集計</t>
        </is>
      </c>
    </row>
    <row r="3" ht="30" customHeight="1">
      <c r="B3" s="44" t="n"/>
      <c r="C3" s="46" t="n"/>
      <c r="F3" s="45" t="n"/>
      <c r="M3" s="47" t="inlineStr">
        <is>
          <t>売上</t>
        </is>
      </c>
      <c r="N3" s="48">
        <f>'7月_売上顧客'!$L$4</f>
        <v/>
      </c>
      <c r="O3" s="2" t="inlineStr">
        <is>
          <t>7月_売上顧客 の合計売上</t>
        </is>
      </c>
      <c r="Q3" s="3" t="inlineStr">
        <is>
          <t>科目</t>
        </is>
      </c>
      <c r="R3" s="3" t="inlineStr">
        <is>
          <t>金額</t>
        </is>
      </c>
    </row>
    <row r="4">
      <c r="B4" s="44" t="n"/>
      <c r="C4" s="46" t="n"/>
      <c r="F4" s="45" t="n"/>
      <c r="M4" s="49" t="inlineStr">
        <is>
          <t>エアコン台数(参考)</t>
        </is>
      </c>
      <c r="N4" s="50">
        <f>COUNTIFS('7月_売上顧客'!$M$5:$M$504,"エアコン(ノーマル)")+COUNTIFS('7月_売上顧客'!$M$5:$M$504,"エアコン(ロボ)")+COUNTIFS('7月_売上顧客'!$M$5:$M$504,"天カセ")+COUNTIFS('7月_売上顧客'!$M$5:$M$504,"業務用エアコン1方向")</f>
        <v/>
      </c>
      <c r="O4" s="2" t="inlineStr">
        <is>
          <t>エアコン(ノーマル/ロボ)・天カセ・業務用1方向</t>
        </is>
      </c>
      <c r="Q4" s="51" t="inlineStr">
        <is>
          <t>交通費</t>
        </is>
      </c>
      <c r="R4" s="52">
        <f>SUMIFS($F$3:$F$302,$E$3:$E$302,"交通費")</f>
        <v/>
      </c>
    </row>
    <row r="5">
      <c r="B5" s="44" t="n"/>
      <c r="C5" s="46" t="n"/>
      <c r="F5" s="45" t="n"/>
      <c r="M5" s="49" t="inlineStr">
        <is>
          <t>換気扇台数(参考)</t>
        </is>
      </c>
      <c r="N5" s="50">
        <f>COUNTIFS('7月_売上顧客'!$M$5:$M$504,"換気扇")</f>
        <v/>
      </c>
      <c r="O5" s="2" t="inlineStr">
        <is>
          <t>実施メニュー＝換気扇</t>
        </is>
      </c>
      <c r="Q5" s="51" t="inlineStr">
        <is>
          <t>保険料</t>
        </is>
      </c>
      <c r="R5" s="52">
        <f>SUMIFS($F$3:$F$302,$E$3:$E$302,"保険料")</f>
        <v/>
      </c>
    </row>
    <row r="6">
      <c r="B6" s="44" t="n"/>
      <c r="C6" s="46" t="n"/>
      <c r="F6" s="45" t="n"/>
      <c r="M6" s="49" t="inlineStr">
        <is>
          <t>浴室台数(参考)</t>
        </is>
      </c>
      <c r="N6" s="50">
        <f>COUNTIFS('7月_売上顧客'!$M$5:$M$504,"浴室")</f>
        <v/>
      </c>
      <c r="O6" s="2" t="inlineStr">
        <is>
          <t>実施メニュー＝浴室</t>
        </is>
      </c>
      <c r="Q6" s="51" t="inlineStr">
        <is>
          <t>通信費</t>
        </is>
      </c>
      <c r="R6" s="52">
        <f>SUMIFS($F$3:$F$302,$E$3:$E$302,"通信費")</f>
        <v/>
      </c>
    </row>
    <row r="7">
      <c r="B7" s="44" t="n"/>
      <c r="C7" s="46" t="n"/>
      <c r="F7" s="45" t="n"/>
      <c r="M7" s="49" t="inlineStr">
        <is>
          <t>資材費</t>
        </is>
      </c>
      <c r="N7" s="53">
        <f>N4*373+N5*176+N6*149</f>
        <v/>
      </c>
      <c r="O7" s="2" t="inlineStr">
        <is>
          <t>エアコン373 + 換気扇176 + 浴室149</t>
        </is>
      </c>
      <c r="Q7" s="51" t="inlineStr">
        <is>
          <t>広告費</t>
        </is>
      </c>
      <c r="R7" s="52">
        <f>SUMIFS($F$3:$F$302,$E$3:$E$302,"広告費")</f>
        <v/>
      </c>
    </row>
    <row r="8">
      <c r="B8" s="44" t="n"/>
      <c r="C8" s="46" t="n"/>
      <c r="F8" s="45" t="n"/>
      <c r="M8" s="49" t="inlineStr">
        <is>
          <t>外注費（協力業者）</t>
        </is>
      </c>
      <c r="N8" s="53">
        <f>SUMIFS($F$3:$F$302,$E$3:$E$302,"外注費")</f>
        <v/>
      </c>
      <c r="O8" s="2" t="inlineStr">
        <is>
          <t>経費表の科目＝外注費。★2027年から原価として独立</t>
        </is>
      </c>
      <c r="Q8" s="51" t="inlineStr">
        <is>
          <t>耐久品</t>
        </is>
      </c>
      <c r="R8" s="52">
        <f>SUMIFS($F$3:$F$302,$E$3:$E$302,"耐久品")</f>
        <v/>
      </c>
    </row>
    <row r="9">
      <c r="B9" s="44" t="n"/>
      <c r="C9" s="46" t="n"/>
      <c r="F9" s="45" t="n"/>
      <c r="M9" s="49" t="inlineStr">
        <is>
          <t>現場人件費（原価）</t>
        </is>
      </c>
      <c r="N9" s="53">
        <f>SUMIFS($F$3:$F$302,$E$3:$E$302,"現場人件費(原価)")</f>
        <v/>
      </c>
      <c r="O9" s="2" t="inlineStr">
        <is>
          <t>経費表の科目＝現場人件費(原価)</t>
        </is>
      </c>
      <c r="Q9" s="51" t="inlineStr">
        <is>
          <t>備品</t>
        </is>
      </c>
      <c r="R9" s="52">
        <f>SUMIFS($F$3:$F$302,$E$3:$E$302,"備品")</f>
        <v/>
      </c>
    </row>
    <row r="10">
      <c r="B10" s="44" t="n"/>
      <c r="C10" s="46" t="n"/>
      <c r="F10" s="45" t="n"/>
      <c r="M10" s="47" t="inlineStr">
        <is>
          <t>原価合計</t>
        </is>
      </c>
      <c r="N10" s="48">
        <f>N7+N8+N9</f>
        <v/>
      </c>
      <c r="O10" s="2" t="inlineStr">
        <is>
          <t>資材費＋外注費＋現場人件費</t>
        </is>
      </c>
      <c r="Q10" s="51" t="inlineStr">
        <is>
          <t>個別ロイ</t>
        </is>
      </c>
      <c r="R10" s="52">
        <f>SUMIFS($F$3:$F$302,$E$3:$E$302,"個別ロイ")</f>
        <v/>
      </c>
    </row>
    <row r="11">
      <c r="B11" s="44" t="n"/>
      <c r="C11" s="46" t="n"/>
      <c r="F11" s="45" t="n"/>
      <c r="M11" s="47" t="inlineStr">
        <is>
          <t>売上総利益</t>
        </is>
      </c>
      <c r="N11" s="48">
        <f>N3-N10</f>
        <v/>
      </c>
      <c r="O11" s="2" t="inlineStr">
        <is>
          <t>売上 − 原価合計</t>
        </is>
      </c>
      <c r="Q11" s="51" t="inlineStr">
        <is>
          <t>現場人件費(原価)</t>
        </is>
      </c>
      <c r="R11" s="52">
        <f>SUMIFS($F$3:$F$302,$E$3:$E$302,"現場人件費(原価)")</f>
        <v/>
      </c>
    </row>
    <row r="12">
      <c r="B12" s="44" t="n"/>
      <c r="C12" s="46" t="n"/>
      <c r="F12" s="45" t="n"/>
      <c r="Q12" s="51" t="inlineStr">
        <is>
          <t>固定給(販管費)</t>
        </is>
      </c>
      <c r="R12" s="52">
        <f>SUMIFS($F$3:$F$302,$E$3:$E$302,"固定給(販管費)")</f>
        <v/>
      </c>
    </row>
    <row r="13">
      <c r="B13" s="44" t="n"/>
      <c r="C13" s="46" t="n"/>
      <c r="F13" s="45" t="n"/>
      <c r="M13" s="49" t="inlineStr">
        <is>
          <t>経費合計（左の表）</t>
        </is>
      </c>
      <c r="N13" s="53">
        <f>SUM($F$3:$F$302)</f>
        <v/>
      </c>
      <c r="O13" s="2" t="inlineStr">
        <is>
          <t>左の経費入力表の金額合計</t>
        </is>
      </c>
      <c r="Q13" s="51" t="inlineStr">
        <is>
          <t>外注費</t>
        </is>
      </c>
      <c r="R13" s="52">
        <f>SUMIFS($F$3:$F$302,$E$3:$E$302,"外注費")</f>
        <v/>
      </c>
    </row>
    <row r="14">
      <c r="B14" s="44" t="n"/>
      <c r="C14" s="46" t="n"/>
      <c r="F14" s="45" t="n"/>
      <c r="M14" s="49" t="inlineStr">
        <is>
          <t>− 原価へ回した分</t>
        </is>
      </c>
      <c r="N14" s="53">
        <f>-(N8+N9)</f>
        <v/>
      </c>
      <c r="O14" s="2" t="inlineStr">
        <is>
          <t>外注費・現場人件費は原価で数えたので戻す</t>
        </is>
      </c>
      <c r="Q14" s="51" t="inlineStr">
        <is>
          <t>その他(備考へ)</t>
        </is>
      </c>
      <c r="R14" s="52">
        <f>SUMIFS($F$3:$F$302,$E$3:$E$302,"その他(備考へ)")</f>
        <v/>
      </c>
    </row>
    <row r="15">
      <c r="B15" s="44" t="n"/>
      <c r="C15" s="46" t="n"/>
      <c r="F15" s="45" t="n"/>
      <c r="M15" s="49" t="inlineStr">
        <is>
          <t>− 個別ロイ（下で計上）</t>
        </is>
      </c>
      <c r="N15" s="53">
        <f>-SUMIFS($F$3:$F$302,$E$3:$E$302,"個別ロイ")</f>
        <v/>
      </c>
      <c r="O15" s="2" t="inlineStr">
        <is>
          <t>★二重計上を防ぐため、ここで一度引く</t>
        </is>
      </c>
      <c r="Q15" s="13" t="inlineStr">
        <is>
          <t>合計</t>
        </is>
      </c>
      <c r="R15" s="54">
        <f>SUM(R4:R14)</f>
        <v/>
      </c>
    </row>
    <row r="16">
      <c r="B16" s="44" t="n"/>
      <c r="C16" s="46" t="n"/>
      <c r="F16" s="45" t="n"/>
      <c r="M16" s="49" t="inlineStr">
        <is>
          <t>ロイヤリティ 固定分</t>
        </is>
      </c>
      <c r="N16" s="53">
        <f>IF($N$3+$N$13=0,0,50050)</f>
        <v/>
      </c>
      <c r="O16" s="2" t="inlineStr">
        <is>
          <t>★50,050円。左の経費表には入力しないこと（まだ動いていない月は0）</t>
        </is>
      </c>
    </row>
    <row r="17">
      <c r="B17" s="44" t="n"/>
      <c r="C17" s="46" t="n"/>
      <c r="F17" s="45" t="n"/>
      <c r="M17" s="49" t="inlineStr">
        <is>
          <t>ロイヤリティ 38%分</t>
        </is>
      </c>
      <c r="N17" s="53">
        <f>SUMIFS('7月_売上顧客'!$L$5:$L$504,'7月_売上顧客'!$V$5:$V$504,"38%")*0.38</f>
        <v/>
      </c>
      <c r="O17" s="2" t="inlineStr">
        <is>
          <t>本舗ロイ区分＝38% の売上 × 38%</t>
        </is>
      </c>
    </row>
    <row r="18">
      <c r="B18" s="44" t="n"/>
      <c r="C18" s="46" t="n"/>
      <c r="F18" s="45" t="n"/>
      <c r="M18" s="49" t="inlineStr">
        <is>
          <t>ロイヤリティ 10%分</t>
        </is>
      </c>
      <c r="N18" s="53">
        <f>SUMIFS('7月_売上顧客'!$L$5:$L$504,'7月_売上顧客'!$V$5:$V$504,"10%")*0.1</f>
        <v/>
      </c>
      <c r="O18" s="2" t="inlineStr">
        <is>
          <t>本舗ロイ区分＝10% の売上 × 10%</t>
        </is>
      </c>
    </row>
    <row r="19">
      <c r="B19" s="44" t="n"/>
      <c r="C19" s="46" t="n"/>
      <c r="F19" s="45" t="n"/>
      <c r="M19" s="49" t="inlineStr">
        <is>
          <t>ロイヤリティ 個別実額</t>
        </is>
      </c>
      <c r="N19" s="53">
        <f>SUMIFS($F$3:$F$302,$E$3:$E$302,"個別ロイ")</f>
        <v/>
      </c>
      <c r="O19" s="2" t="inlineStr">
        <is>
          <t>経費表の科目＝個別ロイ（toB・楽ラクーン等）</t>
        </is>
      </c>
    </row>
    <row r="20">
      <c r="B20" s="44" t="n"/>
      <c r="C20" s="46" t="n"/>
      <c r="F20" s="45" t="n"/>
      <c r="M20" s="47" t="inlineStr">
        <is>
          <t>ロイヤリティ 合計</t>
        </is>
      </c>
      <c r="N20" s="48">
        <f>N16+N17+N18+N19</f>
        <v/>
      </c>
      <c r="O20" s="2" t="inlineStr">
        <is>
          <t>固定＋38%＋10%＋個別</t>
        </is>
      </c>
    </row>
    <row r="21">
      <c r="B21" s="44" t="n"/>
      <c r="C21" s="46" t="n"/>
      <c r="F21" s="45" t="n"/>
      <c r="M21" s="47" t="inlineStr">
        <is>
          <t>販売管理費</t>
        </is>
      </c>
      <c r="N21" s="48">
        <f>N13+N14+N15+N20</f>
        <v/>
      </c>
      <c r="O21" s="2" t="inlineStr">
        <is>
          <t>経費合計 − 原価分 − 個別ロイ ＋ ロイヤリティ合計</t>
        </is>
      </c>
    </row>
    <row r="22">
      <c r="B22" s="44" t="n"/>
      <c r="C22" s="46" t="n"/>
      <c r="F22" s="45" t="n"/>
      <c r="M22" s="47" t="inlineStr">
        <is>
          <t>営業利益</t>
        </is>
      </c>
      <c r="N22" s="48">
        <f>N11-N21</f>
        <v/>
      </c>
      <c r="O22" s="2" t="inlineStr">
        <is>
          <t>売上総利益 − 販売管理費</t>
        </is>
      </c>
    </row>
    <row r="23">
      <c r="B23" s="44" t="n"/>
      <c r="C23" s="46" t="n"/>
      <c r="F23" s="45" t="n"/>
      <c r="M23" s="49" t="inlineStr">
        <is>
          <t>融資返済</t>
        </is>
      </c>
      <c r="N23" s="53">
        <f>IF($N$3+$N$13=0,0,38059)</f>
        <v/>
      </c>
      <c r="O23" s="2" t="inlineStr">
        <is>
          <t>固定 38,059円（まだ動いていない月は0）</t>
        </is>
      </c>
    </row>
    <row r="24">
      <c r="B24" s="44" t="n"/>
      <c r="C24" s="46" t="n"/>
      <c r="F24" s="45" t="n"/>
      <c r="M24" s="47" t="inlineStr">
        <is>
          <t>経常利益</t>
        </is>
      </c>
      <c r="N24" s="48">
        <f>N22-N23</f>
        <v/>
      </c>
      <c r="O24" s="2" t="inlineStr">
        <is>
          <t>営業利益 − 融資返済</t>
        </is>
      </c>
    </row>
    <row r="25">
      <c r="B25" s="44" t="n"/>
      <c r="C25" s="46" t="n"/>
      <c r="F25" s="45" t="n"/>
    </row>
    <row r="26">
      <c r="B26" s="44" t="n"/>
      <c r="C26" s="46" t="n"/>
      <c r="F26" s="45" t="n"/>
      <c r="M26" s="49" t="inlineStr">
        <is>
          <t>経常利益率</t>
        </is>
      </c>
      <c r="N26" s="55">
        <f>IFERROR(N24/N3,0)</f>
        <v/>
      </c>
      <c r="O26" s="2" t="inlineStr">
        <is>
          <t>経常利益 ÷ 売上</t>
        </is>
      </c>
    </row>
    <row r="27">
      <c r="B27" s="44" t="n"/>
      <c r="C27" s="46" t="n"/>
      <c r="F27" s="45" t="n"/>
    </row>
    <row r="28">
      <c r="B28" s="44" t="n"/>
      <c r="C28" s="46" t="n"/>
      <c r="F28" s="45" t="n"/>
      <c r="M28" s="11" t="inlineStr">
        <is>
          <t>▼ 計画（中立）との比較</t>
        </is>
      </c>
    </row>
    <row r="29">
      <c r="B29" s="44" t="n"/>
      <c r="C29" s="46" t="n"/>
      <c r="F29" s="45" t="n"/>
      <c r="M29" s="51" t="inlineStr">
        <is>
          <t>計画 売上</t>
        </is>
      </c>
      <c r="N29" s="45" t="n">
        <v>2740000</v>
      </c>
      <c r="O29" s="2" t="inlineStr"/>
    </row>
    <row r="30">
      <c r="B30" s="44" t="n"/>
      <c r="C30" s="46" t="n"/>
      <c r="F30" s="45" t="n"/>
      <c r="M30" s="51" t="inlineStr">
        <is>
          <t>実績 − 計画（売上）</t>
        </is>
      </c>
      <c r="N30" s="45">
        <f>N3-N29</f>
        <v/>
      </c>
      <c r="O30" s="2" t="inlineStr">
        <is>
          <t>マイナスなら赤</t>
        </is>
      </c>
    </row>
    <row r="31">
      <c r="B31" s="44" t="n"/>
      <c r="C31" s="46" t="n"/>
      <c r="F31" s="45" t="n"/>
      <c r="M31" s="51" t="inlineStr">
        <is>
          <t>計画 経常利益</t>
        </is>
      </c>
      <c r="N31" s="45" t="n">
        <v>813684</v>
      </c>
      <c r="O31" s="2" t="inlineStr"/>
    </row>
    <row r="32">
      <c r="B32" s="44" t="n"/>
      <c r="C32" s="46" t="n"/>
      <c r="F32" s="45" t="n"/>
      <c r="M32" s="51" t="inlineStr">
        <is>
          <t>実績 − 計画（経常）</t>
        </is>
      </c>
      <c r="N32" s="45">
        <f>N24-N31</f>
        <v/>
      </c>
      <c r="O32" s="2" t="inlineStr">
        <is>
          <t>マイナスなら赤</t>
        </is>
      </c>
    </row>
    <row r="33">
      <c r="B33" s="44" t="n"/>
      <c r="C33" s="46" t="n"/>
      <c r="F33" s="45" t="n"/>
      <c r="M33" s="51" t="inlineStr">
        <is>
          <t>計画 件数</t>
        </is>
      </c>
      <c r="N33" s="56" t="n">
        <v>68</v>
      </c>
      <c r="O33" s="2" t="inlineStr"/>
    </row>
    <row r="34">
      <c r="B34" s="44" t="n"/>
      <c r="C34" s="46" t="n"/>
      <c r="F34" s="45" t="n"/>
      <c r="M34" s="51" t="inlineStr">
        <is>
          <t>実績 件数</t>
        </is>
      </c>
      <c r="N34" s="56">
        <f>'7月_売上顧客'!$E$4</f>
        <v/>
      </c>
      <c r="O34" s="2" t="inlineStr"/>
    </row>
    <row r="35">
      <c r="B35" s="44" t="n"/>
      <c r="C35" s="46" t="n"/>
      <c r="F35" s="45" t="n"/>
    </row>
    <row r="36">
      <c r="B36" s="44" t="n"/>
      <c r="C36" s="46" t="n"/>
      <c r="F36" s="45" t="n"/>
      <c r="M36" s="8" t="inlineStr">
        <is>
          <t>【ロイヤリティはこのP/Lだけで数えます】</t>
        </is>
      </c>
    </row>
    <row r="37">
      <c r="B37" s="44" t="n"/>
      <c r="C37" s="46" t="n"/>
      <c r="F37" s="45" t="n"/>
      <c r="M37" s="2" t="inlineStr">
        <is>
          <t xml:space="preserve">  ・固定分 50,050円は左の経費表に入力しないこと（2026年版はここが二重計上の疑いだった）</t>
        </is>
      </c>
    </row>
    <row r="38">
      <c r="B38" s="44" t="n"/>
      <c r="C38" s="46" t="n"/>
      <c r="F38" s="45" t="n"/>
      <c r="M38" s="2" t="inlineStr">
        <is>
          <t xml:space="preserve">  ・個別ロイは左の経費表に科目「個別ロイ」で入力する。P/Lは15行目で引いて19行目で足すので、数えるのは1回だけ</t>
        </is>
      </c>
    </row>
    <row r="39">
      <c r="B39" s="44" t="n"/>
      <c r="C39" s="46" t="n"/>
      <c r="F39" s="45" t="n"/>
      <c r="M39" s="8" t="inlineStr">
        <is>
          <t>【人件費は2つに分けます】</t>
        </is>
      </c>
    </row>
    <row r="40">
      <c r="B40" s="44" t="n"/>
      <c r="C40" s="46" t="n"/>
      <c r="F40" s="45" t="n"/>
      <c r="M40" s="2" t="inlineStr">
        <is>
          <t xml:space="preserve">  ・現場人件費(原価) … 現場に出た分。原価に入る</t>
        </is>
      </c>
    </row>
    <row r="41">
      <c r="B41" s="44" t="n"/>
      <c r="C41" s="46" t="n"/>
      <c r="F41" s="45" t="n"/>
      <c r="M41" s="2" t="inlineStr">
        <is>
          <t xml:space="preserve">  ・固定給(販管費) … 和真さんの固定給40万＋プール10万、新人の給与。販管費に入る</t>
        </is>
      </c>
    </row>
    <row r="42">
      <c r="B42" s="44" t="n"/>
      <c r="C42" s="46" t="n"/>
      <c r="F42" s="45" t="n"/>
      <c r="M42" s="2" t="inlineStr">
        <is>
          <t xml:space="preserve">  ・歩合（経常利益×45%）の行は2027年から使いません</t>
        </is>
      </c>
    </row>
    <row r="43">
      <c r="B43" s="44" t="n"/>
      <c r="C43" s="46" t="n"/>
      <c r="F43" s="45" t="n"/>
      <c r="M43" s="8" t="inlineStr">
        <is>
          <t>【保険料・通信費は「その他」に入れないこと】</t>
        </is>
      </c>
    </row>
    <row r="44">
      <c r="B44" s="44" t="n"/>
      <c r="C44" s="46" t="n"/>
      <c r="F44" s="45" t="n"/>
      <c r="M44" s="2" t="inlineStr">
        <is>
          <t xml:space="preserve">  ・賠償保険 43,760／通信費 8,470／日新火災 18,050 ＝ 月70,280円。科目を独立させました</t>
        </is>
      </c>
    </row>
    <row r="45">
      <c r="B45" s="44" t="n"/>
      <c r="C45" s="46" t="n"/>
      <c r="F45" s="45" t="n"/>
    </row>
    <row r="46">
      <c r="B46" s="44" t="n"/>
      <c r="C46" s="46" t="n"/>
      <c r="F46" s="45" t="n"/>
    </row>
    <row r="47">
      <c r="B47" s="44" t="n"/>
      <c r="C47" s="46" t="n"/>
      <c r="F47" s="45" t="n"/>
    </row>
    <row r="48">
      <c r="B48" s="44" t="n"/>
      <c r="C48" s="46" t="n"/>
      <c r="F48" s="45" t="n"/>
    </row>
    <row r="49">
      <c r="B49" s="44" t="n"/>
      <c r="C49" s="46" t="n"/>
      <c r="F49" s="45" t="n"/>
    </row>
    <row r="50">
      <c r="B50" s="44" t="n"/>
      <c r="C50" s="46" t="n"/>
      <c r="F50" s="45" t="n"/>
    </row>
    <row r="51">
      <c r="B51" s="44" t="n"/>
      <c r="C51" s="46" t="n"/>
      <c r="F51" s="45" t="n"/>
    </row>
    <row r="52">
      <c r="B52" s="44" t="n"/>
      <c r="C52" s="46" t="n"/>
      <c r="F52" s="45" t="n"/>
    </row>
    <row r="53">
      <c r="B53" s="44" t="n"/>
      <c r="C53" s="46" t="n"/>
      <c r="F53" s="45" t="n"/>
    </row>
    <row r="54">
      <c r="B54" s="44" t="n"/>
      <c r="C54" s="46" t="n"/>
      <c r="F54" s="45" t="n"/>
    </row>
    <row r="55">
      <c r="B55" s="44" t="n"/>
      <c r="C55" s="46" t="n"/>
      <c r="F55" s="45" t="n"/>
    </row>
    <row r="56">
      <c r="B56" s="44" t="n"/>
      <c r="C56" s="46" t="n"/>
      <c r="F56" s="45" t="n"/>
    </row>
    <row r="57">
      <c r="B57" s="44" t="n"/>
      <c r="C57" s="46" t="n"/>
      <c r="F57" s="45" t="n"/>
    </row>
    <row r="58">
      <c r="B58" s="44" t="n"/>
      <c r="C58" s="46" t="n"/>
      <c r="F58" s="45" t="n"/>
    </row>
    <row r="59">
      <c r="B59" s="44" t="n"/>
      <c r="C59" s="46" t="n"/>
      <c r="F59" s="45" t="n"/>
    </row>
    <row r="60">
      <c r="B60" s="44" t="n"/>
      <c r="C60" s="46" t="n"/>
      <c r="F60" s="45" t="n"/>
    </row>
    <row r="61">
      <c r="B61" s="44" t="n"/>
      <c r="C61" s="46" t="n"/>
      <c r="F61" s="45" t="n"/>
    </row>
    <row r="62">
      <c r="B62" s="44" t="n"/>
      <c r="C62" s="46" t="n"/>
      <c r="F62" s="45" t="n"/>
    </row>
    <row r="63">
      <c r="B63" s="44" t="n"/>
      <c r="C63" s="46" t="n"/>
      <c r="F63" s="45" t="n"/>
    </row>
    <row r="64">
      <c r="B64" s="44" t="n"/>
      <c r="C64" s="46" t="n"/>
      <c r="F64" s="45" t="n"/>
    </row>
    <row r="65">
      <c r="B65" s="44" t="n"/>
      <c r="C65" s="46" t="n"/>
      <c r="F65" s="45" t="n"/>
    </row>
    <row r="66">
      <c r="B66" s="44" t="n"/>
      <c r="C66" s="46" t="n"/>
      <c r="F66" s="45" t="n"/>
    </row>
    <row r="67">
      <c r="B67" s="44" t="n"/>
      <c r="C67" s="46" t="n"/>
      <c r="F67" s="45" t="n"/>
    </row>
    <row r="68">
      <c r="B68" s="44" t="n"/>
      <c r="C68" s="46" t="n"/>
      <c r="F68" s="45" t="n"/>
    </row>
    <row r="69">
      <c r="B69" s="44" t="n"/>
      <c r="C69" s="46" t="n"/>
      <c r="F69" s="45" t="n"/>
    </row>
    <row r="70">
      <c r="B70" s="44" t="n"/>
      <c r="C70" s="46" t="n"/>
      <c r="F70" s="45" t="n"/>
    </row>
    <row r="71">
      <c r="B71" s="44" t="n"/>
      <c r="C71" s="46" t="n"/>
      <c r="F71" s="45" t="n"/>
    </row>
    <row r="72">
      <c r="B72" s="44" t="n"/>
      <c r="C72" s="46" t="n"/>
      <c r="F72" s="45" t="n"/>
    </row>
    <row r="73">
      <c r="B73" s="44" t="n"/>
      <c r="C73" s="46" t="n"/>
      <c r="F73" s="45" t="n"/>
    </row>
    <row r="74">
      <c r="B74" s="44" t="n"/>
      <c r="C74" s="46" t="n"/>
      <c r="F74" s="45" t="n"/>
    </row>
    <row r="75">
      <c r="B75" s="44" t="n"/>
      <c r="C75" s="46" t="n"/>
      <c r="F75" s="45" t="n"/>
    </row>
    <row r="76">
      <c r="B76" s="44" t="n"/>
      <c r="C76" s="46" t="n"/>
      <c r="F76" s="45" t="n"/>
    </row>
    <row r="77">
      <c r="B77" s="44" t="n"/>
      <c r="C77" s="46" t="n"/>
      <c r="F77" s="45" t="n"/>
    </row>
    <row r="78">
      <c r="B78" s="44" t="n"/>
      <c r="C78" s="46" t="n"/>
      <c r="F78" s="45" t="n"/>
    </row>
    <row r="79">
      <c r="B79" s="44" t="n"/>
      <c r="C79" s="46" t="n"/>
      <c r="F79" s="45" t="n"/>
    </row>
    <row r="80">
      <c r="B80" s="44" t="n"/>
      <c r="C80" s="46" t="n"/>
      <c r="F80" s="45" t="n"/>
    </row>
    <row r="81">
      <c r="B81" s="44" t="n"/>
      <c r="C81" s="46" t="n"/>
      <c r="F81" s="45" t="n"/>
    </row>
    <row r="82">
      <c r="B82" s="44" t="n"/>
      <c r="C82" s="46" t="n"/>
      <c r="F82" s="45" t="n"/>
    </row>
    <row r="83">
      <c r="B83" s="44" t="n"/>
      <c r="C83" s="46" t="n"/>
      <c r="F83" s="45" t="n"/>
    </row>
    <row r="84">
      <c r="B84" s="44" t="n"/>
      <c r="C84" s="46" t="n"/>
      <c r="F84" s="45" t="n"/>
    </row>
    <row r="85">
      <c r="B85" s="44" t="n"/>
      <c r="C85" s="46" t="n"/>
      <c r="F85" s="45" t="n"/>
    </row>
    <row r="86">
      <c r="B86" s="44" t="n"/>
      <c r="C86" s="46" t="n"/>
      <c r="F86" s="45" t="n"/>
    </row>
    <row r="87">
      <c r="B87" s="44" t="n"/>
      <c r="C87" s="46" t="n"/>
      <c r="F87" s="45" t="n"/>
    </row>
    <row r="88">
      <c r="B88" s="44" t="n"/>
      <c r="C88" s="46" t="n"/>
      <c r="F88" s="45" t="n"/>
    </row>
    <row r="89">
      <c r="B89" s="44" t="n"/>
      <c r="C89" s="46" t="n"/>
      <c r="F89" s="45" t="n"/>
    </row>
    <row r="90">
      <c r="B90" s="44" t="n"/>
      <c r="C90" s="46" t="n"/>
      <c r="F90" s="45" t="n"/>
    </row>
    <row r="91">
      <c r="B91" s="44" t="n"/>
      <c r="C91" s="46" t="n"/>
      <c r="F91" s="45" t="n"/>
    </row>
    <row r="92">
      <c r="B92" s="44" t="n"/>
      <c r="C92" s="46" t="n"/>
      <c r="F92" s="45" t="n"/>
    </row>
    <row r="93">
      <c r="B93" s="44" t="n"/>
      <c r="C93" s="46" t="n"/>
      <c r="F93" s="45" t="n"/>
    </row>
    <row r="94">
      <c r="B94" s="44" t="n"/>
      <c r="C94" s="46" t="n"/>
      <c r="F94" s="45" t="n"/>
    </row>
    <row r="95">
      <c r="B95" s="44" t="n"/>
      <c r="C95" s="46" t="n"/>
      <c r="F95" s="45" t="n"/>
    </row>
    <row r="96">
      <c r="B96" s="44" t="n"/>
      <c r="C96" s="46" t="n"/>
      <c r="F96" s="45" t="n"/>
    </row>
    <row r="97">
      <c r="B97" s="44" t="n"/>
      <c r="C97" s="46" t="n"/>
      <c r="F97" s="45" t="n"/>
    </row>
    <row r="98">
      <c r="B98" s="44" t="n"/>
      <c r="C98" s="46" t="n"/>
      <c r="F98" s="45" t="n"/>
    </row>
    <row r="99">
      <c r="B99" s="44" t="n"/>
      <c r="C99" s="46" t="n"/>
      <c r="F99" s="45" t="n"/>
    </row>
    <row r="100">
      <c r="B100" s="44" t="n"/>
      <c r="C100" s="46" t="n"/>
      <c r="F100" s="45" t="n"/>
    </row>
    <row r="101">
      <c r="B101" s="44" t="n"/>
      <c r="C101" s="46" t="n"/>
      <c r="F101" s="45" t="n"/>
    </row>
    <row r="102">
      <c r="B102" s="44" t="n"/>
      <c r="C102" s="46" t="n"/>
      <c r="F102" s="45" t="n"/>
    </row>
    <row r="103">
      <c r="B103" s="44" t="n"/>
      <c r="C103" s="46" t="n"/>
      <c r="F103" s="45" t="n"/>
    </row>
    <row r="104">
      <c r="B104" s="44" t="n"/>
      <c r="C104" s="46" t="n"/>
      <c r="F104" s="45" t="n"/>
    </row>
    <row r="105">
      <c r="B105" s="44" t="n"/>
      <c r="C105" s="46" t="n"/>
      <c r="F105" s="45" t="n"/>
    </row>
    <row r="106">
      <c r="B106" s="44" t="n"/>
      <c r="C106" s="46" t="n"/>
      <c r="F106" s="45" t="n"/>
    </row>
    <row r="107">
      <c r="B107" s="44" t="n"/>
      <c r="C107" s="46" t="n"/>
      <c r="F107" s="45" t="n"/>
    </row>
    <row r="108">
      <c r="B108" s="44" t="n"/>
      <c r="C108" s="46" t="n"/>
      <c r="F108" s="45" t="n"/>
    </row>
    <row r="109">
      <c r="B109" s="44" t="n"/>
      <c r="C109" s="46" t="n"/>
      <c r="F109" s="45" t="n"/>
    </row>
    <row r="110">
      <c r="B110" s="44" t="n"/>
      <c r="C110" s="46" t="n"/>
      <c r="F110" s="45" t="n"/>
    </row>
    <row r="111">
      <c r="B111" s="44" t="n"/>
      <c r="C111" s="46" t="n"/>
      <c r="F111" s="45" t="n"/>
    </row>
    <row r="112">
      <c r="B112" s="44" t="n"/>
      <c r="C112" s="46" t="n"/>
      <c r="F112" s="45" t="n"/>
    </row>
    <row r="113">
      <c r="B113" s="44" t="n"/>
      <c r="C113" s="46" t="n"/>
      <c r="F113" s="45" t="n"/>
    </row>
    <row r="114">
      <c r="B114" s="44" t="n"/>
      <c r="C114" s="46" t="n"/>
      <c r="F114" s="45" t="n"/>
    </row>
    <row r="115">
      <c r="B115" s="44" t="n"/>
      <c r="C115" s="46" t="n"/>
      <c r="F115" s="45" t="n"/>
    </row>
    <row r="116">
      <c r="B116" s="44" t="n"/>
      <c r="C116" s="46" t="n"/>
      <c r="F116" s="45" t="n"/>
    </row>
    <row r="117">
      <c r="B117" s="44" t="n"/>
      <c r="C117" s="46" t="n"/>
      <c r="F117" s="45" t="n"/>
    </row>
    <row r="118">
      <c r="B118" s="44" t="n"/>
      <c r="C118" s="46" t="n"/>
      <c r="F118" s="45" t="n"/>
    </row>
    <row r="119">
      <c r="B119" s="44" t="n"/>
      <c r="C119" s="46" t="n"/>
      <c r="F119" s="45" t="n"/>
    </row>
    <row r="120">
      <c r="B120" s="44" t="n"/>
      <c r="C120" s="46" t="n"/>
      <c r="F120" s="45" t="n"/>
    </row>
    <row r="121">
      <c r="B121" s="44" t="n"/>
      <c r="C121" s="46" t="n"/>
      <c r="F121" s="45" t="n"/>
    </row>
    <row r="122">
      <c r="B122" s="44" t="n"/>
      <c r="C122" s="46" t="n"/>
      <c r="F122" s="45" t="n"/>
    </row>
    <row r="123">
      <c r="B123" s="44" t="n"/>
      <c r="C123" s="46" t="n"/>
      <c r="F123" s="45" t="n"/>
    </row>
    <row r="124">
      <c r="B124" s="44" t="n"/>
      <c r="C124" s="46" t="n"/>
      <c r="F124" s="45" t="n"/>
    </row>
    <row r="125">
      <c r="B125" s="44" t="n"/>
      <c r="C125" s="46" t="n"/>
      <c r="F125" s="45" t="n"/>
    </row>
    <row r="126">
      <c r="B126" s="44" t="n"/>
      <c r="C126" s="46" t="n"/>
      <c r="F126" s="45" t="n"/>
    </row>
    <row r="127">
      <c r="B127" s="44" t="n"/>
      <c r="C127" s="46" t="n"/>
      <c r="F127" s="45" t="n"/>
    </row>
    <row r="128">
      <c r="B128" s="44" t="n"/>
      <c r="C128" s="46" t="n"/>
      <c r="F128" s="45" t="n"/>
    </row>
    <row r="129">
      <c r="B129" s="44" t="n"/>
      <c r="C129" s="46" t="n"/>
      <c r="F129" s="45" t="n"/>
    </row>
    <row r="130">
      <c r="B130" s="44" t="n"/>
      <c r="C130" s="46" t="n"/>
      <c r="F130" s="45" t="n"/>
    </row>
    <row r="131">
      <c r="B131" s="44" t="n"/>
      <c r="C131" s="46" t="n"/>
      <c r="F131" s="45" t="n"/>
    </row>
    <row r="132">
      <c r="B132" s="44" t="n"/>
      <c r="C132" s="46" t="n"/>
      <c r="F132" s="45" t="n"/>
    </row>
    <row r="133">
      <c r="B133" s="44" t="n"/>
      <c r="C133" s="46" t="n"/>
      <c r="F133" s="45" t="n"/>
    </row>
    <row r="134">
      <c r="B134" s="44" t="n"/>
      <c r="C134" s="46" t="n"/>
      <c r="F134" s="45" t="n"/>
    </row>
    <row r="135">
      <c r="B135" s="44" t="n"/>
      <c r="C135" s="46" t="n"/>
      <c r="F135" s="45" t="n"/>
    </row>
    <row r="136">
      <c r="B136" s="44" t="n"/>
      <c r="C136" s="46" t="n"/>
      <c r="F136" s="45" t="n"/>
    </row>
    <row r="137">
      <c r="B137" s="44" t="n"/>
      <c r="C137" s="46" t="n"/>
      <c r="F137" s="45" t="n"/>
    </row>
    <row r="138">
      <c r="B138" s="44" t="n"/>
      <c r="C138" s="46" t="n"/>
      <c r="F138" s="45" t="n"/>
    </row>
    <row r="139">
      <c r="B139" s="44" t="n"/>
      <c r="C139" s="46" t="n"/>
      <c r="F139" s="45" t="n"/>
    </row>
    <row r="140">
      <c r="B140" s="44" t="n"/>
      <c r="C140" s="46" t="n"/>
      <c r="F140" s="45" t="n"/>
    </row>
    <row r="141">
      <c r="B141" s="44" t="n"/>
      <c r="C141" s="46" t="n"/>
      <c r="F141" s="45" t="n"/>
    </row>
    <row r="142">
      <c r="B142" s="44" t="n"/>
      <c r="C142" s="46" t="n"/>
      <c r="F142" s="45" t="n"/>
    </row>
    <row r="143">
      <c r="B143" s="44" t="n"/>
      <c r="C143" s="46" t="n"/>
      <c r="F143" s="45" t="n"/>
    </row>
    <row r="144">
      <c r="B144" s="44" t="n"/>
      <c r="C144" s="46" t="n"/>
      <c r="F144" s="45" t="n"/>
    </row>
    <row r="145">
      <c r="B145" s="44" t="n"/>
      <c r="C145" s="46" t="n"/>
      <c r="F145" s="45" t="n"/>
    </row>
    <row r="146">
      <c r="B146" s="44" t="n"/>
      <c r="C146" s="46" t="n"/>
      <c r="F146" s="45" t="n"/>
    </row>
    <row r="147">
      <c r="B147" s="44" t="n"/>
      <c r="C147" s="46" t="n"/>
      <c r="F147" s="45" t="n"/>
    </row>
    <row r="148">
      <c r="B148" s="44" t="n"/>
      <c r="C148" s="46" t="n"/>
      <c r="F148" s="45" t="n"/>
    </row>
    <row r="149">
      <c r="B149" s="44" t="n"/>
      <c r="C149" s="46" t="n"/>
      <c r="F149" s="45" t="n"/>
    </row>
    <row r="150">
      <c r="B150" s="44" t="n"/>
      <c r="C150" s="46" t="n"/>
      <c r="F150" s="45" t="n"/>
    </row>
    <row r="151">
      <c r="B151" s="44" t="n"/>
      <c r="C151" s="46" t="n"/>
      <c r="F151" s="45" t="n"/>
    </row>
    <row r="152">
      <c r="B152" s="44" t="n"/>
      <c r="C152" s="46" t="n"/>
      <c r="F152" s="45" t="n"/>
    </row>
    <row r="153">
      <c r="B153" s="44" t="n"/>
      <c r="C153" s="46" t="n"/>
      <c r="F153" s="45" t="n"/>
    </row>
    <row r="154">
      <c r="B154" s="44" t="n"/>
      <c r="C154" s="46" t="n"/>
      <c r="F154" s="45" t="n"/>
    </row>
    <row r="155">
      <c r="B155" s="44" t="n"/>
      <c r="C155" s="46" t="n"/>
      <c r="F155" s="45" t="n"/>
    </row>
    <row r="156">
      <c r="B156" s="44" t="n"/>
      <c r="C156" s="46" t="n"/>
      <c r="F156" s="45" t="n"/>
    </row>
    <row r="157">
      <c r="B157" s="44" t="n"/>
      <c r="C157" s="46" t="n"/>
      <c r="F157" s="45" t="n"/>
    </row>
    <row r="158">
      <c r="B158" s="44" t="n"/>
      <c r="C158" s="46" t="n"/>
      <c r="F158" s="45" t="n"/>
    </row>
    <row r="159">
      <c r="B159" s="44" t="n"/>
      <c r="C159" s="46" t="n"/>
      <c r="F159" s="45" t="n"/>
    </row>
    <row r="160">
      <c r="B160" s="44" t="n"/>
      <c r="C160" s="46" t="n"/>
      <c r="F160" s="45" t="n"/>
    </row>
    <row r="161">
      <c r="B161" s="44" t="n"/>
      <c r="C161" s="46" t="n"/>
      <c r="F161" s="45" t="n"/>
    </row>
    <row r="162">
      <c r="B162" s="44" t="n"/>
      <c r="C162" s="46" t="n"/>
      <c r="F162" s="45" t="n"/>
    </row>
    <row r="163">
      <c r="B163" s="44" t="n"/>
      <c r="C163" s="46" t="n"/>
      <c r="F163" s="45" t="n"/>
    </row>
    <row r="164">
      <c r="B164" s="44" t="n"/>
      <c r="C164" s="46" t="n"/>
      <c r="F164" s="45" t="n"/>
    </row>
    <row r="165">
      <c r="B165" s="44" t="n"/>
      <c r="C165" s="46" t="n"/>
      <c r="F165" s="45" t="n"/>
    </row>
    <row r="166">
      <c r="B166" s="44" t="n"/>
      <c r="C166" s="46" t="n"/>
      <c r="F166" s="45" t="n"/>
    </row>
    <row r="167">
      <c r="B167" s="44" t="n"/>
      <c r="C167" s="46" t="n"/>
      <c r="F167" s="45" t="n"/>
    </row>
    <row r="168">
      <c r="B168" s="44" t="n"/>
      <c r="C168" s="46" t="n"/>
      <c r="F168" s="45" t="n"/>
    </row>
    <row r="169">
      <c r="B169" s="44" t="n"/>
      <c r="C169" s="46" t="n"/>
      <c r="F169" s="45" t="n"/>
    </row>
    <row r="170">
      <c r="B170" s="44" t="n"/>
      <c r="C170" s="46" t="n"/>
      <c r="F170" s="45" t="n"/>
    </row>
    <row r="171">
      <c r="B171" s="44" t="n"/>
      <c r="C171" s="46" t="n"/>
      <c r="F171" s="45" t="n"/>
    </row>
    <row r="172">
      <c r="B172" s="44" t="n"/>
      <c r="C172" s="46" t="n"/>
      <c r="F172" s="45" t="n"/>
    </row>
    <row r="173">
      <c r="B173" s="44" t="n"/>
      <c r="C173" s="46" t="n"/>
      <c r="F173" s="45" t="n"/>
    </row>
    <row r="174">
      <c r="B174" s="44" t="n"/>
      <c r="C174" s="46" t="n"/>
      <c r="F174" s="45" t="n"/>
    </row>
    <row r="175">
      <c r="B175" s="44" t="n"/>
      <c r="C175" s="46" t="n"/>
      <c r="F175" s="45" t="n"/>
    </row>
    <row r="176">
      <c r="B176" s="44" t="n"/>
      <c r="C176" s="46" t="n"/>
      <c r="F176" s="45" t="n"/>
    </row>
    <row r="177">
      <c r="B177" s="44" t="n"/>
      <c r="C177" s="46" t="n"/>
      <c r="F177" s="45" t="n"/>
    </row>
    <row r="178">
      <c r="B178" s="44" t="n"/>
      <c r="C178" s="46" t="n"/>
      <c r="F178" s="45" t="n"/>
    </row>
    <row r="179">
      <c r="B179" s="44" t="n"/>
      <c r="C179" s="46" t="n"/>
      <c r="F179" s="45" t="n"/>
    </row>
    <row r="180">
      <c r="B180" s="44" t="n"/>
      <c r="C180" s="46" t="n"/>
      <c r="F180" s="45" t="n"/>
    </row>
    <row r="181">
      <c r="B181" s="44" t="n"/>
      <c r="C181" s="46" t="n"/>
      <c r="F181" s="45" t="n"/>
    </row>
    <row r="182">
      <c r="B182" s="44" t="n"/>
      <c r="C182" s="46" t="n"/>
      <c r="F182" s="45" t="n"/>
    </row>
    <row r="183">
      <c r="B183" s="44" t="n"/>
      <c r="C183" s="46" t="n"/>
      <c r="F183" s="45" t="n"/>
    </row>
    <row r="184">
      <c r="B184" s="44" t="n"/>
      <c r="C184" s="46" t="n"/>
      <c r="F184" s="45" t="n"/>
    </row>
    <row r="185">
      <c r="B185" s="44" t="n"/>
      <c r="C185" s="46" t="n"/>
      <c r="F185" s="45" t="n"/>
    </row>
    <row r="186">
      <c r="B186" s="44" t="n"/>
      <c r="C186" s="46" t="n"/>
      <c r="F186" s="45" t="n"/>
    </row>
    <row r="187">
      <c r="B187" s="44" t="n"/>
      <c r="C187" s="46" t="n"/>
      <c r="F187" s="45" t="n"/>
    </row>
    <row r="188">
      <c r="B188" s="44" t="n"/>
      <c r="C188" s="46" t="n"/>
      <c r="F188" s="45" t="n"/>
    </row>
    <row r="189">
      <c r="B189" s="44" t="n"/>
      <c r="C189" s="46" t="n"/>
      <c r="F189" s="45" t="n"/>
    </row>
    <row r="190">
      <c r="B190" s="44" t="n"/>
      <c r="C190" s="46" t="n"/>
      <c r="F190" s="45" t="n"/>
    </row>
    <row r="191">
      <c r="B191" s="44" t="n"/>
      <c r="C191" s="46" t="n"/>
      <c r="F191" s="45" t="n"/>
    </row>
    <row r="192">
      <c r="B192" s="44" t="n"/>
      <c r="C192" s="46" t="n"/>
      <c r="F192" s="45" t="n"/>
    </row>
    <row r="193">
      <c r="B193" s="44" t="n"/>
      <c r="C193" s="46" t="n"/>
      <c r="F193" s="45" t="n"/>
    </row>
    <row r="194">
      <c r="B194" s="44" t="n"/>
      <c r="C194" s="46" t="n"/>
      <c r="F194" s="45" t="n"/>
    </row>
    <row r="195">
      <c r="B195" s="44" t="n"/>
      <c r="C195" s="46" t="n"/>
      <c r="F195" s="45" t="n"/>
    </row>
    <row r="196">
      <c r="B196" s="44" t="n"/>
      <c r="C196" s="46" t="n"/>
      <c r="F196" s="45" t="n"/>
    </row>
    <row r="197">
      <c r="B197" s="44" t="n"/>
      <c r="C197" s="46" t="n"/>
      <c r="F197" s="45" t="n"/>
    </row>
    <row r="198">
      <c r="B198" s="44" t="n"/>
      <c r="C198" s="46" t="n"/>
      <c r="F198" s="45" t="n"/>
    </row>
    <row r="199">
      <c r="B199" s="44" t="n"/>
      <c r="C199" s="46" t="n"/>
      <c r="F199" s="45" t="n"/>
    </row>
    <row r="200">
      <c r="B200" s="44" t="n"/>
      <c r="C200" s="46" t="n"/>
      <c r="F200" s="45" t="n"/>
    </row>
    <row r="201">
      <c r="B201" s="44" t="n"/>
      <c r="C201" s="46" t="n"/>
      <c r="F201" s="45" t="n"/>
    </row>
    <row r="202">
      <c r="B202" s="44" t="n"/>
      <c r="C202" s="46" t="n"/>
      <c r="F202" s="45" t="n"/>
    </row>
    <row r="203">
      <c r="B203" s="44" t="n"/>
      <c r="C203" s="46" t="n"/>
      <c r="F203" s="45" t="n"/>
    </row>
    <row r="204">
      <c r="B204" s="44" t="n"/>
      <c r="C204" s="46" t="n"/>
      <c r="F204" s="45" t="n"/>
    </row>
    <row r="205">
      <c r="B205" s="44" t="n"/>
      <c r="C205" s="46" t="n"/>
      <c r="F205" s="45" t="n"/>
    </row>
    <row r="206">
      <c r="B206" s="44" t="n"/>
      <c r="C206" s="46" t="n"/>
      <c r="F206" s="45" t="n"/>
    </row>
    <row r="207">
      <c r="B207" s="44" t="n"/>
      <c r="C207" s="46" t="n"/>
      <c r="F207" s="45" t="n"/>
    </row>
    <row r="208">
      <c r="B208" s="44" t="n"/>
      <c r="C208" s="46" t="n"/>
      <c r="F208" s="45" t="n"/>
    </row>
    <row r="209">
      <c r="B209" s="44" t="n"/>
      <c r="C209" s="46" t="n"/>
      <c r="F209" s="45" t="n"/>
    </row>
    <row r="210">
      <c r="B210" s="44" t="n"/>
      <c r="C210" s="46" t="n"/>
      <c r="F210" s="45" t="n"/>
    </row>
    <row r="211">
      <c r="B211" s="44" t="n"/>
      <c r="C211" s="46" t="n"/>
      <c r="F211" s="45" t="n"/>
    </row>
    <row r="212">
      <c r="B212" s="44" t="n"/>
      <c r="C212" s="46" t="n"/>
      <c r="F212" s="45" t="n"/>
    </row>
    <row r="213">
      <c r="B213" s="44" t="n"/>
      <c r="C213" s="46" t="n"/>
      <c r="F213" s="45" t="n"/>
    </row>
    <row r="214">
      <c r="B214" s="44" t="n"/>
      <c r="C214" s="46" t="n"/>
      <c r="F214" s="45" t="n"/>
    </row>
    <row r="215">
      <c r="B215" s="44" t="n"/>
      <c r="C215" s="46" t="n"/>
      <c r="F215" s="45" t="n"/>
    </row>
    <row r="216">
      <c r="B216" s="44" t="n"/>
      <c r="C216" s="46" t="n"/>
      <c r="F216" s="45" t="n"/>
    </row>
    <row r="217">
      <c r="B217" s="44" t="n"/>
      <c r="C217" s="46" t="n"/>
      <c r="F217" s="45" t="n"/>
    </row>
    <row r="218">
      <c r="B218" s="44" t="n"/>
      <c r="C218" s="46" t="n"/>
      <c r="F218" s="45" t="n"/>
    </row>
    <row r="219">
      <c r="B219" s="44" t="n"/>
      <c r="C219" s="46" t="n"/>
      <c r="F219" s="45" t="n"/>
    </row>
    <row r="220">
      <c r="B220" s="44" t="n"/>
      <c r="C220" s="46" t="n"/>
      <c r="F220" s="45" t="n"/>
    </row>
    <row r="221">
      <c r="B221" s="44" t="n"/>
      <c r="C221" s="46" t="n"/>
      <c r="F221" s="45" t="n"/>
    </row>
    <row r="222">
      <c r="B222" s="44" t="n"/>
      <c r="C222" s="46" t="n"/>
      <c r="F222" s="45" t="n"/>
    </row>
    <row r="223">
      <c r="B223" s="44" t="n"/>
      <c r="C223" s="46" t="n"/>
      <c r="F223" s="45" t="n"/>
    </row>
    <row r="224">
      <c r="B224" s="44" t="n"/>
      <c r="C224" s="46" t="n"/>
      <c r="F224" s="45" t="n"/>
    </row>
    <row r="225">
      <c r="B225" s="44" t="n"/>
      <c r="C225" s="46" t="n"/>
      <c r="F225" s="45" t="n"/>
    </row>
    <row r="226">
      <c r="B226" s="44" t="n"/>
      <c r="C226" s="46" t="n"/>
      <c r="F226" s="45" t="n"/>
    </row>
    <row r="227">
      <c r="B227" s="44" t="n"/>
      <c r="C227" s="46" t="n"/>
      <c r="F227" s="45" t="n"/>
    </row>
    <row r="228">
      <c r="B228" s="44" t="n"/>
      <c r="C228" s="46" t="n"/>
      <c r="F228" s="45" t="n"/>
    </row>
    <row r="229">
      <c r="B229" s="44" t="n"/>
      <c r="C229" s="46" t="n"/>
      <c r="F229" s="45" t="n"/>
    </row>
    <row r="230">
      <c r="B230" s="44" t="n"/>
      <c r="C230" s="46" t="n"/>
      <c r="F230" s="45" t="n"/>
    </row>
    <row r="231">
      <c r="B231" s="44" t="n"/>
      <c r="C231" s="46" t="n"/>
      <c r="F231" s="45" t="n"/>
    </row>
    <row r="232">
      <c r="B232" s="44" t="n"/>
      <c r="C232" s="46" t="n"/>
      <c r="F232" s="45" t="n"/>
    </row>
    <row r="233">
      <c r="B233" s="44" t="n"/>
      <c r="C233" s="46" t="n"/>
      <c r="F233" s="45" t="n"/>
    </row>
    <row r="234">
      <c r="B234" s="44" t="n"/>
      <c r="C234" s="46" t="n"/>
      <c r="F234" s="45" t="n"/>
    </row>
    <row r="235">
      <c r="B235" s="44" t="n"/>
      <c r="C235" s="46" t="n"/>
      <c r="F235" s="45" t="n"/>
    </row>
    <row r="236">
      <c r="B236" s="44" t="n"/>
      <c r="C236" s="46" t="n"/>
      <c r="F236" s="45" t="n"/>
    </row>
    <row r="237">
      <c r="B237" s="44" t="n"/>
      <c r="C237" s="46" t="n"/>
      <c r="F237" s="45" t="n"/>
    </row>
    <row r="238">
      <c r="B238" s="44" t="n"/>
      <c r="C238" s="46" t="n"/>
      <c r="F238" s="45" t="n"/>
    </row>
    <row r="239">
      <c r="B239" s="44" t="n"/>
      <c r="C239" s="46" t="n"/>
      <c r="F239" s="45" t="n"/>
    </row>
    <row r="240">
      <c r="B240" s="44" t="n"/>
      <c r="C240" s="46" t="n"/>
      <c r="F240" s="45" t="n"/>
    </row>
    <row r="241">
      <c r="B241" s="44" t="n"/>
      <c r="C241" s="46" t="n"/>
      <c r="F241" s="45" t="n"/>
    </row>
    <row r="242">
      <c r="B242" s="44" t="n"/>
      <c r="C242" s="46" t="n"/>
      <c r="F242" s="45" t="n"/>
    </row>
    <row r="243">
      <c r="B243" s="44" t="n"/>
      <c r="C243" s="46" t="n"/>
      <c r="F243" s="45" t="n"/>
    </row>
    <row r="244">
      <c r="B244" s="44" t="n"/>
      <c r="C244" s="46" t="n"/>
      <c r="F244" s="45" t="n"/>
    </row>
    <row r="245">
      <c r="B245" s="44" t="n"/>
      <c r="C245" s="46" t="n"/>
      <c r="F245" s="45" t="n"/>
    </row>
    <row r="246">
      <c r="B246" s="44" t="n"/>
      <c r="C246" s="46" t="n"/>
      <c r="F246" s="45" t="n"/>
    </row>
    <row r="247">
      <c r="B247" s="44" t="n"/>
      <c r="C247" s="46" t="n"/>
      <c r="F247" s="45" t="n"/>
    </row>
    <row r="248">
      <c r="B248" s="44" t="n"/>
      <c r="C248" s="46" t="n"/>
      <c r="F248" s="45" t="n"/>
    </row>
    <row r="249">
      <c r="B249" s="44" t="n"/>
      <c r="C249" s="46" t="n"/>
      <c r="F249" s="45" t="n"/>
    </row>
    <row r="250">
      <c r="B250" s="44" t="n"/>
      <c r="C250" s="46" t="n"/>
      <c r="F250" s="45" t="n"/>
    </row>
    <row r="251">
      <c r="B251" s="44" t="n"/>
      <c r="C251" s="46" t="n"/>
      <c r="F251" s="45" t="n"/>
    </row>
    <row r="252">
      <c r="B252" s="44" t="n"/>
      <c r="C252" s="46" t="n"/>
      <c r="F252" s="45" t="n"/>
    </row>
    <row r="253">
      <c r="B253" s="44" t="n"/>
      <c r="C253" s="46" t="n"/>
      <c r="F253" s="45" t="n"/>
    </row>
    <row r="254">
      <c r="B254" s="44" t="n"/>
      <c r="C254" s="46" t="n"/>
      <c r="F254" s="45" t="n"/>
    </row>
    <row r="255">
      <c r="B255" s="44" t="n"/>
      <c r="C255" s="46" t="n"/>
      <c r="F255" s="45" t="n"/>
    </row>
    <row r="256">
      <c r="B256" s="44" t="n"/>
      <c r="C256" s="46" t="n"/>
      <c r="F256" s="45" t="n"/>
    </row>
    <row r="257">
      <c r="B257" s="44" t="n"/>
      <c r="C257" s="46" t="n"/>
      <c r="F257" s="45" t="n"/>
    </row>
    <row r="258">
      <c r="B258" s="44" t="n"/>
      <c r="C258" s="46" t="n"/>
      <c r="F258" s="45" t="n"/>
    </row>
    <row r="259">
      <c r="B259" s="44" t="n"/>
      <c r="C259" s="46" t="n"/>
      <c r="F259" s="45" t="n"/>
    </row>
    <row r="260">
      <c r="B260" s="44" t="n"/>
      <c r="C260" s="46" t="n"/>
      <c r="F260" s="45" t="n"/>
    </row>
    <row r="261">
      <c r="B261" s="44" t="n"/>
      <c r="C261" s="46" t="n"/>
      <c r="F261" s="45" t="n"/>
    </row>
    <row r="262">
      <c r="B262" s="44" t="n"/>
      <c r="C262" s="46" t="n"/>
      <c r="F262" s="45" t="n"/>
    </row>
    <row r="263">
      <c r="B263" s="44" t="n"/>
      <c r="C263" s="46" t="n"/>
      <c r="F263" s="45" t="n"/>
    </row>
    <row r="264">
      <c r="B264" s="44" t="n"/>
      <c r="C264" s="46" t="n"/>
      <c r="F264" s="45" t="n"/>
    </row>
    <row r="265">
      <c r="B265" s="44" t="n"/>
      <c r="C265" s="46" t="n"/>
      <c r="F265" s="45" t="n"/>
    </row>
    <row r="266">
      <c r="B266" s="44" t="n"/>
      <c r="C266" s="46" t="n"/>
      <c r="F266" s="45" t="n"/>
    </row>
    <row r="267">
      <c r="B267" s="44" t="n"/>
      <c r="C267" s="46" t="n"/>
      <c r="F267" s="45" t="n"/>
    </row>
    <row r="268">
      <c r="B268" s="44" t="n"/>
      <c r="C268" s="46" t="n"/>
      <c r="F268" s="45" t="n"/>
    </row>
    <row r="269">
      <c r="B269" s="44" t="n"/>
      <c r="C269" s="46" t="n"/>
      <c r="F269" s="45" t="n"/>
    </row>
    <row r="270">
      <c r="B270" s="44" t="n"/>
      <c r="C270" s="46" t="n"/>
      <c r="F270" s="45" t="n"/>
    </row>
    <row r="271">
      <c r="B271" s="44" t="n"/>
      <c r="C271" s="46" t="n"/>
      <c r="F271" s="45" t="n"/>
    </row>
    <row r="272">
      <c r="B272" s="44" t="n"/>
      <c r="C272" s="46" t="n"/>
      <c r="F272" s="45" t="n"/>
    </row>
    <row r="273">
      <c r="B273" s="44" t="n"/>
      <c r="C273" s="46" t="n"/>
      <c r="F273" s="45" t="n"/>
    </row>
    <row r="274">
      <c r="B274" s="44" t="n"/>
      <c r="C274" s="46" t="n"/>
      <c r="F274" s="45" t="n"/>
    </row>
    <row r="275">
      <c r="B275" s="44" t="n"/>
      <c r="C275" s="46" t="n"/>
      <c r="F275" s="45" t="n"/>
    </row>
    <row r="276">
      <c r="B276" s="44" t="n"/>
      <c r="C276" s="46" t="n"/>
      <c r="F276" s="45" t="n"/>
    </row>
    <row r="277">
      <c r="B277" s="44" t="n"/>
      <c r="C277" s="46" t="n"/>
      <c r="F277" s="45" t="n"/>
    </row>
    <row r="278">
      <c r="B278" s="44" t="n"/>
      <c r="C278" s="46" t="n"/>
      <c r="F278" s="45" t="n"/>
    </row>
    <row r="279">
      <c r="B279" s="44" t="n"/>
      <c r="C279" s="46" t="n"/>
      <c r="F279" s="45" t="n"/>
    </row>
    <row r="280">
      <c r="B280" s="44" t="n"/>
      <c r="C280" s="46" t="n"/>
      <c r="F280" s="45" t="n"/>
    </row>
    <row r="281">
      <c r="B281" s="44" t="n"/>
      <c r="C281" s="46" t="n"/>
      <c r="F281" s="45" t="n"/>
    </row>
    <row r="282">
      <c r="B282" s="44" t="n"/>
      <c r="C282" s="46" t="n"/>
      <c r="F282" s="45" t="n"/>
    </row>
    <row r="283">
      <c r="B283" s="44" t="n"/>
      <c r="C283" s="46" t="n"/>
      <c r="F283" s="45" t="n"/>
    </row>
    <row r="284">
      <c r="B284" s="44" t="n"/>
      <c r="C284" s="46" t="n"/>
      <c r="F284" s="45" t="n"/>
    </row>
    <row r="285">
      <c r="B285" s="44" t="n"/>
      <c r="C285" s="46" t="n"/>
      <c r="F285" s="45" t="n"/>
    </row>
    <row r="286">
      <c r="B286" s="44" t="n"/>
      <c r="C286" s="46" t="n"/>
      <c r="F286" s="45" t="n"/>
    </row>
    <row r="287">
      <c r="B287" s="44" t="n"/>
      <c r="C287" s="46" t="n"/>
      <c r="F287" s="45" t="n"/>
    </row>
    <row r="288">
      <c r="B288" s="44" t="n"/>
      <c r="C288" s="46" t="n"/>
      <c r="F288" s="45" t="n"/>
    </row>
    <row r="289">
      <c r="B289" s="44" t="n"/>
      <c r="C289" s="46" t="n"/>
      <c r="F289" s="45" t="n"/>
    </row>
    <row r="290">
      <c r="B290" s="44" t="n"/>
      <c r="C290" s="46" t="n"/>
      <c r="F290" s="45" t="n"/>
    </row>
    <row r="291">
      <c r="B291" s="44" t="n"/>
      <c r="C291" s="46" t="n"/>
      <c r="F291" s="45" t="n"/>
    </row>
    <row r="292">
      <c r="B292" s="44" t="n"/>
      <c r="C292" s="46" t="n"/>
      <c r="F292" s="45" t="n"/>
    </row>
    <row r="293">
      <c r="B293" s="44" t="n"/>
      <c r="C293" s="46" t="n"/>
      <c r="F293" s="45" t="n"/>
    </row>
    <row r="294">
      <c r="B294" s="44" t="n"/>
      <c r="C294" s="46" t="n"/>
      <c r="F294" s="45" t="n"/>
    </row>
    <row r="295">
      <c r="B295" s="44" t="n"/>
      <c r="C295" s="46" t="n"/>
      <c r="F295" s="45" t="n"/>
    </row>
    <row r="296">
      <c r="B296" s="44" t="n"/>
      <c r="C296" s="46" t="n"/>
      <c r="F296" s="45" t="n"/>
    </row>
    <row r="297">
      <c r="B297" s="44" t="n"/>
      <c r="C297" s="46" t="n"/>
      <c r="F297" s="45" t="n"/>
    </row>
    <row r="298">
      <c r="B298" s="44" t="n"/>
      <c r="C298" s="46" t="n"/>
      <c r="F298" s="45" t="n"/>
    </row>
    <row r="299">
      <c r="B299" s="44" t="n"/>
      <c r="C299" s="46" t="n"/>
      <c r="F299" s="45" t="n"/>
    </row>
    <row r="300">
      <c r="B300" s="44" t="n"/>
      <c r="C300" s="46" t="n"/>
      <c r="F300" s="45" t="n"/>
    </row>
    <row r="301">
      <c r="B301" s="44" t="n"/>
      <c r="C301" s="46" t="n"/>
      <c r="F301" s="45" t="n"/>
    </row>
    <row r="302">
      <c r="B302" s="44" t="n"/>
      <c r="C302" s="46" t="n"/>
      <c r="F302" s="45" t="n"/>
    </row>
  </sheetData>
  <conditionalFormatting sqref="N22">
    <cfRule type="cellIs" priority="1" operator="lessThan" dxfId="0">
      <formula>0</formula>
    </cfRule>
  </conditionalFormatting>
  <conditionalFormatting sqref="N24">
    <cfRule type="cellIs" priority="2" operator="lessThan" dxfId="0">
      <formula>0</formula>
    </cfRule>
    <cfRule type="cellIs" priority="3" operator="greaterThan" dxfId="1">
      <formula>0</formula>
    </cfRule>
  </conditionalFormatting>
  <conditionalFormatting sqref="N30">
    <cfRule type="expression" priority="4" dxfId="0">
      <formula>AND($N$3&gt;0,N30&lt;0)</formula>
    </cfRule>
    <cfRule type="expression" priority="5" dxfId="1">
      <formula>AND($N$3&gt;0,N30&gt;=0)</formula>
    </cfRule>
  </conditionalFormatting>
  <conditionalFormatting sqref="N32">
    <cfRule type="expression" priority="6" dxfId="0">
      <formula>AND($N$3&gt;0,N32&lt;0)</formula>
    </cfRule>
    <cfRule type="expression" priority="7" dxfId="1">
      <formula>AND($N$3&gt;0,N32&gt;=0)</formula>
    </cfRule>
  </conditionalFormatting>
  <dataValidations count="2">
    <dataValidation sqref="E3:E302" showDropDown="0" showInputMessage="0" showErrorMessage="0" allowBlank="1" type="list">
      <formula1>'選択肢マスター'!$K$2:$K$12</formula1>
    </dataValidation>
    <dataValidation sqref="H3:H302" showDropDown="0" showInputMessage="0" showErrorMessage="0" allowBlank="1" type="list">
      <formula1>'選択肢マスター'!$J$2:$J$3</formula1>
    </dataValidation>
  </dataValidations>
  <pageMargins left="0.75" right="0.75" top="1" bottom="1" header="0.5" footer="0.5"/>
</worksheet>
</file>

<file path=xl/worksheets/sheet22.xml><?xml version="1.0" encoding="utf-8"?>
<worksheet xmlns="http://schemas.openxmlformats.org/spreadsheetml/2006/main">
  <sheetPr>
    <tabColor rgb="00C55A11"/>
    <outlinePr summaryBelow="1" summaryRight="1"/>
    <pageSetUpPr/>
  </sheetPr>
  <dimension ref="A1:R302"/>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8" customWidth="1" min="3" max="3"/>
    <col width="26" customWidth="1" min="4" max="4"/>
    <col width="18" customWidth="1" min="5" max="5"/>
    <col width="12" customWidth="1" min="6" max="6"/>
    <col width="26" customWidth="1" min="7" max="7"/>
    <col width="11" customWidth="1" min="8" max="8"/>
    <col width="26" customWidth="1" min="13" max="13"/>
    <col width="15" customWidth="1" min="14" max="14"/>
    <col width="52" customWidth="1" min="15" max="15"/>
    <col width="20" customWidth="1" min="17" max="17"/>
    <col width="14" customWidth="1" min="18" max="18"/>
  </cols>
  <sheetData>
    <row r="1">
      <c r="A1" s="8" t="inlineStr">
        <is>
          <t>◆ 8月の経費入力。3行目から下へ足していってよい。右の月次P/Lは行が動かないので壊れない</t>
        </is>
      </c>
      <c r="M1" s="11" t="inlineStr">
        <is>
          <t>▼ 月次P/L（この位置は固定。左の経費表を何行足してもずれません）</t>
        </is>
      </c>
    </row>
    <row r="2" ht="30" customHeight="1">
      <c r="A2" s="3" t="inlineStr">
        <is>
          <t>No.</t>
        </is>
      </c>
      <c r="B2" s="3" t="inlineStr">
        <is>
          <t>日付</t>
        </is>
      </c>
      <c r="C2" s="3" t="inlineStr">
        <is>
          <t>時刻</t>
        </is>
      </c>
      <c r="D2" s="3" t="inlineStr">
        <is>
          <t>品目</t>
        </is>
      </c>
      <c r="E2" s="3" t="inlineStr">
        <is>
          <t>科目</t>
        </is>
      </c>
      <c r="F2" s="3" t="inlineStr">
        <is>
          <t>金額</t>
        </is>
      </c>
      <c r="G2" s="3" t="inlineStr">
        <is>
          <t>備考</t>
        </is>
      </c>
      <c r="H2" s="3" t="inlineStr">
        <is>
          <t>現金立替え</t>
        </is>
      </c>
      <c r="M2" s="3" t="inlineStr">
        <is>
          <t>項目</t>
        </is>
      </c>
      <c r="N2" s="3" t="inlineStr">
        <is>
          <t>金額</t>
        </is>
      </c>
      <c r="O2" s="3" t="inlineStr">
        <is>
          <t>計算の中身</t>
        </is>
      </c>
      <c r="Q2" s="11" t="inlineStr">
        <is>
          <t>▼ 科目別 集計</t>
        </is>
      </c>
    </row>
    <row r="3" ht="30" customHeight="1">
      <c r="B3" s="44" t="n"/>
      <c r="C3" s="46" t="n"/>
      <c r="F3" s="45" t="n"/>
      <c r="M3" s="47" t="inlineStr">
        <is>
          <t>売上</t>
        </is>
      </c>
      <c r="N3" s="48">
        <f>'8月_売上顧客'!$L$4</f>
        <v/>
      </c>
      <c r="O3" s="2" t="inlineStr">
        <is>
          <t>8月_売上顧客 の合計売上</t>
        </is>
      </c>
      <c r="Q3" s="3" t="inlineStr">
        <is>
          <t>科目</t>
        </is>
      </c>
      <c r="R3" s="3" t="inlineStr">
        <is>
          <t>金額</t>
        </is>
      </c>
    </row>
    <row r="4">
      <c r="B4" s="44" t="n"/>
      <c r="C4" s="46" t="n"/>
      <c r="F4" s="45" t="n"/>
      <c r="M4" s="49" t="inlineStr">
        <is>
          <t>エアコン台数(参考)</t>
        </is>
      </c>
      <c r="N4" s="50">
        <f>COUNTIFS('8月_売上顧客'!$M$5:$M$504,"エアコン(ノーマル)")+COUNTIFS('8月_売上顧客'!$M$5:$M$504,"エアコン(ロボ)")+COUNTIFS('8月_売上顧客'!$M$5:$M$504,"天カセ")+COUNTIFS('8月_売上顧客'!$M$5:$M$504,"業務用エアコン1方向")</f>
        <v/>
      </c>
      <c r="O4" s="2" t="inlineStr">
        <is>
          <t>エアコン(ノーマル/ロボ)・天カセ・業務用1方向</t>
        </is>
      </c>
      <c r="Q4" s="51" t="inlineStr">
        <is>
          <t>交通費</t>
        </is>
      </c>
      <c r="R4" s="52">
        <f>SUMIFS($F$3:$F$302,$E$3:$E$302,"交通費")</f>
        <v/>
      </c>
    </row>
    <row r="5">
      <c r="B5" s="44" t="n"/>
      <c r="C5" s="46" t="n"/>
      <c r="F5" s="45" t="n"/>
      <c r="M5" s="49" t="inlineStr">
        <is>
          <t>換気扇台数(参考)</t>
        </is>
      </c>
      <c r="N5" s="50">
        <f>COUNTIFS('8月_売上顧客'!$M$5:$M$504,"換気扇")</f>
        <v/>
      </c>
      <c r="O5" s="2" t="inlineStr">
        <is>
          <t>実施メニュー＝換気扇</t>
        </is>
      </c>
      <c r="Q5" s="51" t="inlineStr">
        <is>
          <t>保険料</t>
        </is>
      </c>
      <c r="R5" s="52">
        <f>SUMIFS($F$3:$F$302,$E$3:$E$302,"保険料")</f>
        <v/>
      </c>
    </row>
    <row r="6">
      <c r="B6" s="44" t="n"/>
      <c r="C6" s="46" t="n"/>
      <c r="F6" s="45" t="n"/>
      <c r="M6" s="49" t="inlineStr">
        <is>
          <t>浴室台数(参考)</t>
        </is>
      </c>
      <c r="N6" s="50">
        <f>COUNTIFS('8月_売上顧客'!$M$5:$M$504,"浴室")</f>
        <v/>
      </c>
      <c r="O6" s="2" t="inlineStr">
        <is>
          <t>実施メニュー＝浴室</t>
        </is>
      </c>
      <c r="Q6" s="51" t="inlineStr">
        <is>
          <t>通信費</t>
        </is>
      </c>
      <c r="R6" s="52">
        <f>SUMIFS($F$3:$F$302,$E$3:$E$302,"通信費")</f>
        <v/>
      </c>
    </row>
    <row r="7">
      <c r="B7" s="44" t="n"/>
      <c r="C7" s="46" t="n"/>
      <c r="F7" s="45" t="n"/>
      <c r="M7" s="49" t="inlineStr">
        <is>
          <t>資材費</t>
        </is>
      </c>
      <c r="N7" s="53">
        <f>N4*373+N5*176+N6*149</f>
        <v/>
      </c>
      <c r="O7" s="2" t="inlineStr">
        <is>
          <t>エアコン373 + 換気扇176 + 浴室149</t>
        </is>
      </c>
      <c r="Q7" s="51" t="inlineStr">
        <is>
          <t>広告費</t>
        </is>
      </c>
      <c r="R7" s="52">
        <f>SUMIFS($F$3:$F$302,$E$3:$E$302,"広告費")</f>
        <v/>
      </c>
    </row>
    <row r="8">
      <c r="B8" s="44" t="n"/>
      <c r="C8" s="46" t="n"/>
      <c r="F8" s="45" t="n"/>
      <c r="M8" s="49" t="inlineStr">
        <is>
          <t>外注費（協力業者）</t>
        </is>
      </c>
      <c r="N8" s="53">
        <f>SUMIFS($F$3:$F$302,$E$3:$E$302,"外注費")</f>
        <v/>
      </c>
      <c r="O8" s="2" t="inlineStr">
        <is>
          <t>経費表の科目＝外注費。★2027年から原価として独立</t>
        </is>
      </c>
      <c r="Q8" s="51" t="inlineStr">
        <is>
          <t>耐久品</t>
        </is>
      </c>
      <c r="R8" s="52">
        <f>SUMIFS($F$3:$F$302,$E$3:$E$302,"耐久品")</f>
        <v/>
      </c>
    </row>
    <row r="9">
      <c r="B9" s="44" t="n"/>
      <c r="C9" s="46" t="n"/>
      <c r="F9" s="45" t="n"/>
      <c r="M9" s="49" t="inlineStr">
        <is>
          <t>現場人件費（原価）</t>
        </is>
      </c>
      <c r="N9" s="53">
        <f>SUMIFS($F$3:$F$302,$E$3:$E$302,"現場人件費(原価)")</f>
        <v/>
      </c>
      <c r="O9" s="2" t="inlineStr">
        <is>
          <t>経費表の科目＝現場人件費(原価)</t>
        </is>
      </c>
      <c r="Q9" s="51" t="inlineStr">
        <is>
          <t>備品</t>
        </is>
      </c>
      <c r="R9" s="52">
        <f>SUMIFS($F$3:$F$302,$E$3:$E$302,"備品")</f>
        <v/>
      </c>
    </row>
    <row r="10">
      <c r="B10" s="44" t="n"/>
      <c r="C10" s="46" t="n"/>
      <c r="F10" s="45" t="n"/>
      <c r="M10" s="47" t="inlineStr">
        <is>
          <t>原価合計</t>
        </is>
      </c>
      <c r="N10" s="48">
        <f>N7+N8+N9</f>
        <v/>
      </c>
      <c r="O10" s="2" t="inlineStr">
        <is>
          <t>資材費＋外注費＋現場人件費</t>
        </is>
      </c>
      <c r="Q10" s="51" t="inlineStr">
        <is>
          <t>個別ロイ</t>
        </is>
      </c>
      <c r="R10" s="52">
        <f>SUMIFS($F$3:$F$302,$E$3:$E$302,"個別ロイ")</f>
        <v/>
      </c>
    </row>
    <row r="11">
      <c r="B11" s="44" t="n"/>
      <c r="C11" s="46" t="n"/>
      <c r="F11" s="45" t="n"/>
      <c r="M11" s="47" t="inlineStr">
        <is>
          <t>売上総利益</t>
        </is>
      </c>
      <c r="N11" s="48">
        <f>N3-N10</f>
        <v/>
      </c>
      <c r="O11" s="2" t="inlineStr">
        <is>
          <t>売上 − 原価合計</t>
        </is>
      </c>
      <c r="Q11" s="51" t="inlineStr">
        <is>
          <t>現場人件費(原価)</t>
        </is>
      </c>
      <c r="R11" s="52">
        <f>SUMIFS($F$3:$F$302,$E$3:$E$302,"現場人件費(原価)")</f>
        <v/>
      </c>
    </row>
    <row r="12">
      <c r="B12" s="44" t="n"/>
      <c r="C12" s="46" t="n"/>
      <c r="F12" s="45" t="n"/>
      <c r="Q12" s="51" t="inlineStr">
        <is>
          <t>固定給(販管費)</t>
        </is>
      </c>
      <c r="R12" s="52">
        <f>SUMIFS($F$3:$F$302,$E$3:$E$302,"固定給(販管費)")</f>
        <v/>
      </c>
    </row>
    <row r="13">
      <c r="B13" s="44" t="n"/>
      <c r="C13" s="46" t="n"/>
      <c r="F13" s="45" t="n"/>
      <c r="M13" s="49" t="inlineStr">
        <is>
          <t>経費合計（左の表）</t>
        </is>
      </c>
      <c r="N13" s="53">
        <f>SUM($F$3:$F$302)</f>
        <v/>
      </c>
      <c r="O13" s="2" t="inlineStr">
        <is>
          <t>左の経費入力表の金額合計</t>
        </is>
      </c>
      <c r="Q13" s="51" t="inlineStr">
        <is>
          <t>外注費</t>
        </is>
      </c>
      <c r="R13" s="52">
        <f>SUMIFS($F$3:$F$302,$E$3:$E$302,"外注費")</f>
        <v/>
      </c>
    </row>
    <row r="14">
      <c r="B14" s="44" t="n"/>
      <c r="C14" s="46" t="n"/>
      <c r="F14" s="45" t="n"/>
      <c r="M14" s="49" t="inlineStr">
        <is>
          <t>− 原価へ回した分</t>
        </is>
      </c>
      <c r="N14" s="53">
        <f>-(N8+N9)</f>
        <v/>
      </c>
      <c r="O14" s="2" t="inlineStr">
        <is>
          <t>外注費・現場人件費は原価で数えたので戻す</t>
        </is>
      </c>
      <c r="Q14" s="51" t="inlineStr">
        <is>
          <t>その他(備考へ)</t>
        </is>
      </c>
      <c r="R14" s="52">
        <f>SUMIFS($F$3:$F$302,$E$3:$E$302,"その他(備考へ)")</f>
        <v/>
      </c>
    </row>
    <row r="15">
      <c r="B15" s="44" t="n"/>
      <c r="C15" s="46" t="n"/>
      <c r="F15" s="45" t="n"/>
      <c r="M15" s="49" t="inlineStr">
        <is>
          <t>− 個別ロイ（下で計上）</t>
        </is>
      </c>
      <c r="N15" s="53">
        <f>-SUMIFS($F$3:$F$302,$E$3:$E$302,"個別ロイ")</f>
        <v/>
      </c>
      <c r="O15" s="2" t="inlineStr">
        <is>
          <t>★二重計上を防ぐため、ここで一度引く</t>
        </is>
      </c>
      <c r="Q15" s="13" t="inlineStr">
        <is>
          <t>合計</t>
        </is>
      </c>
      <c r="R15" s="54">
        <f>SUM(R4:R14)</f>
        <v/>
      </c>
    </row>
    <row r="16">
      <c r="B16" s="44" t="n"/>
      <c r="C16" s="46" t="n"/>
      <c r="F16" s="45" t="n"/>
      <c r="M16" s="49" t="inlineStr">
        <is>
          <t>ロイヤリティ 固定分</t>
        </is>
      </c>
      <c r="N16" s="53">
        <f>IF($N$3+$N$13=0,0,50050)</f>
        <v/>
      </c>
      <c r="O16" s="2" t="inlineStr">
        <is>
          <t>★50,050円。左の経費表には入力しないこと（まだ動いていない月は0）</t>
        </is>
      </c>
    </row>
    <row r="17">
      <c r="B17" s="44" t="n"/>
      <c r="C17" s="46" t="n"/>
      <c r="F17" s="45" t="n"/>
      <c r="M17" s="49" t="inlineStr">
        <is>
          <t>ロイヤリティ 38%分</t>
        </is>
      </c>
      <c r="N17" s="53">
        <f>SUMIFS('8月_売上顧客'!$L$5:$L$504,'8月_売上顧客'!$V$5:$V$504,"38%")*0.38</f>
        <v/>
      </c>
      <c r="O17" s="2" t="inlineStr">
        <is>
          <t>本舗ロイ区分＝38% の売上 × 38%</t>
        </is>
      </c>
    </row>
    <row r="18">
      <c r="B18" s="44" t="n"/>
      <c r="C18" s="46" t="n"/>
      <c r="F18" s="45" t="n"/>
      <c r="M18" s="49" t="inlineStr">
        <is>
          <t>ロイヤリティ 10%分</t>
        </is>
      </c>
      <c r="N18" s="53">
        <f>SUMIFS('8月_売上顧客'!$L$5:$L$504,'8月_売上顧客'!$V$5:$V$504,"10%")*0.1</f>
        <v/>
      </c>
      <c r="O18" s="2" t="inlineStr">
        <is>
          <t>本舗ロイ区分＝10% の売上 × 10%</t>
        </is>
      </c>
    </row>
    <row r="19">
      <c r="B19" s="44" t="n"/>
      <c r="C19" s="46" t="n"/>
      <c r="F19" s="45" t="n"/>
      <c r="M19" s="49" t="inlineStr">
        <is>
          <t>ロイヤリティ 個別実額</t>
        </is>
      </c>
      <c r="N19" s="53">
        <f>SUMIFS($F$3:$F$302,$E$3:$E$302,"個別ロイ")</f>
        <v/>
      </c>
      <c r="O19" s="2" t="inlineStr">
        <is>
          <t>経費表の科目＝個別ロイ（toB・楽ラクーン等）</t>
        </is>
      </c>
    </row>
    <row r="20">
      <c r="B20" s="44" t="n"/>
      <c r="C20" s="46" t="n"/>
      <c r="F20" s="45" t="n"/>
      <c r="M20" s="47" t="inlineStr">
        <is>
          <t>ロイヤリティ 合計</t>
        </is>
      </c>
      <c r="N20" s="48">
        <f>N16+N17+N18+N19</f>
        <v/>
      </c>
      <c r="O20" s="2" t="inlineStr">
        <is>
          <t>固定＋38%＋10%＋個別</t>
        </is>
      </c>
    </row>
    <row r="21">
      <c r="B21" s="44" t="n"/>
      <c r="C21" s="46" t="n"/>
      <c r="F21" s="45" t="n"/>
      <c r="M21" s="47" t="inlineStr">
        <is>
          <t>販売管理費</t>
        </is>
      </c>
      <c r="N21" s="48">
        <f>N13+N14+N15+N20</f>
        <v/>
      </c>
      <c r="O21" s="2" t="inlineStr">
        <is>
          <t>経費合計 − 原価分 − 個別ロイ ＋ ロイヤリティ合計</t>
        </is>
      </c>
    </row>
    <row r="22">
      <c r="B22" s="44" t="n"/>
      <c r="C22" s="46" t="n"/>
      <c r="F22" s="45" t="n"/>
      <c r="M22" s="47" t="inlineStr">
        <is>
          <t>営業利益</t>
        </is>
      </c>
      <c r="N22" s="48">
        <f>N11-N21</f>
        <v/>
      </c>
      <c r="O22" s="2" t="inlineStr">
        <is>
          <t>売上総利益 − 販売管理費</t>
        </is>
      </c>
    </row>
    <row r="23">
      <c r="B23" s="44" t="n"/>
      <c r="C23" s="46" t="n"/>
      <c r="F23" s="45" t="n"/>
      <c r="M23" s="49" t="inlineStr">
        <is>
          <t>融資返済</t>
        </is>
      </c>
      <c r="N23" s="53">
        <f>IF($N$3+$N$13=0,0,38059)</f>
        <v/>
      </c>
      <c r="O23" s="2" t="inlineStr">
        <is>
          <t>固定 38,059円（まだ動いていない月は0）</t>
        </is>
      </c>
    </row>
    <row r="24">
      <c r="B24" s="44" t="n"/>
      <c r="C24" s="46" t="n"/>
      <c r="F24" s="45" t="n"/>
      <c r="M24" s="47" t="inlineStr">
        <is>
          <t>経常利益</t>
        </is>
      </c>
      <c r="N24" s="48">
        <f>N22-N23</f>
        <v/>
      </c>
      <c r="O24" s="2" t="inlineStr">
        <is>
          <t>営業利益 − 融資返済</t>
        </is>
      </c>
    </row>
    <row r="25">
      <c r="B25" s="44" t="n"/>
      <c r="C25" s="46" t="n"/>
      <c r="F25" s="45" t="n"/>
    </row>
    <row r="26">
      <c r="B26" s="44" t="n"/>
      <c r="C26" s="46" t="n"/>
      <c r="F26" s="45" t="n"/>
      <c r="M26" s="49" t="inlineStr">
        <is>
          <t>経常利益率</t>
        </is>
      </c>
      <c r="N26" s="55">
        <f>IFERROR(N24/N3,0)</f>
        <v/>
      </c>
      <c r="O26" s="2" t="inlineStr">
        <is>
          <t>経常利益 ÷ 売上</t>
        </is>
      </c>
    </row>
    <row r="27">
      <c r="B27" s="44" t="n"/>
      <c r="C27" s="46" t="n"/>
      <c r="F27" s="45" t="n"/>
    </row>
    <row r="28">
      <c r="B28" s="44" t="n"/>
      <c r="C28" s="46" t="n"/>
      <c r="F28" s="45" t="n"/>
      <c r="M28" s="11" t="inlineStr">
        <is>
          <t>▼ 計画（中立）との比較</t>
        </is>
      </c>
    </row>
    <row r="29">
      <c r="B29" s="44" t="n"/>
      <c r="C29" s="46" t="n"/>
      <c r="F29" s="45" t="n"/>
      <c r="M29" s="51" t="inlineStr">
        <is>
          <t>計画 売上</t>
        </is>
      </c>
      <c r="N29" s="45" t="n">
        <v>1600000</v>
      </c>
      <c r="O29" s="2" t="inlineStr"/>
    </row>
    <row r="30">
      <c r="B30" s="44" t="n"/>
      <c r="C30" s="46" t="n"/>
      <c r="F30" s="45" t="n"/>
      <c r="M30" s="51" t="inlineStr">
        <is>
          <t>実績 − 計画（売上）</t>
        </is>
      </c>
      <c r="N30" s="45">
        <f>N3-N29</f>
        <v/>
      </c>
      <c r="O30" s="2" t="inlineStr">
        <is>
          <t>マイナスなら赤</t>
        </is>
      </c>
    </row>
    <row r="31">
      <c r="B31" s="44" t="n"/>
      <c r="C31" s="46" t="n"/>
      <c r="F31" s="45" t="n"/>
      <c r="M31" s="51" t="inlineStr">
        <is>
          <t>計画 経常利益</t>
        </is>
      </c>
      <c r="N31" s="45" t="n">
        <v>115573</v>
      </c>
      <c r="O31" s="2" t="inlineStr"/>
    </row>
    <row r="32">
      <c r="B32" s="44" t="n"/>
      <c r="C32" s="46" t="n"/>
      <c r="F32" s="45" t="n"/>
      <c r="M32" s="51" t="inlineStr">
        <is>
          <t>実績 − 計画（経常）</t>
        </is>
      </c>
      <c r="N32" s="45">
        <f>N24-N31</f>
        <v/>
      </c>
      <c r="O32" s="2" t="inlineStr">
        <is>
          <t>マイナスなら赤</t>
        </is>
      </c>
    </row>
    <row r="33">
      <c r="B33" s="44" t="n"/>
      <c r="C33" s="46" t="n"/>
      <c r="F33" s="45" t="n"/>
      <c r="M33" s="51" t="inlineStr">
        <is>
          <t>計画 件数</t>
        </is>
      </c>
      <c r="N33" s="56" t="n">
        <v>42</v>
      </c>
      <c r="O33" s="2" t="inlineStr"/>
    </row>
    <row r="34">
      <c r="B34" s="44" t="n"/>
      <c r="C34" s="46" t="n"/>
      <c r="F34" s="45" t="n"/>
      <c r="M34" s="51" t="inlineStr">
        <is>
          <t>実績 件数</t>
        </is>
      </c>
      <c r="N34" s="56">
        <f>'8月_売上顧客'!$E$4</f>
        <v/>
      </c>
      <c r="O34" s="2" t="inlineStr"/>
    </row>
    <row r="35">
      <c r="B35" s="44" t="n"/>
      <c r="C35" s="46" t="n"/>
      <c r="F35" s="45" t="n"/>
    </row>
    <row r="36">
      <c r="B36" s="44" t="n"/>
      <c r="C36" s="46" t="n"/>
      <c r="F36" s="45" t="n"/>
      <c r="M36" s="8" t="inlineStr">
        <is>
          <t>【ロイヤリティはこのP/Lだけで数えます】</t>
        </is>
      </c>
    </row>
    <row r="37">
      <c r="B37" s="44" t="n"/>
      <c r="C37" s="46" t="n"/>
      <c r="F37" s="45" t="n"/>
      <c r="M37" s="2" t="inlineStr">
        <is>
          <t xml:space="preserve">  ・固定分 50,050円は左の経費表に入力しないこと（2026年版はここが二重計上の疑いだった）</t>
        </is>
      </c>
    </row>
    <row r="38">
      <c r="B38" s="44" t="n"/>
      <c r="C38" s="46" t="n"/>
      <c r="F38" s="45" t="n"/>
      <c r="M38" s="2" t="inlineStr">
        <is>
          <t xml:space="preserve">  ・個別ロイは左の経費表に科目「個別ロイ」で入力する。P/Lは15行目で引いて19行目で足すので、数えるのは1回だけ</t>
        </is>
      </c>
    </row>
    <row r="39">
      <c r="B39" s="44" t="n"/>
      <c r="C39" s="46" t="n"/>
      <c r="F39" s="45" t="n"/>
      <c r="M39" s="8" t="inlineStr">
        <is>
          <t>【人件費は2つに分けます】</t>
        </is>
      </c>
    </row>
    <row r="40">
      <c r="B40" s="44" t="n"/>
      <c r="C40" s="46" t="n"/>
      <c r="F40" s="45" t="n"/>
      <c r="M40" s="2" t="inlineStr">
        <is>
          <t xml:space="preserve">  ・現場人件費(原価) … 現場に出た分。原価に入る</t>
        </is>
      </c>
    </row>
    <row r="41">
      <c r="B41" s="44" t="n"/>
      <c r="C41" s="46" t="n"/>
      <c r="F41" s="45" t="n"/>
      <c r="M41" s="2" t="inlineStr">
        <is>
          <t xml:space="preserve">  ・固定給(販管費) … 和真さんの固定給40万＋プール10万、新人の給与。販管費に入る</t>
        </is>
      </c>
    </row>
    <row r="42">
      <c r="B42" s="44" t="n"/>
      <c r="C42" s="46" t="n"/>
      <c r="F42" s="45" t="n"/>
      <c r="M42" s="2" t="inlineStr">
        <is>
          <t xml:space="preserve">  ・歩合（経常利益×45%）の行は2027年から使いません</t>
        </is>
      </c>
    </row>
    <row r="43">
      <c r="B43" s="44" t="n"/>
      <c r="C43" s="46" t="n"/>
      <c r="F43" s="45" t="n"/>
      <c r="M43" s="8" t="inlineStr">
        <is>
          <t>【保険料・通信費は「その他」に入れないこと】</t>
        </is>
      </c>
    </row>
    <row r="44">
      <c r="B44" s="44" t="n"/>
      <c r="C44" s="46" t="n"/>
      <c r="F44" s="45" t="n"/>
      <c r="M44" s="2" t="inlineStr">
        <is>
          <t xml:space="preserve">  ・賠償保険 43,760／通信費 8,470／日新火災 18,050 ＝ 月70,280円。科目を独立させました</t>
        </is>
      </c>
    </row>
    <row r="45">
      <c r="B45" s="44" t="n"/>
      <c r="C45" s="46" t="n"/>
      <c r="F45" s="45" t="n"/>
    </row>
    <row r="46">
      <c r="B46" s="44" t="n"/>
      <c r="C46" s="46" t="n"/>
      <c r="F46" s="45" t="n"/>
    </row>
    <row r="47">
      <c r="B47" s="44" t="n"/>
      <c r="C47" s="46" t="n"/>
      <c r="F47" s="45" t="n"/>
    </row>
    <row r="48">
      <c r="B48" s="44" t="n"/>
      <c r="C48" s="46" t="n"/>
      <c r="F48" s="45" t="n"/>
    </row>
    <row r="49">
      <c r="B49" s="44" t="n"/>
      <c r="C49" s="46" t="n"/>
      <c r="F49" s="45" t="n"/>
    </row>
    <row r="50">
      <c r="B50" s="44" t="n"/>
      <c r="C50" s="46" t="n"/>
      <c r="F50" s="45" t="n"/>
    </row>
    <row r="51">
      <c r="B51" s="44" t="n"/>
      <c r="C51" s="46" t="n"/>
      <c r="F51" s="45" t="n"/>
    </row>
    <row r="52">
      <c r="B52" s="44" t="n"/>
      <c r="C52" s="46" t="n"/>
      <c r="F52" s="45" t="n"/>
    </row>
    <row r="53">
      <c r="B53" s="44" t="n"/>
      <c r="C53" s="46" t="n"/>
      <c r="F53" s="45" t="n"/>
    </row>
    <row r="54">
      <c r="B54" s="44" t="n"/>
      <c r="C54" s="46" t="n"/>
      <c r="F54" s="45" t="n"/>
    </row>
    <row r="55">
      <c r="B55" s="44" t="n"/>
      <c r="C55" s="46" t="n"/>
      <c r="F55" s="45" t="n"/>
    </row>
    <row r="56">
      <c r="B56" s="44" t="n"/>
      <c r="C56" s="46" t="n"/>
      <c r="F56" s="45" t="n"/>
    </row>
    <row r="57">
      <c r="B57" s="44" t="n"/>
      <c r="C57" s="46" t="n"/>
      <c r="F57" s="45" t="n"/>
    </row>
    <row r="58">
      <c r="B58" s="44" t="n"/>
      <c r="C58" s="46" t="n"/>
      <c r="F58" s="45" t="n"/>
    </row>
    <row r="59">
      <c r="B59" s="44" t="n"/>
      <c r="C59" s="46" t="n"/>
      <c r="F59" s="45" t="n"/>
    </row>
    <row r="60">
      <c r="B60" s="44" t="n"/>
      <c r="C60" s="46" t="n"/>
      <c r="F60" s="45" t="n"/>
    </row>
    <row r="61">
      <c r="B61" s="44" t="n"/>
      <c r="C61" s="46" t="n"/>
      <c r="F61" s="45" t="n"/>
    </row>
    <row r="62">
      <c r="B62" s="44" t="n"/>
      <c r="C62" s="46" t="n"/>
      <c r="F62" s="45" t="n"/>
    </row>
    <row r="63">
      <c r="B63" s="44" t="n"/>
      <c r="C63" s="46" t="n"/>
      <c r="F63" s="45" t="n"/>
    </row>
    <row r="64">
      <c r="B64" s="44" t="n"/>
      <c r="C64" s="46" t="n"/>
      <c r="F64" s="45" t="n"/>
    </row>
    <row r="65">
      <c r="B65" s="44" t="n"/>
      <c r="C65" s="46" t="n"/>
      <c r="F65" s="45" t="n"/>
    </row>
    <row r="66">
      <c r="B66" s="44" t="n"/>
      <c r="C66" s="46" t="n"/>
      <c r="F66" s="45" t="n"/>
    </row>
    <row r="67">
      <c r="B67" s="44" t="n"/>
      <c r="C67" s="46" t="n"/>
      <c r="F67" s="45" t="n"/>
    </row>
    <row r="68">
      <c r="B68" s="44" t="n"/>
      <c r="C68" s="46" t="n"/>
      <c r="F68" s="45" t="n"/>
    </row>
    <row r="69">
      <c r="B69" s="44" t="n"/>
      <c r="C69" s="46" t="n"/>
      <c r="F69" s="45" t="n"/>
    </row>
    <row r="70">
      <c r="B70" s="44" t="n"/>
      <c r="C70" s="46" t="n"/>
      <c r="F70" s="45" t="n"/>
    </row>
    <row r="71">
      <c r="B71" s="44" t="n"/>
      <c r="C71" s="46" t="n"/>
      <c r="F71" s="45" t="n"/>
    </row>
    <row r="72">
      <c r="B72" s="44" t="n"/>
      <c r="C72" s="46" t="n"/>
      <c r="F72" s="45" t="n"/>
    </row>
    <row r="73">
      <c r="B73" s="44" t="n"/>
      <c r="C73" s="46" t="n"/>
      <c r="F73" s="45" t="n"/>
    </row>
    <row r="74">
      <c r="B74" s="44" t="n"/>
      <c r="C74" s="46" t="n"/>
      <c r="F74" s="45" t="n"/>
    </row>
    <row r="75">
      <c r="B75" s="44" t="n"/>
      <c r="C75" s="46" t="n"/>
      <c r="F75" s="45" t="n"/>
    </row>
    <row r="76">
      <c r="B76" s="44" t="n"/>
      <c r="C76" s="46" t="n"/>
      <c r="F76" s="45" t="n"/>
    </row>
    <row r="77">
      <c r="B77" s="44" t="n"/>
      <c r="C77" s="46" t="n"/>
      <c r="F77" s="45" t="n"/>
    </row>
    <row r="78">
      <c r="B78" s="44" t="n"/>
      <c r="C78" s="46" t="n"/>
      <c r="F78" s="45" t="n"/>
    </row>
    <row r="79">
      <c r="B79" s="44" t="n"/>
      <c r="C79" s="46" t="n"/>
      <c r="F79" s="45" t="n"/>
    </row>
    <row r="80">
      <c r="B80" s="44" t="n"/>
      <c r="C80" s="46" t="n"/>
      <c r="F80" s="45" t="n"/>
    </row>
    <row r="81">
      <c r="B81" s="44" t="n"/>
      <c r="C81" s="46" t="n"/>
      <c r="F81" s="45" t="n"/>
    </row>
    <row r="82">
      <c r="B82" s="44" t="n"/>
      <c r="C82" s="46" t="n"/>
      <c r="F82" s="45" t="n"/>
    </row>
    <row r="83">
      <c r="B83" s="44" t="n"/>
      <c r="C83" s="46" t="n"/>
      <c r="F83" s="45" t="n"/>
    </row>
    <row r="84">
      <c r="B84" s="44" t="n"/>
      <c r="C84" s="46" t="n"/>
      <c r="F84" s="45" t="n"/>
    </row>
    <row r="85">
      <c r="B85" s="44" t="n"/>
      <c r="C85" s="46" t="n"/>
      <c r="F85" s="45" t="n"/>
    </row>
    <row r="86">
      <c r="B86" s="44" t="n"/>
      <c r="C86" s="46" t="n"/>
      <c r="F86" s="45" t="n"/>
    </row>
    <row r="87">
      <c r="B87" s="44" t="n"/>
      <c r="C87" s="46" t="n"/>
      <c r="F87" s="45" t="n"/>
    </row>
    <row r="88">
      <c r="B88" s="44" t="n"/>
      <c r="C88" s="46" t="n"/>
      <c r="F88" s="45" t="n"/>
    </row>
    <row r="89">
      <c r="B89" s="44" t="n"/>
      <c r="C89" s="46" t="n"/>
      <c r="F89" s="45" t="n"/>
    </row>
    <row r="90">
      <c r="B90" s="44" t="n"/>
      <c r="C90" s="46" t="n"/>
      <c r="F90" s="45" t="n"/>
    </row>
    <row r="91">
      <c r="B91" s="44" t="n"/>
      <c r="C91" s="46" t="n"/>
      <c r="F91" s="45" t="n"/>
    </row>
    <row r="92">
      <c r="B92" s="44" t="n"/>
      <c r="C92" s="46" t="n"/>
      <c r="F92" s="45" t="n"/>
    </row>
    <row r="93">
      <c r="B93" s="44" t="n"/>
      <c r="C93" s="46" t="n"/>
      <c r="F93" s="45" t="n"/>
    </row>
    <row r="94">
      <c r="B94" s="44" t="n"/>
      <c r="C94" s="46" t="n"/>
      <c r="F94" s="45" t="n"/>
    </row>
    <row r="95">
      <c r="B95" s="44" t="n"/>
      <c r="C95" s="46" t="n"/>
      <c r="F95" s="45" t="n"/>
    </row>
    <row r="96">
      <c r="B96" s="44" t="n"/>
      <c r="C96" s="46" t="n"/>
      <c r="F96" s="45" t="n"/>
    </row>
    <row r="97">
      <c r="B97" s="44" t="n"/>
      <c r="C97" s="46" t="n"/>
      <c r="F97" s="45" t="n"/>
    </row>
    <row r="98">
      <c r="B98" s="44" t="n"/>
      <c r="C98" s="46" t="n"/>
      <c r="F98" s="45" t="n"/>
    </row>
    <row r="99">
      <c r="B99" s="44" t="n"/>
      <c r="C99" s="46" t="n"/>
      <c r="F99" s="45" t="n"/>
    </row>
    <row r="100">
      <c r="B100" s="44" t="n"/>
      <c r="C100" s="46" t="n"/>
      <c r="F100" s="45" t="n"/>
    </row>
    <row r="101">
      <c r="B101" s="44" t="n"/>
      <c r="C101" s="46" t="n"/>
      <c r="F101" s="45" t="n"/>
    </row>
    <row r="102">
      <c r="B102" s="44" t="n"/>
      <c r="C102" s="46" t="n"/>
      <c r="F102" s="45" t="n"/>
    </row>
    <row r="103">
      <c r="B103" s="44" t="n"/>
      <c r="C103" s="46" t="n"/>
      <c r="F103" s="45" t="n"/>
    </row>
    <row r="104">
      <c r="B104" s="44" t="n"/>
      <c r="C104" s="46" t="n"/>
      <c r="F104" s="45" t="n"/>
    </row>
    <row r="105">
      <c r="B105" s="44" t="n"/>
      <c r="C105" s="46" t="n"/>
      <c r="F105" s="45" t="n"/>
    </row>
    <row r="106">
      <c r="B106" s="44" t="n"/>
      <c r="C106" s="46" t="n"/>
      <c r="F106" s="45" t="n"/>
    </row>
    <row r="107">
      <c r="B107" s="44" t="n"/>
      <c r="C107" s="46" t="n"/>
      <c r="F107" s="45" t="n"/>
    </row>
    <row r="108">
      <c r="B108" s="44" t="n"/>
      <c r="C108" s="46" t="n"/>
      <c r="F108" s="45" t="n"/>
    </row>
    <row r="109">
      <c r="B109" s="44" t="n"/>
      <c r="C109" s="46" t="n"/>
      <c r="F109" s="45" t="n"/>
    </row>
    <row r="110">
      <c r="B110" s="44" t="n"/>
      <c r="C110" s="46" t="n"/>
      <c r="F110" s="45" t="n"/>
    </row>
    <row r="111">
      <c r="B111" s="44" t="n"/>
      <c r="C111" s="46" t="n"/>
      <c r="F111" s="45" t="n"/>
    </row>
    <row r="112">
      <c r="B112" s="44" t="n"/>
      <c r="C112" s="46" t="n"/>
      <c r="F112" s="45" t="n"/>
    </row>
    <row r="113">
      <c r="B113" s="44" t="n"/>
      <c r="C113" s="46" t="n"/>
      <c r="F113" s="45" t="n"/>
    </row>
    <row r="114">
      <c r="B114" s="44" t="n"/>
      <c r="C114" s="46" t="n"/>
      <c r="F114" s="45" t="n"/>
    </row>
    <row r="115">
      <c r="B115" s="44" t="n"/>
      <c r="C115" s="46" t="n"/>
      <c r="F115" s="45" t="n"/>
    </row>
    <row r="116">
      <c r="B116" s="44" t="n"/>
      <c r="C116" s="46" t="n"/>
      <c r="F116" s="45" t="n"/>
    </row>
    <row r="117">
      <c r="B117" s="44" t="n"/>
      <c r="C117" s="46" t="n"/>
      <c r="F117" s="45" t="n"/>
    </row>
    <row r="118">
      <c r="B118" s="44" t="n"/>
      <c r="C118" s="46" t="n"/>
      <c r="F118" s="45" t="n"/>
    </row>
    <row r="119">
      <c r="B119" s="44" t="n"/>
      <c r="C119" s="46" t="n"/>
      <c r="F119" s="45" t="n"/>
    </row>
    <row r="120">
      <c r="B120" s="44" t="n"/>
      <c r="C120" s="46" t="n"/>
      <c r="F120" s="45" t="n"/>
    </row>
    <row r="121">
      <c r="B121" s="44" t="n"/>
      <c r="C121" s="46" t="n"/>
      <c r="F121" s="45" t="n"/>
    </row>
    <row r="122">
      <c r="B122" s="44" t="n"/>
      <c r="C122" s="46" t="n"/>
      <c r="F122" s="45" t="n"/>
    </row>
    <row r="123">
      <c r="B123" s="44" t="n"/>
      <c r="C123" s="46" t="n"/>
      <c r="F123" s="45" t="n"/>
    </row>
    <row r="124">
      <c r="B124" s="44" t="n"/>
      <c r="C124" s="46" t="n"/>
      <c r="F124" s="45" t="n"/>
    </row>
    <row r="125">
      <c r="B125" s="44" t="n"/>
      <c r="C125" s="46" t="n"/>
      <c r="F125" s="45" t="n"/>
    </row>
    <row r="126">
      <c r="B126" s="44" t="n"/>
      <c r="C126" s="46" t="n"/>
      <c r="F126" s="45" t="n"/>
    </row>
    <row r="127">
      <c r="B127" s="44" t="n"/>
      <c r="C127" s="46" t="n"/>
      <c r="F127" s="45" t="n"/>
    </row>
    <row r="128">
      <c r="B128" s="44" t="n"/>
      <c r="C128" s="46" t="n"/>
      <c r="F128" s="45" t="n"/>
    </row>
    <row r="129">
      <c r="B129" s="44" t="n"/>
      <c r="C129" s="46" t="n"/>
      <c r="F129" s="45" t="n"/>
    </row>
    <row r="130">
      <c r="B130" s="44" t="n"/>
      <c r="C130" s="46" t="n"/>
      <c r="F130" s="45" t="n"/>
    </row>
    <row r="131">
      <c r="B131" s="44" t="n"/>
      <c r="C131" s="46" t="n"/>
      <c r="F131" s="45" t="n"/>
    </row>
    <row r="132">
      <c r="B132" s="44" t="n"/>
      <c r="C132" s="46" t="n"/>
      <c r="F132" s="45" t="n"/>
    </row>
    <row r="133">
      <c r="B133" s="44" t="n"/>
      <c r="C133" s="46" t="n"/>
      <c r="F133" s="45" t="n"/>
    </row>
    <row r="134">
      <c r="B134" s="44" t="n"/>
      <c r="C134" s="46" t="n"/>
      <c r="F134" s="45" t="n"/>
    </row>
    <row r="135">
      <c r="B135" s="44" t="n"/>
      <c r="C135" s="46" t="n"/>
      <c r="F135" s="45" t="n"/>
    </row>
    <row r="136">
      <c r="B136" s="44" t="n"/>
      <c r="C136" s="46" t="n"/>
      <c r="F136" s="45" t="n"/>
    </row>
    <row r="137">
      <c r="B137" s="44" t="n"/>
      <c r="C137" s="46" t="n"/>
      <c r="F137" s="45" t="n"/>
    </row>
    <row r="138">
      <c r="B138" s="44" t="n"/>
      <c r="C138" s="46" t="n"/>
      <c r="F138" s="45" t="n"/>
    </row>
    <row r="139">
      <c r="B139" s="44" t="n"/>
      <c r="C139" s="46" t="n"/>
      <c r="F139" s="45" t="n"/>
    </row>
    <row r="140">
      <c r="B140" s="44" t="n"/>
      <c r="C140" s="46" t="n"/>
      <c r="F140" s="45" t="n"/>
    </row>
    <row r="141">
      <c r="B141" s="44" t="n"/>
      <c r="C141" s="46" t="n"/>
      <c r="F141" s="45" t="n"/>
    </row>
    <row r="142">
      <c r="B142" s="44" t="n"/>
      <c r="C142" s="46" t="n"/>
      <c r="F142" s="45" t="n"/>
    </row>
    <row r="143">
      <c r="B143" s="44" t="n"/>
      <c r="C143" s="46" t="n"/>
      <c r="F143" s="45" t="n"/>
    </row>
    <row r="144">
      <c r="B144" s="44" t="n"/>
      <c r="C144" s="46" t="n"/>
      <c r="F144" s="45" t="n"/>
    </row>
    <row r="145">
      <c r="B145" s="44" t="n"/>
      <c r="C145" s="46" t="n"/>
      <c r="F145" s="45" t="n"/>
    </row>
    <row r="146">
      <c r="B146" s="44" t="n"/>
      <c r="C146" s="46" t="n"/>
      <c r="F146" s="45" t="n"/>
    </row>
    <row r="147">
      <c r="B147" s="44" t="n"/>
      <c r="C147" s="46" t="n"/>
      <c r="F147" s="45" t="n"/>
    </row>
    <row r="148">
      <c r="B148" s="44" t="n"/>
      <c r="C148" s="46" t="n"/>
      <c r="F148" s="45" t="n"/>
    </row>
    <row r="149">
      <c r="B149" s="44" t="n"/>
      <c r="C149" s="46" t="n"/>
      <c r="F149" s="45" t="n"/>
    </row>
    <row r="150">
      <c r="B150" s="44" t="n"/>
      <c r="C150" s="46" t="n"/>
      <c r="F150" s="45" t="n"/>
    </row>
    <row r="151">
      <c r="B151" s="44" t="n"/>
      <c r="C151" s="46" t="n"/>
      <c r="F151" s="45" t="n"/>
    </row>
    <row r="152">
      <c r="B152" s="44" t="n"/>
      <c r="C152" s="46" t="n"/>
      <c r="F152" s="45" t="n"/>
    </row>
    <row r="153">
      <c r="B153" s="44" t="n"/>
      <c r="C153" s="46" t="n"/>
      <c r="F153" s="45" t="n"/>
    </row>
    <row r="154">
      <c r="B154" s="44" t="n"/>
      <c r="C154" s="46" t="n"/>
      <c r="F154" s="45" t="n"/>
    </row>
    <row r="155">
      <c r="B155" s="44" t="n"/>
      <c r="C155" s="46" t="n"/>
      <c r="F155" s="45" t="n"/>
    </row>
    <row r="156">
      <c r="B156" s="44" t="n"/>
      <c r="C156" s="46" t="n"/>
      <c r="F156" s="45" t="n"/>
    </row>
    <row r="157">
      <c r="B157" s="44" t="n"/>
      <c r="C157" s="46" t="n"/>
      <c r="F157" s="45" t="n"/>
    </row>
    <row r="158">
      <c r="B158" s="44" t="n"/>
      <c r="C158" s="46" t="n"/>
      <c r="F158" s="45" t="n"/>
    </row>
    <row r="159">
      <c r="B159" s="44" t="n"/>
      <c r="C159" s="46" t="n"/>
      <c r="F159" s="45" t="n"/>
    </row>
    <row r="160">
      <c r="B160" s="44" t="n"/>
      <c r="C160" s="46" t="n"/>
      <c r="F160" s="45" t="n"/>
    </row>
    <row r="161">
      <c r="B161" s="44" t="n"/>
      <c r="C161" s="46" t="n"/>
      <c r="F161" s="45" t="n"/>
    </row>
    <row r="162">
      <c r="B162" s="44" t="n"/>
      <c r="C162" s="46" t="n"/>
      <c r="F162" s="45" t="n"/>
    </row>
    <row r="163">
      <c r="B163" s="44" t="n"/>
      <c r="C163" s="46" t="n"/>
      <c r="F163" s="45" t="n"/>
    </row>
    <row r="164">
      <c r="B164" s="44" t="n"/>
      <c r="C164" s="46" t="n"/>
      <c r="F164" s="45" t="n"/>
    </row>
    <row r="165">
      <c r="B165" s="44" t="n"/>
      <c r="C165" s="46" t="n"/>
      <c r="F165" s="45" t="n"/>
    </row>
    <row r="166">
      <c r="B166" s="44" t="n"/>
      <c r="C166" s="46" t="n"/>
      <c r="F166" s="45" t="n"/>
    </row>
    <row r="167">
      <c r="B167" s="44" t="n"/>
      <c r="C167" s="46" t="n"/>
      <c r="F167" s="45" t="n"/>
    </row>
    <row r="168">
      <c r="B168" s="44" t="n"/>
      <c r="C168" s="46" t="n"/>
      <c r="F168" s="45" t="n"/>
    </row>
    <row r="169">
      <c r="B169" s="44" t="n"/>
      <c r="C169" s="46" t="n"/>
      <c r="F169" s="45" t="n"/>
    </row>
    <row r="170">
      <c r="B170" s="44" t="n"/>
      <c r="C170" s="46" t="n"/>
      <c r="F170" s="45" t="n"/>
    </row>
    <row r="171">
      <c r="B171" s="44" t="n"/>
      <c r="C171" s="46" t="n"/>
      <c r="F171" s="45" t="n"/>
    </row>
    <row r="172">
      <c r="B172" s="44" t="n"/>
      <c r="C172" s="46" t="n"/>
      <c r="F172" s="45" t="n"/>
    </row>
    <row r="173">
      <c r="B173" s="44" t="n"/>
      <c r="C173" s="46" t="n"/>
      <c r="F173" s="45" t="n"/>
    </row>
    <row r="174">
      <c r="B174" s="44" t="n"/>
      <c r="C174" s="46" t="n"/>
      <c r="F174" s="45" t="n"/>
    </row>
    <row r="175">
      <c r="B175" s="44" t="n"/>
      <c r="C175" s="46" t="n"/>
      <c r="F175" s="45" t="n"/>
    </row>
    <row r="176">
      <c r="B176" s="44" t="n"/>
      <c r="C176" s="46" t="n"/>
      <c r="F176" s="45" t="n"/>
    </row>
    <row r="177">
      <c r="B177" s="44" t="n"/>
      <c r="C177" s="46" t="n"/>
      <c r="F177" s="45" t="n"/>
    </row>
    <row r="178">
      <c r="B178" s="44" t="n"/>
      <c r="C178" s="46" t="n"/>
      <c r="F178" s="45" t="n"/>
    </row>
    <row r="179">
      <c r="B179" s="44" t="n"/>
      <c r="C179" s="46" t="n"/>
      <c r="F179" s="45" t="n"/>
    </row>
    <row r="180">
      <c r="B180" s="44" t="n"/>
      <c r="C180" s="46" t="n"/>
      <c r="F180" s="45" t="n"/>
    </row>
    <row r="181">
      <c r="B181" s="44" t="n"/>
      <c r="C181" s="46" t="n"/>
      <c r="F181" s="45" t="n"/>
    </row>
    <row r="182">
      <c r="B182" s="44" t="n"/>
      <c r="C182" s="46" t="n"/>
      <c r="F182" s="45" t="n"/>
    </row>
    <row r="183">
      <c r="B183" s="44" t="n"/>
      <c r="C183" s="46" t="n"/>
      <c r="F183" s="45" t="n"/>
    </row>
    <row r="184">
      <c r="B184" s="44" t="n"/>
      <c r="C184" s="46" t="n"/>
      <c r="F184" s="45" t="n"/>
    </row>
    <row r="185">
      <c r="B185" s="44" t="n"/>
      <c r="C185" s="46" t="n"/>
      <c r="F185" s="45" t="n"/>
    </row>
    <row r="186">
      <c r="B186" s="44" t="n"/>
      <c r="C186" s="46" t="n"/>
      <c r="F186" s="45" t="n"/>
    </row>
    <row r="187">
      <c r="B187" s="44" t="n"/>
      <c r="C187" s="46" t="n"/>
      <c r="F187" s="45" t="n"/>
    </row>
    <row r="188">
      <c r="B188" s="44" t="n"/>
      <c r="C188" s="46" t="n"/>
      <c r="F188" s="45" t="n"/>
    </row>
    <row r="189">
      <c r="B189" s="44" t="n"/>
      <c r="C189" s="46" t="n"/>
      <c r="F189" s="45" t="n"/>
    </row>
    <row r="190">
      <c r="B190" s="44" t="n"/>
      <c r="C190" s="46" t="n"/>
      <c r="F190" s="45" t="n"/>
    </row>
    <row r="191">
      <c r="B191" s="44" t="n"/>
      <c r="C191" s="46" t="n"/>
      <c r="F191" s="45" t="n"/>
    </row>
    <row r="192">
      <c r="B192" s="44" t="n"/>
      <c r="C192" s="46" t="n"/>
      <c r="F192" s="45" t="n"/>
    </row>
    <row r="193">
      <c r="B193" s="44" t="n"/>
      <c r="C193" s="46" t="n"/>
      <c r="F193" s="45" t="n"/>
    </row>
    <row r="194">
      <c r="B194" s="44" t="n"/>
      <c r="C194" s="46" t="n"/>
      <c r="F194" s="45" t="n"/>
    </row>
    <row r="195">
      <c r="B195" s="44" t="n"/>
      <c r="C195" s="46" t="n"/>
      <c r="F195" s="45" t="n"/>
    </row>
    <row r="196">
      <c r="B196" s="44" t="n"/>
      <c r="C196" s="46" t="n"/>
      <c r="F196" s="45" t="n"/>
    </row>
    <row r="197">
      <c r="B197" s="44" t="n"/>
      <c r="C197" s="46" t="n"/>
      <c r="F197" s="45" t="n"/>
    </row>
    <row r="198">
      <c r="B198" s="44" t="n"/>
      <c r="C198" s="46" t="n"/>
      <c r="F198" s="45" t="n"/>
    </row>
    <row r="199">
      <c r="B199" s="44" t="n"/>
      <c r="C199" s="46" t="n"/>
      <c r="F199" s="45" t="n"/>
    </row>
    <row r="200">
      <c r="B200" s="44" t="n"/>
      <c r="C200" s="46" t="n"/>
      <c r="F200" s="45" t="n"/>
    </row>
    <row r="201">
      <c r="B201" s="44" t="n"/>
      <c r="C201" s="46" t="n"/>
      <c r="F201" s="45" t="n"/>
    </row>
    <row r="202">
      <c r="B202" s="44" t="n"/>
      <c r="C202" s="46" t="n"/>
      <c r="F202" s="45" t="n"/>
    </row>
    <row r="203">
      <c r="B203" s="44" t="n"/>
      <c r="C203" s="46" t="n"/>
      <c r="F203" s="45" t="n"/>
    </row>
    <row r="204">
      <c r="B204" s="44" t="n"/>
      <c r="C204" s="46" t="n"/>
      <c r="F204" s="45" t="n"/>
    </row>
    <row r="205">
      <c r="B205" s="44" t="n"/>
      <c r="C205" s="46" t="n"/>
      <c r="F205" s="45" t="n"/>
    </row>
    <row r="206">
      <c r="B206" s="44" t="n"/>
      <c r="C206" s="46" t="n"/>
      <c r="F206" s="45" t="n"/>
    </row>
    <row r="207">
      <c r="B207" s="44" t="n"/>
      <c r="C207" s="46" t="n"/>
      <c r="F207" s="45" t="n"/>
    </row>
    <row r="208">
      <c r="B208" s="44" t="n"/>
      <c r="C208" s="46" t="n"/>
      <c r="F208" s="45" t="n"/>
    </row>
    <row r="209">
      <c r="B209" s="44" t="n"/>
      <c r="C209" s="46" t="n"/>
      <c r="F209" s="45" t="n"/>
    </row>
    <row r="210">
      <c r="B210" s="44" t="n"/>
      <c r="C210" s="46" t="n"/>
      <c r="F210" s="45" t="n"/>
    </row>
    <row r="211">
      <c r="B211" s="44" t="n"/>
      <c r="C211" s="46" t="n"/>
      <c r="F211" s="45" t="n"/>
    </row>
    <row r="212">
      <c r="B212" s="44" t="n"/>
      <c r="C212" s="46" t="n"/>
      <c r="F212" s="45" t="n"/>
    </row>
    <row r="213">
      <c r="B213" s="44" t="n"/>
      <c r="C213" s="46" t="n"/>
      <c r="F213" s="45" t="n"/>
    </row>
    <row r="214">
      <c r="B214" s="44" t="n"/>
      <c r="C214" s="46" t="n"/>
      <c r="F214" s="45" t="n"/>
    </row>
    <row r="215">
      <c r="B215" s="44" t="n"/>
      <c r="C215" s="46" t="n"/>
      <c r="F215" s="45" t="n"/>
    </row>
    <row r="216">
      <c r="B216" s="44" t="n"/>
      <c r="C216" s="46" t="n"/>
      <c r="F216" s="45" t="n"/>
    </row>
    <row r="217">
      <c r="B217" s="44" t="n"/>
      <c r="C217" s="46" t="n"/>
      <c r="F217" s="45" t="n"/>
    </row>
    <row r="218">
      <c r="B218" s="44" t="n"/>
      <c r="C218" s="46" t="n"/>
      <c r="F218" s="45" t="n"/>
    </row>
    <row r="219">
      <c r="B219" s="44" t="n"/>
      <c r="C219" s="46" t="n"/>
      <c r="F219" s="45" t="n"/>
    </row>
    <row r="220">
      <c r="B220" s="44" t="n"/>
      <c r="C220" s="46" t="n"/>
      <c r="F220" s="45" t="n"/>
    </row>
    <row r="221">
      <c r="B221" s="44" t="n"/>
      <c r="C221" s="46" t="n"/>
      <c r="F221" s="45" t="n"/>
    </row>
    <row r="222">
      <c r="B222" s="44" t="n"/>
      <c r="C222" s="46" t="n"/>
      <c r="F222" s="45" t="n"/>
    </row>
    <row r="223">
      <c r="B223" s="44" t="n"/>
      <c r="C223" s="46" t="n"/>
      <c r="F223" s="45" t="n"/>
    </row>
    <row r="224">
      <c r="B224" s="44" t="n"/>
      <c r="C224" s="46" t="n"/>
      <c r="F224" s="45" t="n"/>
    </row>
    <row r="225">
      <c r="B225" s="44" t="n"/>
      <c r="C225" s="46" t="n"/>
      <c r="F225" s="45" t="n"/>
    </row>
    <row r="226">
      <c r="B226" s="44" t="n"/>
      <c r="C226" s="46" t="n"/>
      <c r="F226" s="45" t="n"/>
    </row>
    <row r="227">
      <c r="B227" s="44" t="n"/>
      <c r="C227" s="46" t="n"/>
      <c r="F227" s="45" t="n"/>
    </row>
    <row r="228">
      <c r="B228" s="44" t="n"/>
      <c r="C228" s="46" t="n"/>
      <c r="F228" s="45" t="n"/>
    </row>
    <row r="229">
      <c r="B229" s="44" t="n"/>
      <c r="C229" s="46" t="n"/>
      <c r="F229" s="45" t="n"/>
    </row>
    <row r="230">
      <c r="B230" s="44" t="n"/>
      <c r="C230" s="46" t="n"/>
      <c r="F230" s="45" t="n"/>
    </row>
    <row r="231">
      <c r="B231" s="44" t="n"/>
      <c r="C231" s="46" t="n"/>
      <c r="F231" s="45" t="n"/>
    </row>
    <row r="232">
      <c r="B232" s="44" t="n"/>
      <c r="C232" s="46" t="n"/>
      <c r="F232" s="45" t="n"/>
    </row>
    <row r="233">
      <c r="B233" s="44" t="n"/>
      <c r="C233" s="46" t="n"/>
      <c r="F233" s="45" t="n"/>
    </row>
    <row r="234">
      <c r="B234" s="44" t="n"/>
      <c r="C234" s="46" t="n"/>
      <c r="F234" s="45" t="n"/>
    </row>
    <row r="235">
      <c r="B235" s="44" t="n"/>
      <c r="C235" s="46" t="n"/>
      <c r="F235" s="45" t="n"/>
    </row>
    <row r="236">
      <c r="B236" s="44" t="n"/>
      <c r="C236" s="46" t="n"/>
      <c r="F236" s="45" t="n"/>
    </row>
    <row r="237">
      <c r="B237" s="44" t="n"/>
      <c r="C237" s="46" t="n"/>
      <c r="F237" s="45" t="n"/>
    </row>
    <row r="238">
      <c r="B238" s="44" t="n"/>
      <c r="C238" s="46" t="n"/>
      <c r="F238" s="45" t="n"/>
    </row>
    <row r="239">
      <c r="B239" s="44" t="n"/>
      <c r="C239" s="46" t="n"/>
      <c r="F239" s="45" t="n"/>
    </row>
    <row r="240">
      <c r="B240" s="44" t="n"/>
      <c r="C240" s="46" t="n"/>
      <c r="F240" s="45" t="n"/>
    </row>
    <row r="241">
      <c r="B241" s="44" t="n"/>
      <c r="C241" s="46" t="n"/>
      <c r="F241" s="45" t="n"/>
    </row>
    <row r="242">
      <c r="B242" s="44" t="n"/>
      <c r="C242" s="46" t="n"/>
      <c r="F242" s="45" t="n"/>
    </row>
    <row r="243">
      <c r="B243" s="44" t="n"/>
      <c r="C243" s="46" t="n"/>
      <c r="F243" s="45" t="n"/>
    </row>
    <row r="244">
      <c r="B244" s="44" t="n"/>
      <c r="C244" s="46" t="n"/>
      <c r="F244" s="45" t="n"/>
    </row>
    <row r="245">
      <c r="B245" s="44" t="n"/>
      <c r="C245" s="46" t="n"/>
      <c r="F245" s="45" t="n"/>
    </row>
    <row r="246">
      <c r="B246" s="44" t="n"/>
      <c r="C246" s="46" t="n"/>
      <c r="F246" s="45" t="n"/>
    </row>
    <row r="247">
      <c r="B247" s="44" t="n"/>
      <c r="C247" s="46" t="n"/>
      <c r="F247" s="45" t="n"/>
    </row>
    <row r="248">
      <c r="B248" s="44" t="n"/>
      <c r="C248" s="46" t="n"/>
      <c r="F248" s="45" t="n"/>
    </row>
    <row r="249">
      <c r="B249" s="44" t="n"/>
      <c r="C249" s="46" t="n"/>
      <c r="F249" s="45" t="n"/>
    </row>
    <row r="250">
      <c r="B250" s="44" t="n"/>
      <c r="C250" s="46" t="n"/>
      <c r="F250" s="45" t="n"/>
    </row>
    <row r="251">
      <c r="B251" s="44" t="n"/>
      <c r="C251" s="46" t="n"/>
      <c r="F251" s="45" t="n"/>
    </row>
    <row r="252">
      <c r="B252" s="44" t="n"/>
      <c r="C252" s="46" t="n"/>
      <c r="F252" s="45" t="n"/>
    </row>
    <row r="253">
      <c r="B253" s="44" t="n"/>
      <c r="C253" s="46" t="n"/>
      <c r="F253" s="45" t="n"/>
    </row>
    <row r="254">
      <c r="B254" s="44" t="n"/>
      <c r="C254" s="46" t="n"/>
      <c r="F254" s="45" t="n"/>
    </row>
    <row r="255">
      <c r="B255" s="44" t="n"/>
      <c r="C255" s="46" t="n"/>
      <c r="F255" s="45" t="n"/>
    </row>
    <row r="256">
      <c r="B256" s="44" t="n"/>
      <c r="C256" s="46" t="n"/>
      <c r="F256" s="45" t="n"/>
    </row>
    <row r="257">
      <c r="B257" s="44" t="n"/>
      <c r="C257" s="46" t="n"/>
      <c r="F257" s="45" t="n"/>
    </row>
    <row r="258">
      <c r="B258" s="44" t="n"/>
      <c r="C258" s="46" t="n"/>
      <c r="F258" s="45" t="n"/>
    </row>
    <row r="259">
      <c r="B259" s="44" t="n"/>
      <c r="C259" s="46" t="n"/>
      <c r="F259" s="45" t="n"/>
    </row>
    <row r="260">
      <c r="B260" s="44" t="n"/>
      <c r="C260" s="46" t="n"/>
      <c r="F260" s="45" t="n"/>
    </row>
    <row r="261">
      <c r="B261" s="44" t="n"/>
      <c r="C261" s="46" t="n"/>
      <c r="F261" s="45" t="n"/>
    </row>
    <row r="262">
      <c r="B262" s="44" t="n"/>
      <c r="C262" s="46" t="n"/>
      <c r="F262" s="45" t="n"/>
    </row>
    <row r="263">
      <c r="B263" s="44" t="n"/>
      <c r="C263" s="46" t="n"/>
      <c r="F263" s="45" t="n"/>
    </row>
    <row r="264">
      <c r="B264" s="44" t="n"/>
      <c r="C264" s="46" t="n"/>
      <c r="F264" s="45" t="n"/>
    </row>
    <row r="265">
      <c r="B265" s="44" t="n"/>
      <c r="C265" s="46" t="n"/>
      <c r="F265" s="45" t="n"/>
    </row>
    <row r="266">
      <c r="B266" s="44" t="n"/>
      <c r="C266" s="46" t="n"/>
      <c r="F266" s="45" t="n"/>
    </row>
    <row r="267">
      <c r="B267" s="44" t="n"/>
      <c r="C267" s="46" t="n"/>
      <c r="F267" s="45" t="n"/>
    </row>
    <row r="268">
      <c r="B268" s="44" t="n"/>
      <c r="C268" s="46" t="n"/>
      <c r="F268" s="45" t="n"/>
    </row>
    <row r="269">
      <c r="B269" s="44" t="n"/>
      <c r="C269" s="46" t="n"/>
      <c r="F269" s="45" t="n"/>
    </row>
    <row r="270">
      <c r="B270" s="44" t="n"/>
      <c r="C270" s="46" t="n"/>
      <c r="F270" s="45" t="n"/>
    </row>
    <row r="271">
      <c r="B271" s="44" t="n"/>
      <c r="C271" s="46" t="n"/>
      <c r="F271" s="45" t="n"/>
    </row>
    <row r="272">
      <c r="B272" s="44" t="n"/>
      <c r="C272" s="46" t="n"/>
      <c r="F272" s="45" t="n"/>
    </row>
    <row r="273">
      <c r="B273" s="44" t="n"/>
      <c r="C273" s="46" t="n"/>
      <c r="F273" s="45" t="n"/>
    </row>
    <row r="274">
      <c r="B274" s="44" t="n"/>
      <c r="C274" s="46" t="n"/>
      <c r="F274" s="45" t="n"/>
    </row>
    <row r="275">
      <c r="B275" s="44" t="n"/>
      <c r="C275" s="46" t="n"/>
      <c r="F275" s="45" t="n"/>
    </row>
    <row r="276">
      <c r="B276" s="44" t="n"/>
      <c r="C276" s="46" t="n"/>
      <c r="F276" s="45" t="n"/>
    </row>
    <row r="277">
      <c r="B277" s="44" t="n"/>
      <c r="C277" s="46" t="n"/>
      <c r="F277" s="45" t="n"/>
    </row>
    <row r="278">
      <c r="B278" s="44" t="n"/>
      <c r="C278" s="46" t="n"/>
      <c r="F278" s="45" t="n"/>
    </row>
    <row r="279">
      <c r="B279" s="44" t="n"/>
      <c r="C279" s="46" t="n"/>
      <c r="F279" s="45" t="n"/>
    </row>
    <row r="280">
      <c r="B280" s="44" t="n"/>
      <c r="C280" s="46" t="n"/>
      <c r="F280" s="45" t="n"/>
    </row>
    <row r="281">
      <c r="B281" s="44" t="n"/>
      <c r="C281" s="46" t="n"/>
      <c r="F281" s="45" t="n"/>
    </row>
    <row r="282">
      <c r="B282" s="44" t="n"/>
      <c r="C282" s="46" t="n"/>
      <c r="F282" s="45" t="n"/>
    </row>
    <row r="283">
      <c r="B283" s="44" t="n"/>
      <c r="C283" s="46" t="n"/>
      <c r="F283" s="45" t="n"/>
    </row>
    <row r="284">
      <c r="B284" s="44" t="n"/>
      <c r="C284" s="46" t="n"/>
      <c r="F284" s="45" t="n"/>
    </row>
    <row r="285">
      <c r="B285" s="44" t="n"/>
      <c r="C285" s="46" t="n"/>
      <c r="F285" s="45" t="n"/>
    </row>
    <row r="286">
      <c r="B286" s="44" t="n"/>
      <c r="C286" s="46" t="n"/>
      <c r="F286" s="45" t="n"/>
    </row>
    <row r="287">
      <c r="B287" s="44" t="n"/>
      <c r="C287" s="46" t="n"/>
      <c r="F287" s="45" t="n"/>
    </row>
    <row r="288">
      <c r="B288" s="44" t="n"/>
      <c r="C288" s="46" t="n"/>
      <c r="F288" s="45" t="n"/>
    </row>
    <row r="289">
      <c r="B289" s="44" t="n"/>
      <c r="C289" s="46" t="n"/>
      <c r="F289" s="45" t="n"/>
    </row>
    <row r="290">
      <c r="B290" s="44" t="n"/>
      <c r="C290" s="46" t="n"/>
      <c r="F290" s="45" t="n"/>
    </row>
    <row r="291">
      <c r="B291" s="44" t="n"/>
      <c r="C291" s="46" t="n"/>
      <c r="F291" s="45" t="n"/>
    </row>
    <row r="292">
      <c r="B292" s="44" t="n"/>
      <c r="C292" s="46" t="n"/>
      <c r="F292" s="45" t="n"/>
    </row>
    <row r="293">
      <c r="B293" s="44" t="n"/>
      <c r="C293" s="46" t="n"/>
      <c r="F293" s="45" t="n"/>
    </row>
    <row r="294">
      <c r="B294" s="44" t="n"/>
      <c r="C294" s="46" t="n"/>
      <c r="F294" s="45" t="n"/>
    </row>
    <row r="295">
      <c r="B295" s="44" t="n"/>
      <c r="C295" s="46" t="n"/>
      <c r="F295" s="45" t="n"/>
    </row>
    <row r="296">
      <c r="B296" s="44" t="n"/>
      <c r="C296" s="46" t="n"/>
      <c r="F296" s="45" t="n"/>
    </row>
    <row r="297">
      <c r="B297" s="44" t="n"/>
      <c r="C297" s="46" t="n"/>
      <c r="F297" s="45" t="n"/>
    </row>
    <row r="298">
      <c r="B298" s="44" t="n"/>
      <c r="C298" s="46" t="n"/>
      <c r="F298" s="45" t="n"/>
    </row>
    <row r="299">
      <c r="B299" s="44" t="n"/>
      <c r="C299" s="46" t="n"/>
      <c r="F299" s="45" t="n"/>
    </row>
    <row r="300">
      <c r="B300" s="44" t="n"/>
      <c r="C300" s="46" t="n"/>
      <c r="F300" s="45" t="n"/>
    </row>
    <row r="301">
      <c r="B301" s="44" t="n"/>
      <c r="C301" s="46" t="n"/>
      <c r="F301" s="45" t="n"/>
    </row>
    <row r="302">
      <c r="B302" s="44" t="n"/>
      <c r="C302" s="46" t="n"/>
      <c r="F302" s="45" t="n"/>
    </row>
  </sheetData>
  <conditionalFormatting sqref="N22">
    <cfRule type="cellIs" priority="1" operator="lessThan" dxfId="0">
      <formula>0</formula>
    </cfRule>
  </conditionalFormatting>
  <conditionalFormatting sqref="N24">
    <cfRule type="cellIs" priority="2" operator="lessThan" dxfId="0">
      <formula>0</formula>
    </cfRule>
    <cfRule type="cellIs" priority="3" operator="greaterThan" dxfId="1">
      <formula>0</formula>
    </cfRule>
  </conditionalFormatting>
  <conditionalFormatting sqref="N30">
    <cfRule type="expression" priority="4" dxfId="0">
      <formula>AND($N$3&gt;0,N30&lt;0)</formula>
    </cfRule>
    <cfRule type="expression" priority="5" dxfId="1">
      <formula>AND($N$3&gt;0,N30&gt;=0)</formula>
    </cfRule>
  </conditionalFormatting>
  <conditionalFormatting sqref="N32">
    <cfRule type="expression" priority="6" dxfId="0">
      <formula>AND($N$3&gt;0,N32&lt;0)</formula>
    </cfRule>
    <cfRule type="expression" priority="7" dxfId="1">
      <formula>AND($N$3&gt;0,N32&gt;=0)</formula>
    </cfRule>
  </conditionalFormatting>
  <dataValidations count="2">
    <dataValidation sqref="E3:E302" showDropDown="0" showInputMessage="0" showErrorMessage="0" allowBlank="1" type="list">
      <formula1>'選択肢マスター'!$K$2:$K$12</formula1>
    </dataValidation>
    <dataValidation sqref="H3:H302" showDropDown="0" showInputMessage="0" showErrorMessage="0" allowBlank="1" type="list">
      <formula1>'選択肢マスター'!$J$2:$J$3</formula1>
    </dataValidation>
  </dataValidations>
  <pageMargins left="0.75" right="0.75" top="1" bottom="1" header="0.5" footer="0.5"/>
</worksheet>
</file>

<file path=xl/worksheets/sheet23.xml><?xml version="1.0" encoding="utf-8"?>
<worksheet xmlns="http://schemas.openxmlformats.org/spreadsheetml/2006/main">
  <sheetPr>
    <tabColor rgb="00C55A11"/>
    <outlinePr summaryBelow="1" summaryRight="1"/>
    <pageSetUpPr/>
  </sheetPr>
  <dimension ref="A1:R302"/>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8" customWidth="1" min="3" max="3"/>
    <col width="26" customWidth="1" min="4" max="4"/>
    <col width="18" customWidth="1" min="5" max="5"/>
    <col width="12" customWidth="1" min="6" max="6"/>
    <col width="26" customWidth="1" min="7" max="7"/>
    <col width="11" customWidth="1" min="8" max="8"/>
    <col width="26" customWidth="1" min="13" max="13"/>
    <col width="15" customWidth="1" min="14" max="14"/>
    <col width="52" customWidth="1" min="15" max="15"/>
    <col width="20" customWidth="1" min="17" max="17"/>
    <col width="14" customWidth="1" min="18" max="18"/>
  </cols>
  <sheetData>
    <row r="1">
      <c r="A1" s="8" t="inlineStr">
        <is>
          <t>◆ 9月の経費入力。3行目から下へ足していってよい。右の月次P/Lは行が動かないので壊れない</t>
        </is>
      </c>
      <c r="M1" s="11" t="inlineStr">
        <is>
          <t>▼ 月次P/L（この位置は固定。左の経費表を何行足してもずれません）</t>
        </is>
      </c>
    </row>
    <row r="2" ht="30" customHeight="1">
      <c r="A2" s="3" t="inlineStr">
        <is>
          <t>No.</t>
        </is>
      </c>
      <c r="B2" s="3" t="inlineStr">
        <is>
          <t>日付</t>
        </is>
      </c>
      <c r="C2" s="3" t="inlineStr">
        <is>
          <t>時刻</t>
        </is>
      </c>
      <c r="D2" s="3" t="inlineStr">
        <is>
          <t>品目</t>
        </is>
      </c>
      <c r="E2" s="3" t="inlineStr">
        <is>
          <t>科目</t>
        </is>
      </c>
      <c r="F2" s="3" t="inlineStr">
        <is>
          <t>金額</t>
        </is>
      </c>
      <c r="G2" s="3" t="inlineStr">
        <is>
          <t>備考</t>
        </is>
      </c>
      <c r="H2" s="3" t="inlineStr">
        <is>
          <t>現金立替え</t>
        </is>
      </c>
      <c r="M2" s="3" t="inlineStr">
        <is>
          <t>項目</t>
        </is>
      </c>
      <c r="N2" s="3" t="inlineStr">
        <is>
          <t>金額</t>
        </is>
      </c>
      <c r="O2" s="3" t="inlineStr">
        <is>
          <t>計算の中身</t>
        </is>
      </c>
      <c r="Q2" s="11" t="inlineStr">
        <is>
          <t>▼ 科目別 集計</t>
        </is>
      </c>
    </row>
    <row r="3" ht="30" customHeight="1">
      <c r="B3" s="44" t="n"/>
      <c r="C3" s="46" t="n"/>
      <c r="F3" s="45" t="n"/>
      <c r="M3" s="47" t="inlineStr">
        <is>
          <t>売上</t>
        </is>
      </c>
      <c r="N3" s="48">
        <f>'9月_売上顧客'!$L$4</f>
        <v/>
      </c>
      <c r="O3" s="2" t="inlineStr">
        <is>
          <t>9月_売上顧客 の合計売上</t>
        </is>
      </c>
      <c r="Q3" s="3" t="inlineStr">
        <is>
          <t>科目</t>
        </is>
      </c>
      <c r="R3" s="3" t="inlineStr">
        <is>
          <t>金額</t>
        </is>
      </c>
    </row>
    <row r="4">
      <c r="B4" s="44" t="n"/>
      <c r="C4" s="46" t="n"/>
      <c r="F4" s="45" t="n"/>
      <c r="M4" s="49" t="inlineStr">
        <is>
          <t>エアコン台数(参考)</t>
        </is>
      </c>
      <c r="N4" s="50">
        <f>COUNTIFS('9月_売上顧客'!$M$5:$M$504,"エアコン(ノーマル)")+COUNTIFS('9月_売上顧客'!$M$5:$M$504,"エアコン(ロボ)")+COUNTIFS('9月_売上顧客'!$M$5:$M$504,"天カセ")+COUNTIFS('9月_売上顧客'!$M$5:$M$504,"業務用エアコン1方向")</f>
        <v/>
      </c>
      <c r="O4" s="2" t="inlineStr">
        <is>
          <t>エアコン(ノーマル/ロボ)・天カセ・業務用1方向</t>
        </is>
      </c>
      <c r="Q4" s="51" t="inlineStr">
        <is>
          <t>交通費</t>
        </is>
      </c>
      <c r="R4" s="52">
        <f>SUMIFS($F$3:$F$302,$E$3:$E$302,"交通費")</f>
        <v/>
      </c>
    </row>
    <row r="5">
      <c r="B5" s="44" t="n"/>
      <c r="C5" s="46" t="n"/>
      <c r="F5" s="45" t="n"/>
      <c r="M5" s="49" t="inlineStr">
        <is>
          <t>換気扇台数(参考)</t>
        </is>
      </c>
      <c r="N5" s="50">
        <f>COUNTIFS('9月_売上顧客'!$M$5:$M$504,"換気扇")</f>
        <v/>
      </c>
      <c r="O5" s="2" t="inlineStr">
        <is>
          <t>実施メニュー＝換気扇</t>
        </is>
      </c>
      <c r="Q5" s="51" t="inlineStr">
        <is>
          <t>保険料</t>
        </is>
      </c>
      <c r="R5" s="52">
        <f>SUMIFS($F$3:$F$302,$E$3:$E$302,"保険料")</f>
        <v/>
      </c>
    </row>
    <row r="6">
      <c r="B6" s="44" t="n"/>
      <c r="C6" s="46" t="n"/>
      <c r="F6" s="45" t="n"/>
      <c r="M6" s="49" t="inlineStr">
        <is>
          <t>浴室台数(参考)</t>
        </is>
      </c>
      <c r="N6" s="50">
        <f>COUNTIFS('9月_売上顧客'!$M$5:$M$504,"浴室")</f>
        <v/>
      </c>
      <c r="O6" s="2" t="inlineStr">
        <is>
          <t>実施メニュー＝浴室</t>
        </is>
      </c>
      <c r="Q6" s="51" t="inlineStr">
        <is>
          <t>通信費</t>
        </is>
      </c>
      <c r="R6" s="52">
        <f>SUMIFS($F$3:$F$302,$E$3:$E$302,"通信費")</f>
        <v/>
      </c>
    </row>
    <row r="7">
      <c r="B7" s="44" t="n"/>
      <c r="C7" s="46" t="n"/>
      <c r="F7" s="45" t="n"/>
      <c r="M7" s="49" t="inlineStr">
        <is>
          <t>資材費</t>
        </is>
      </c>
      <c r="N7" s="53">
        <f>N4*373+N5*176+N6*149</f>
        <v/>
      </c>
      <c r="O7" s="2" t="inlineStr">
        <is>
          <t>エアコン373 + 換気扇176 + 浴室149</t>
        </is>
      </c>
      <c r="Q7" s="51" t="inlineStr">
        <is>
          <t>広告費</t>
        </is>
      </c>
      <c r="R7" s="52">
        <f>SUMIFS($F$3:$F$302,$E$3:$E$302,"広告費")</f>
        <v/>
      </c>
    </row>
    <row r="8">
      <c r="B8" s="44" t="n"/>
      <c r="C8" s="46" t="n"/>
      <c r="F8" s="45" t="n"/>
      <c r="M8" s="49" t="inlineStr">
        <is>
          <t>外注費（協力業者）</t>
        </is>
      </c>
      <c r="N8" s="53">
        <f>SUMIFS($F$3:$F$302,$E$3:$E$302,"外注費")</f>
        <v/>
      </c>
      <c r="O8" s="2" t="inlineStr">
        <is>
          <t>経費表の科目＝外注費。★2027年から原価として独立</t>
        </is>
      </c>
      <c r="Q8" s="51" t="inlineStr">
        <is>
          <t>耐久品</t>
        </is>
      </c>
      <c r="R8" s="52">
        <f>SUMIFS($F$3:$F$302,$E$3:$E$302,"耐久品")</f>
        <v/>
      </c>
    </row>
    <row r="9">
      <c r="B9" s="44" t="n"/>
      <c r="C9" s="46" t="n"/>
      <c r="F9" s="45" t="n"/>
      <c r="M9" s="49" t="inlineStr">
        <is>
          <t>現場人件費（原価）</t>
        </is>
      </c>
      <c r="N9" s="53">
        <f>SUMIFS($F$3:$F$302,$E$3:$E$302,"現場人件費(原価)")</f>
        <v/>
      </c>
      <c r="O9" s="2" t="inlineStr">
        <is>
          <t>経費表の科目＝現場人件費(原価)</t>
        </is>
      </c>
      <c r="Q9" s="51" t="inlineStr">
        <is>
          <t>備品</t>
        </is>
      </c>
      <c r="R9" s="52">
        <f>SUMIFS($F$3:$F$302,$E$3:$E$302,"備品")</f>
        <v/>
      </c>
    </row>
    <row r="10">
      <c r="B10" s="44" t="n"/>
      <c r="C10" s="46" t="n"/>
      <c r="F10" s="45" t="n"/>
      <c r="M10" s="47" t="inlineStr">
        <is>
          <t>原価合計</t>
        </is>
      </c>
      <c r="N10" s="48">
        <f>N7+N8+N9</f>
        <v/>
      </c>
      <c r="O10" s="2" t="inlineStr">
        <is>
          <t>資材費＋外注費＋現場人件費</t>
        </is>
      </c>
      <c r="Q10" s="51" t="inlineStr">
        <is>
          <t>個別ロイ</t>
        </is>
      </c>
      <c r="R10" s="52">
        <f>SUMIFS($F$3:$F$302,$E$3:$E$302,"個別ロイ")</f>
        <v/>
      </c>
    </row>
    <row r="11">
      <c r="B11" s="44" t="n"/>
      <c r="C11" s="46" t="n"/>
      <c r="F11" s="45" t="n"/>
      <c r="M11" s="47" t="inlineStr">
        <is>
          <t>売上総利益</t>
        </is>
      </c>
      <c r="N11" s="48">
        <f>N3-N10</f>
        <v/>
      </c>
      <c r="O11" s="2" t="inlineStr">
        <is>
          <t>売上 − 原価合計</t>
        </is>
      </c>
      <c r="Q11" s="51" t="inlineStr">
        <is>
          <t>現場人件費(原価)</t>
        </is>
      </c>
      <c r="R11" s="52">
        <f>SUMIFS($F$3:$F$302,$E$3:$E$302,"現場人件費(原価)")</f>
        <v/>
      </c>
    </row>
    <row r="12">
      <c r="B12" s="44" t="n"/>
      <c r="C12" s="46" t="n"/>
      <c r="F12" s="45" t="n"/>
      <c r="Q12" s="51" t="inlineStr">
        <is>
          <t>固定給(販管費)</t>
        </is>
      </c>
      <c r="R12" s="52">
        <f>SUMIFS($F$3:$F$302,$E$3:$E$302,"固定給(販管費)")</f>
        <v/>
      </c>
    </row>
    <row r="13">
      <c r="B13" s="44" t="n"/>
      <c r="C13" s="46" t="n"/>
      <c r="F13" s="45" t="n"/>
      <c r="M13" s="49" t="inlineStr">
        <is>
          <t>経費合計（左の表）</t>
        </is>
      </c>
      <c r="N13" s="53">
        <f>SUM($F$3:$F$302)</f>
        <v/>
      </c>
      <c r="O13" s="2" t="inlineStr">
        <is>
          <t>左の経費入力表の金額合計</t>
        </is>
      </c>
      <c r="Q13" s="51" t="inlineStr">
        <is>
          <t>外注費</t>
        </is>
      </c>
      <c r="R13" s="52">
        <f>SUMIFS($F$3:$F$302,$E$3:$E$302,"外注費")</f>
        <v/>
      </c>
    </row>
    <row r="14">
      <c r="B14" s="44" t="n"/>
      <c r="C14" s="46" t="n"/>
      <c r="F14" s="45" t="n"/>
      <c r="M14" s="49" t="inlineStr">
        <is>
          <t>− 原価へ回した分</t>
        </is>
      </c>
      <c r="N14" s="53">
        <f>-(N8+N9)</f>
        <v/>
      </c>
      <c r="O14" s="2" t="inlineStr">
        <is>
          <t>外注費・現場人件費は原価で数えたので戻す</t>
        </is>
      </c>
      <c r="Q14" s="51" t="inlineStr">
        <is>
          <t>その他(備考へ)</t>
        </is>
      </c>
      <c r="R14" s="52">
        <f>SUMIFS($F$3:$F$302,$E$3:$E$302,"その他(備考へ)")</f>
        <v/>
      </c>
    </row>
    <row r="15">
      <c r="B15" s="44" t="n"/>
      <c r="C15" s="46" t="n"/>
      <c r="F15" s="45" t="n"/>
      <c r="M15" s="49" t="inlineStr">
        <is>
          <t>− 個別ロイ（下で計上）</t>
        </is>
      </c>
      <c r="N15" s="53">
        <f>-SUMIFS($F$3:$F$302,$E$3:$E$302,"個別ロイ")</f>
        <v/>
      </c>
      <c r="O15" s="2" t="inlineStr">
        <is>
          <t>★二重計上を防ぐため、ここで一度引く</t>
        </is>
      </c>
      <c r="Q15" s="13" t="inlineStr">
        <is>
          <t>合計</t>
        </is>
      </c>
      <c r="R15" s="54">
        <f>SUM(R4:R14)</f>
        <v/>
      </c>
    </row>
    <row r="16">
      <c r="B16" s="44" t="n"/>
      <c r="C16" s="46" t="n"/>
      <c r="F16" s="45" t="n"/>
      <c r="M16" s="49" t="inlineStr">
        <is>
          <t>ロイヤリティ 固定分</t>
        </is>
      </c>
      <c r="N16" s="53">
        <f>IF($N$3+$N$13=0,0,50050)</f>
        <v/>
      </c>
      <c r="O16" s="2" t="inlineStr">
        <is>
          <t>★50,050円。左の経費表には入力しないこと（まだ動いていない月は0）</t>
        </is>
      </c>
    </row>
    <row r="17">
      <c r="B17" s="44" t="n"/>
      <c r="C17" s="46" t="n"/>
      <c r="F17" s="45" t="n"/>
      <c r="M17" s="49" t="inlineStr">
        <is>
          <t>ロイヤリティ 38%分</t>
        </is>
      </c>
      <c r="N17" s="53">
        <f>SUMIFS('9月_売上顧客'!$L$5:$L$504,'9月_売上顧客'!$V$5:$V$504,"38%")*0.38</f>
        <v/>
      </c>
      <c r="O17" s="2" t="inlineStr">
        <is>
          <t>本舗ロイ区分＝38% の売上 × 38%</t>
        </is>
      </c>
    </row>
    <row r="18">
      <c r="B18" s="44" t="n"/>
      <c r="C18" s="46" t="n"/>
      <c r="F18" s="45" t="n"/>
      <c r="M18" s="49" t="inlineStr">
        <is>
          <t>ロイヤリティ 10%分</t>
        </is>
      </c>
      <c r="N18" s="53">
        <f>SUMIFS('9月_売上顧客'!$L$5:$L$504,'9月_売上顧客'!$V$5:$V$504,"10%")*0.1</f>
        <v/>
      </c>
      <c r="O18" s="2" t="inlineStr">
        <is>
          <t>本舗ロイ区分＝10% の売上 × 10%</t>
        </is>
      </c>
    </row>
    <row r="19">
      <c r="B19" s="44" t="n"/>
      <c r="C19" s="46" t="n"/>
      <c r="F19" s="45" t="n"/>
      <c r="M19" s="49" t="inlineStr">
        <is>
          <t>ロイヤリティ 個別実額</t>
        </is>
      </c>
      <c r="N19" s="53">
        <f>SUMIFS($F$3:$F$302,$E$3:$E$302,"個別ロイ")</f>
        <v/>
      </c>
      <c r="O19" s="2" t="inlineStr">
        <is>
          <t>経費表の科目＝個別ロイ（toB・楽ラクーン等）</t>
        </is>
      </c>
    </row>
    <row r="20">
      <c r="B20" s="44" t="n"/>
      <c r="C20" s="46" t="n"/>
      <c r="F20" s="45" t="n"/>
      <c r="M20" s="47" t="inlineStr">
        <is>
          <t>ロイヤリティ 合計</t>
        </is>
      </c>
      <c r="N20" s="48">
        <f>N16+N17+N18+N19</f>
        <v/>
      </c>
      <c r="O20" s="2" t="inlineStr">
        <is>
          <t>固定＋38%＋10%＋個別</t>
        </is>
      </c>
    </row>
    <row r="21">
      <c r="B21" s="44" t="n"/>
      <c r="C21" s="46" t="n"/>
      <c r="F21" s="45" t="n"/>
      <c r="M21" s="47" t="inlineStr">
        <is>
          <t>販売管理費</t>
        </is>
      </c>
      <c r="N21" s="48">
        <f>N13+N14+N15+N20</f>
        <v/>
      </c>
      <c r="O21" s="2" t="inlineStr">
        <is>
          <t>経費合計 − 原価分 − 個別ロイ ＋ ロイヤリティ合計</t>
        </is>
      </c>
    </row>
    <row r="22">
      <c r="B22" s="44" t="n"/>
      <c r="C22" s="46" t="n"/>
      <c r="F22" s="45" t="n"/>
      <c r="M22" s="47" t="inlineStr">
        <is>
          <t>営業利益</t>
        </is>
      </c>
      <c r="N22" s="48">
        <f>N11-N21</f>
        <v/>
      </c>
      <c r="O22" s="2" t="inlineStr">
        <is>
          <t>売上総利益 − 販売管理費</t>
        </is>
      </c>
    </row>
    <row r="23">
      <c r="B23" s="44" t="n"/>
      <c r="C23" s="46" t="n"/>
      <c r="F23" s="45" t="n"/>
      <c r="M23" s="49" t="inlineStr">
        <is>
          <t>融資返済</t>
        </is>
      </c>
      <c r="N23" s="53">
        <f>IF($N$3+$N$13=0,0,38059)</f>
        <v/>
      </c>
      <c r="O23" s="2" t="inlineStr">
        <is>
          <t>固定 38,059円（まだ動いていない月は0）</t>
        </is>
      </c>
    </row>
    <row r="24">
      <c r="B24" s="44" t="n"/>
      <c r="C24" s="46" t="n"/>
      <c r="F24" s="45" t="n"/>
      <c r="M24" s="47" t="inlineStr">
        <is>
          <t>経常利益</t>
        </is>
      </c>
      <c r="N24" s="48">
        <f>N22-N23</f>
        <v/>
      </c>
      <c r="O24" s="2" t="inlineStr">
        <is>
          <t>営業利益 − 融資返済</t>
        </is>
      </c>
    </row>
    <row r="25">
      <c r="B25" s="44" t="n"/>
      <c r="C25" s="46" t="n"/>
      <c r="F25" s="45" t="n"/>
    </row>
    <row r="26">
      <c r="B26" s="44" t="n"/>
      <c r="C26" s="46" t="n"/>
      <c r="F26" s="45" t="n"/>
      <c r="M26" s="49" t="inlineStr">
        <is>
          <t>経常利益率</t>
        </is>
      </c>
      <c r="N26" s="55">
        <f>IFERROR(N24/N3,0)</f>
        <v/>
      </c>
      <c r="O26" s="2" t="inlineStr">
        <is>
          <t>経常利益 ÷ 売上</t>
        </is>
      </c>
    </row>
    <row r="27">
      <c r="B27" s="44" t="n"/>
      <c r="C27" s="46" t="n"/>
      <c r="F27" s="45" t="n"/>
    </row>
    <row r="28">
      <c r="B28" s="44" t="n"/>
      <c r="C28" s="46" t="n"/>
      <c r="F28" s="45" t="n"/>
      <c r="M28" s="11" t="inlineStr">
        <is>
          <t>▼ 計画（中立）との比較</t>
        </is>
      </c>
    </row>
    <row r="29">
      <c r="B29" s="44" t="n"/>
      <c r="C29" s="46" t="n"/>
      <c r="F29" s="45" t="n"/>
      <c r="M29" s="51" t="inlineStr">
        <is>
          <t>計画 売上</t>
        </is>
      </c>
      <c r="N29" s="45" t="n">
        <v>1800000</v>
      </c>
      <c r="O29" s="2" t="inlineStr"/>
    </row>
    <row r="30">
      <c r="B30" s="44" t="n"/>
      <c r="C30" s="46" t="n"/>
      <c r="F30" s="45" t="n"/>
      <c r="M30" s="51" t="inlineStr">
        <is>
          <t>実績 − 計画（売上）</t>
        </is>
      </c>
      <c r="N30" s="45">
        <f>N3-N29</f>
        <v/>
      </c>
      <c r="O30" s="2" t="inlineStr">
        <is>
          <t>マイナスなら赤</t>
        </is>
      </c>
    </row>
    <row r="31">
      <c r="B31" s="44" t="n"/>
      <c r="C31" s="46" t="n"/>
      <c r="F31" s="45" t="n"/>
      <c r="M31" s="51" t="inlineStr">
        <is>
          <t>計画 経常利益</t>
        </is>
      </c>
      <c r="N31" s="45" t="n">
        <v>231903</v>
      </c>
      <c r="O31" s="2" t="inlineStr"/>
    </row>
    <row r="32">
      <c r="B32" s="44" t="n"/>
      <c r="C32" s="46" t="n"/>
      <c r="F32" s="45" t="n"/>
      <c r="M32" s="51" t="inlineStr">
        <is>
          <t>実績 − 計画（経常）</t>
        </is>
      </c>
      <c r="N32" s="45">
        <f>N24-N31</f>
        <v/>
      </c>
      <c r="O32" s="2" t="inlineStr">
        <is>
          <t>マイナスなら赤</t>
        </is>
      </c>
    </row>
    <row r="33">
      <c r="B33" s="44" t="n"/>
      <c r="C33" s="46" t="n"/>
      <c r="F33" s="45" t="n"/>
      <c r="M33" s="51" t="inlineStr">
        <is>
          <t>計画 件数</t>
        </is>
      </c>
      <c r="N33" s="56" t="n">
        <v>46</v>
      </c>
      <c r="O33" s="2" t="inlineStr"/>
    </row>
    <row r="34">
      <c r="B34" s="44" t="n"/>
      <c r="C34" s="46" t="n"/>
      <c r="F34" s="45" t="n"/>
      <c r="M34" s="51" t="inlineStr">
        <is>
          <t>実績 件数</t>
        </is>
      </c>
      <c r="N34" s="56">
        <f>'9月_売上顧客'!$E$4</f>
        <v/>
      </c>
      <c r="O34" s="2" t="inlineStr"/>
    </row>
    <row r="35">
      <c r="B35" s="44" t="n"/>
      <c r="C35" s="46" t="n"/>
      <c r="F35" s="45" t="n"/>
    </row>
    <row r="36">
      <c r="B36" s="44" t="n"/>
      <c r="C36" s="46" t="n"/>
      <c r="F36" s="45" t="n"/>
      <c r="M36" s="8" t="inlineStr">
        <is>
          <t>【ロイヤリティはこのP/Lだけで数えます】</t>
        </is>
      </c>
    </row>
    <row r="37">
      <c r="B37" s="44" t="n"/>
      <c r="C37" s="46" t="n"/>
      <c r="F37" s="45" t="n"/>
      <c r="M37" s="2" t="inlineStr">
        <is>
          <t xml:space="preserve">  ・固定分 50,050円は左の経費表に入力しないこと（2026年版はここが二重計上の疑いだった）</t>
        </is>
      </c>
    </row>
    <row r="38">
      <c r="B38" s="44" t="n"/>
      <c r="C38" s="46" t="n"/>
      <c r="F38" s="45" t="n"/>
      <c r="M38" s="2" t="inlineStr">
        <is>
          <t xml:space="preserve">  ・個別ロイは左の経費表に科目「個別ロイ」で入力する。P/Lは15行目で引いて19行目で足すので、数えるのは1回だけ</t>
        </is>
      </c>
    </row>
    <row r="39">
      <c r="B39" s="44" t="n"/>
      <c r="C39" s="46" t="n"/>
      <c r="F39" s="45" t="n"/>
      <c r="M39" s="8" t="inlineStr">
        <is>
          <t>【人件費は2つに分けます】</t>
        </is>
      </c>
    </row>
    <row r="40">
      <c r="B40" s="44" t="n"/>
      <c r="C40" s="46" t="n"/>
      <c r="F40" s="45" t="n"/>
      <c r="M40" s="2" t="inlineStr">
        <is>
          <t xml:space="preserve">  ・現場人件費(原価) … 現場に出た分。原価に入る</t>
        </is>
      </c>
    </row>
    <row r="41">
      <c r="B41" s="44" t="n"/>
      <c r="C41" s="46" t="n"/>
      <c r="F41" s="45" t="n"/>
      <c r="M41" s="2" t="inlineStr">
        <is>
          <t xml:space="preserve">  ・固定給(販管費) … 和真さんの固定給40万＋プール10万、新人の給与。販管費に入る</t>
        </is>
      </c>
    </row>
    <row r="42">
      <c r="B42" s="44" t="n"/>
      <c r="C42" s="46" t="n"/>
      <c r="F42" s="45" t="n"/>
      <c r="M42" s="2" t="inlineStr">
        <is>
          <t xml:space="preserve">  ・歩合（経常利益×45%）の行は2027年から使いません</t>
        </is>
      </c>
    </row>
    <row r="43">
      <c r="B43" s="44" t="n"/>
      <c r="C43" s="46" t="n"/>
      <c r="F43" s="45" t="n"/>
      <c r="M43" s="8" t="inlineStr">
        <is>
          <t>【保険料・通信費は「その他」に入れないこと】</t>
        </is>
      </c>
    </row>
    <row r="44">
      <c r="B44" s="44" t="n"/>
      <c r="C44" s="46" t="n"/>
      <c r="F44" s="45" t="n"/>
      <c r="M44" s="2" t="inlineStr">
        <is>
          <t xml:space="preserve">  ・賠償保険 43,760／通信費 8,470／日新火災 18,050 ＝ 月70,280円。科目を独立させました</t>
        </is>
      </c>
    </row>
    <row r="45">
      <c r="B45" s="44" t="n"/>
      <c r="C45" s="46" t="n"/>
      <c r="F45" s="45" t="n"/>
    </row>
    <row r="46">
      <c r="B46" s="44" t="n"/>
      <c r="C46" s="46" t="n"/>
      <c r="F46" s="45" t="n"/>
    </row>
    <row r="47">
      <c r="B47" s="44" t="n"/>
      <c r="C47" s="46" t="n"/>
      <c r="F47" s="45" t="n"/>
    </row>
    <row r="48">
      <c r="B48" s="44" t="n"/>
      <c r="C48" s="46" t="n"/>
      <c r="F48" s="45" t="n"/>
    </row>
    <row r="49">
      <c r="B49" s="44" t="n"/>
      <c r="C49" s="46" t="n"/>
      <c r="F49" s="45" t="n"/>
    </row>
    <row r="50">
      <c r="B50" s="44" t="n"/>
      <c r="C50" s="46" t="n"/>
      <c r="F50" s="45" t="n"/>
    </row>
    <row r="51">
      <c r="B51" s="44" t="n"/>
      <c r="C51" s="46" t="n"/>
      <c r="F51" s="45" t="n"/>
    </row>
    <row r="52">
      <c r="B52" s="44" t="n"/>
      <c r="C52" s="46" t="n"/>
      <c r="F52" s="45" t="n"/>
    </row>
    <row r="53">
      <c r="B53" s="44" t="n"/>
      <c r="C53" s="46" t="n"/>
      <c r="F53" s="45" t="n"/>
    </row>
    <row r="54">
      <c r="B54" s="44" t="n"/>
      <c r="C54" s="46" t="n"/>
      <c r="F54" s="45" t="n"/>
    </row>
    <row r="55">
      <c r="B55" s="44" t="n"/>
      <c r="C55" s="46" t="n"/>
      <c r="F55" s="45" t="n"/>
    </row>
    <row r="56">
      <c r="B56" s="44" t="n"/>
      <c r="C56" s="46" t="n"/>
      <c r="F56" s="45" t="n"/>
    </row>
    <row r="57">
      <c r="B57" s="44" t="n"/>
      <c r="C57" s="46" t="n"/>
      <c r="F57" s="45" t="n"/>
    </row>
    <row r="58">
      <c r="B58" s="44" t="n"/>
      <c r="C58" s="46" t="n"/>
      <c r="F58" s="45" t="n"/>
    </row>
    <row r="59">
      <c r="B59" s="44" t="n"/>
      <c r="C59" s="46" t="n"/>
      <c r="F59" s="45" t="n"/>
    </row>
    <row r="60">
      <c r="B60" s="44" t="n"/>
      <c r="C60" s="46" t="n"/>
      <c r="F60" s="45" t="n"/>
    </row>
    <row r="61">
      <c r="B61" s="44" t="n"/>
      <c r="C61" s="46" t="n"/>
      <c r="F61" s="45" t="n"/>
    </row>
    <row r="62">
      <c r="B62" s="44" t="n"/>
      <c r="C62" s="46" t="n"/>
      <c r="F62" s="45" t="n"/>
    </row>
    <row r="63">
      <c r="B63" s="44" t="n"/>
      <c r="C63" s="46" t="n"/>
      <c r="F63" s="45" t="n"/>
    </row>
    <row r="64">
      <c r="B64" s="44" t="n"/>
      <c r="C64" s="46" t="n"/>
      <c r="F64" s="45" t="n"/>
    </row>
    <row r="65">
      <c r="B65" s="44" t="n"/>
      <c r="C65" s="46" t="n"/>
      <c r="F65" s="45" t="n"/>
    </row>
    <row r="66">
      <c r="B66" s="44" t="n"/>
      <c r="C66" s="46" t="n"/>
      <c r="F66" s="45" t="n"/>
    </row>
    <row r="67">
      <c r="B67" s="44" t="n"/>
      <c r="C67" s="46" t="n"/>
      <c r="F67" s="45" t="n"/>
    </row>
    <row r="68">
      <c r="B68" s="44" t="n"/>
      <c r="C68" s="46" t="n"/>
      <c r="F68" s="45" t="n"/>
    </row>
    <row r="69">
      <c r="B69" s="44" t="n"/>
      <c r="C69" s="46" t="n"/>
      <c r="F69" s="45" t="n"/>
    </row>
    <row r="70">
      <c r="B70" s="44" t="n"/>
      <c r="C70" s="46" t="n"/>
      <c r="F70" s="45" t="n"/>
    </row>
    <row r="71">
      <c r="B71" s="44" t="n"/>
      <c r="C71" s="46" t="n"/>
      <c r="F71" s="45" t="n"/>
    </row>
    <row r="72">
      <c r="B72" s="44" t="n"/>
      <c r="C72" s="46" t="n"/>
      <c r="F72" s="45" t="n"/>
    </row>
    <row r="73">
      <c r="B73" s="44" t="n"/>
      <c r="C73" s="46" t="n"/>
      <c r="F73" s="45" t="n"/>
    </row>
    <row r="74">
      <c r="B74" s="44" t="n"/>
      <c r="C74" s="46" t="n"/>
      <c r="F74" s="45" t="n"/>
    </row>
    <row r="75">
      <c r="B75" s="44" t="n"/>
      <c r="C75" s="46" t="n"/>
      <c r="F75" s="45" t="n"/>
    </row>
    <row r="76">
      <c r="B76" s="44" t="n"/>
      <c r="C76" s="46" t="n"/>
      <c r="F76" s="45" t="n"/>
    </row>
    <row r="77">
      <c r="B77" s="44" t="n"/>
      <c r="C77" s="46" t="n"/>
      <c r="F77" s="45" t="n"/>
    </row>
    <row r="78">
      <c r="B78" s="44" t="n"/>
      <c r="C78" s="46" t="n"/>
      <c r="F78" s="45" t="n"/>
    </row>
    <row r="79">
      <c r="B79" s="44" t="n"/>
      <c r="C79" s="46" t="n"/>
      <c r="F79" s="45" t="n"/>
    </row>
    <row r="80">
      <c r="B80" s="44" t="n"/>
      <c r="C80" s="46" t="n"/>
      <c r="F80" s="45" t="n"/>
    </row>
    <row r="81">
      <c r="B81" s="44" t="n"/>
      <c r="C81" s="46" t="n"/>
      <c r="F81" s="45" t="n"/>
    </row>
    <row r="82">
      <c r="B82" s="44" t="n"/>
      <c r="C82" s="46" t="n"/>
      <c r="F82" s="45" t="n"/>
    </row>
    <row r="83">
      <c r="B83" s="44" t="n"/>
      <c r="C83" s="46" t="n"/>
      <c r="F83" s="45" t="n"/>
    </row>
    <row r="84">
      <c r="B84" s="44" t="n"/>
      <c r="C84" s="46" t="n"/>
      <c r="F84" s="45" t="n"/>
    </row>
    <row r="85">
      <c r="B85" s="44" t="n"/>
      <c r="C85" s="46" t="n"/>
      <c r="F85" s="45" t="n"/>
    </row>
    <row r="86">
      <c r="B86" s="44" t="n"/>
      <c r="C86" s="46" t="n"/>
      <c r="F86" s="45" t="n"/>
    </row>
    <row r="87">
      <c r="B87" s="44" t="n"/>
      <c r="C87" s="46" t="n"/>
      <c r="F87" s="45" t="n"/>
    </row>
    <row r="88">
      <c r="B88" s="44" t="n"/>
      <c r="C88" s="46" t="n"/>
      <c r="F88" s="45" t="n"/>
    </row>
    <row r="89">
      <c r="B89" s="44" t="n"/>
      <c r="C89" s="46" t="n"/>
      <c r="F89" s="45" t="n"/>
    </row>
    <row r="90">
      <c r="B90" s="44" t="n"/>
      <c r="C90" s="46" t="n"/>
      <c r="F90" s="45" t="n"/>
    </row>
    <row r="91">
      <c r="B91" s="44" t="n"/>
      <c r="C91" s="46" t="n"/>
      <c r="F91" s="45" t="n"/>
    </row>
    <row r="92">
      <c r="B92" s="44" t="n"/>
      <c r="C92" s="46" t="n"/>
      <c r="F92" s="45" t="n"/>
    </row>
    <row r="93">
      <c r="B93" s="44" t="n"/>
      <c r="C93" s="46" t="n"/>
      <c r="F93" s="45" t="n"/>
    </row>
    <row r="94">
      <c r="B94" s="44" t="n"/>
      <c r="C94" s="46" t="n"/>
      <c r="F94" s="45" t="n"/>
    </row>
    <row r="95">
      <c r="B95" s="44" t="n"/>
      <c r="C95" s="46" t="n"/>
      <c r="F95" s="45" t="n"/>
    </row>
    <row r="96">
      <c r="B96" s="44" t="n"/>
      <c r="C96" s="46" t="n"/>
      <c r="F96" s="45" t="n"/>
    </row>
    <row r="97">
      <c r="B97" s="44" t="n"/>
      <c r="C97" s="46" t="n"/>
      <c r="F97" s="45" t="n"/>
    </row>
    <row r="98">
      <c r="B98" s="44" t="n"/>
      <c r="C98" s="46" t="n"/>
      <c r="F98" s="45" t="n"/>
    </row>
    <row r="99">
      <c r="B99" s="44" t="n"/>
      <c r="C99" s="46" t="n"/>
      <c r="F99" s="45" t="n"/>
    </row>
    <row r="100">
      <c r="B100" s="44" t="n"/>
      <c r="C100" s="46" t="n"/>
      <c r="F100" s="45" t="n"/>
    </row>
    <row r="101">
      <c r="B101" s="44" t="n"/>
      <c r="C101" s="46" t="n"/>
      <c r="F101" s="45" t="n"/>
    </row>
    <row r="102">
      <c r="B102" s="44" t="n"/>
      <c r="C102" s="46" t="n"/>
      <c r="F102" s="45" t="n"/>
    </row>
    <row r="103">
      <c r="B103" s="44" t="n"/>
      <c r="C103" s="46" t="n"/>
      <c r="F103" s="45" t="n"/>
    </row>
    <row r="104">
      <c r="B104" s="44" t="n"/>
      <c r="C104" s="46" t="n"/>
      <c r="F104" s="45" t="n"/>
    </row>
    <row r="105">
      <c r="B105" s="44" t="n"/>
      <c r="C105" s="46" t="n"/>
      <c r="F105" s="45" t="n"/>
    </row>
    <row r="106">
      <c r="B106" s="44" t="n"/>
      <c r="C106" s="46" t="n"/>
      <c r="F106" s="45" t="n"/>
    </row>
    <row r="107">
      <c r="B107" s="44" t="n"/>
      <c r="C107" s="46" t="n"/>
      <c r="F107" s="45" t="n"/>
    </row>
    <row r="108">
      <c r="B108" s="44" t="n"/>
      <c r="C108" s="46" t="n"/>
      <c r="F108" s="45" t="n"/>
    </row>
    <row r="109">
      <c r="B109" s="44" t="n"/>
      <c r="C109" s="46" t="n"/>
      <c r="F109" s="45" t="n"/>
    </row>
    <row r="110">
      <c r="B110" s="44" t="n"/>
      <c r="C110" s="46" t="n"/>
      <c r="F110" s="45" t="n"/>
    </row>
    <row r="111">
      <c r="B111" s="44" t="n"/>
      <c r="C111" s="46" t="n"/>
      <c r="F111" s="45" t="n"/>
    </row>
    <row r="112">
      <c r="B112" s="44" t="n"/>
      <c r="C112" s="46" t="n"/>
      <c r="F112" s="45" t="n"/>
    </row>
    <row r="113">
      <c r="B113" s="44" t="n"/>
      <c r="C113" s="46" t="n"/>
      <c r="F113" s="45" t="n"/>
    </row>
    <row r="114">
      <c r="B114" s="44" t="n"/>
      <c r="C114" s="46" t="n"/>
      <c r="F114" s="45" t="n"/>
    </row>
    <row r="115">
      <c r="B115" s="44" t="n"/>
      <c r="C115" s="46" t="n"/>
      <c r="F115" s="45" t="n"/>
    </row>
    <row r="116">
      <c r="B116" s="44" t="n"/>
      <c r="C116" s="46" t="n"/>
      <c r="F116" s="45" t="n"/>
    </row>
    <row r="117">
      <c r="B117" s="44" t="n"/>
      <c r="C117" s="46" t="n"/>
      <c r="F117" s="45" t="n"/>
    </row>
    <row r="118">
      <c r="B118" s="44" t="n"/>
      <c r="C118" s="46" t="n"/>
      <c r="F118" s="45" t="n"/>
    </row>
    <row r="119">
      <c r="B119" s="44" t="n"/>
      <c r="C119" s="46" t="n"/>
      <c r="F119" s="45" t="n"/>
    </row>
    <row r="120">
      <c r="B120" s="44" t="n"/>
      <c r="C120" s="46" t="n"/>
      <c r="F120" s="45" t="n"/>
    </row>
    <row r="121">
      <c r="B121" s="44" t="n"/>
      <c r="C121" s="46" t="n"/>
      <c r="F121" s="45" t="n"/>
    </row>
    <row r="122">
      <c r="B122" s="44" t="n"/>
      <c r="C122" s="46" t="n"/>
      <c r="F122" s="45" t="n"/>
    </row>
    <row r="123">
      <c r="B123" s="44" t="n"/>
      <c r="C123" s="46" t="n"/>
      <c r="F123" s="45" t="n"/>
    </row>
    <row r="124">
      <c r="B124" s="44" t="n"/>
      <c r="C124" s="46" t="n"/>
      <c r="F124" s="45" t="n"/>
    </row>
    <row r="125">
      <c r="B125" s="44" t="n"/>
      <c r="C125" s="46" t="n"/>
      <c r="F125" s="45" t="n"/>
    </row>
    <row r="126">
      <c r="B126" s="44" t="n"/>
      <c r="C126" s="46" t="n"/>
      <c r="F126" s="45" t="n"/>
    </row>
    <row r="127">
      <c r="B127" s="44" t="n"/>
      <c r="C127" s="46" t="n"/>
      <c r="F127" s="45" t="n"/>
    </row>
    <row r="128">
      <c r="B128" s="44" t="n"/>
      <c r="C128" s="46" t="n"/>
      <c r="F128" s="45" t="n"/>
    </row>
    <row r="129">
      <c r="B129" s="44" t="n"/>
      <c r="C129" s="46" t="n"/>
      <c r="F129" s="45" t="n"/>
    </row>
    <row r="130">
      <c r="B130" s="44" t="n"/>
      <c r="C130" s="46" t="n"/>
      <c r="F130" s="45" t="n"/>
    </row>
    <row r="131">
      <c r="B131" s="44" t="n"/>
      <c r="C131" s="46" t="n"/>
      <c r="F131" s="45" t="n"/>
    </row>
    <row r="132">
      <c r="B132" s="44" t="n"/>
      <c r="C132" s="46" t="n"/>
      <c r="F132" s="45" t="n"/>
    </row>
    <row r="133">
      <c r="B133" s="44" t="n"/>
      <c r="C133" s="46" t="n"/>
      <c r="F133" s="45" t="n"/>
    </row>
    <row r="134">
      <c r="B134" s="44" t="n"/>
      <c r="C134" s="46" t="n"/>
      <c r="F134" s="45" t="n"/>
    </row>
    <row r="135">
      <c r="B135" s="44" t="n"/>
      <c r="C135" s="46" t="n"/>
      <c r="F135" s="45" t="n"/>
    </row>
    <row r="136">
      <c r="B136" s="44" t="n"/>
      <c r="C136" s="46" t="n"/>
      <c r="F136" s="45" t="n"/>
    </row>
    <row r="137">
      <c r="B137" s="44" t="n"/>
      <c r="C137" s="46" t="n"/>
      <c r="F137" s="45" t="n"/>
    </row>
    <row r="138">
      <c r="B138" s="44" t="n"/>
      <c r="C138" s="46" t="n"/>
      <c r="F138" s="45" t="n"/>
    </row>
    <row r="139">
      <c r="B139" s="44" t="n"/>
      <c r="C139" s="46" t="n"/>
      <c r="F139" s="45" t="n"/>
    </row>
    <row r="140">
      <c r="B140" s="44" t="n"/>
      <c r="C140" s="46" t="n"/>
      <c r="F140" s="45" t="n"/>
    </row>
    <row r="141">
      <c r="B141" s="44" t="n"/>
      <c r="C141" s="46" t="n"/>
      <c r="F141" s="45" t="n"/>
    </row>
    <row r="142">
      <c r="B142" s="44" t="n"/>
      <c r="C142" s="46" t="n"/>
      <c r="F142" s="45" t="n"/>
    </row>
    <row r="143">
      <c r="B143" s="44" t="n"/>
      <c r="C143" s="46" t="n"/>
      <c r="F143" s="45" t="n"/>
    </row>
    <row r="144">
      <c r="B144" s="44" t="n"/>
      <c r="C144" s="46" t="n"/>
      <c r="F144" s="45" t="n"/>
    </row>
    <row r="145">
      <c r="B145" s="44" t="n"/>
      <c r="C145" s="46" t="n"/>
      <c r="F145" s="45" t="n"/>
    </row>
    <row r="146">
      <c r="B146" s="44" t="n"/>
      <c r="C146" s="46" t="n"/>
      <c r="F146" s="45" t="n"/>
    </row>
    <row r="147">
      <c r="B147" s="44" t="n"/>
      <c r="C147" s="46" t="n"/>
      <c r="F147" s="45" t="n"/>
    </row>
    <row r="148">
      <c r="B148" s="44" t="n"/>
      <c r="C148" s="46" t="n"/>
      <c r="F148" s="45" t="n"/>
    </row>
    <row r="149">
      <c r="B149" s="44" t="n"/>
      <c r="C149" s="46" t="n"/>
      <c r="F149" s="45" t="n"/>
    </row>
    <row r="150">
      <c r="B150" s="44" t="n"/>
      <c r="C150" s="46" t="n"/>
      <c r="F150" s="45" t="n"/>
    </row>
    <row r="151">
      <c r="B151" s="44" t="n"/>
      <c r="C151" s="46" t="n"/>
      <c r="F151" s="45" t="n"/>
    </row>
    <row r="152">
      <c r="B152" s="44" t="n"/>
      <c r="C152" s="46" t="n"/>
      <c r="F152" s="45" t="n"/>
    </row>
    <row r="153">
      <c r="B153" s="44" t="n"/>
      <c r="C153" s="46" t="n"/>
      <c r="F153" s="45" t="n"/>
    </row>
    <row r="154">
      <c r="B154" s="44" t="n"/>
      <c r="C154" s="46" t="n"/>
      <c r="F154" s="45" t="n"/>
    </row>
    <row r="155">
      <c r="B155" s="44" t="n"/>
      <c r="C155" s="46" t="n"/>
      <c r="F155" s="45" t="n"/>
    </row>
    <row r="156">
      <c r="B156" s="44" t="n"/>
      <c r="C156" s="46" t="n"/>
      <c r="F156" s="45" t="n"/>
    </row>
    <row r="157">
      <c r="B157" s="44" t="n"/>
      <c r="C157" s="46" t="n"/>
      <c r="F157" s="45" t="n"/>
    </row>
    <row r="158">
      <c r="B158" s="44" t="n"/>
      <c r="C158" s="46" t="n"/>
      <c r="F158" s="45" t="n"/>
    </row>
    <row r="159">
      <c r="B159" s="44" t="n"/>
      <c r="C159" s="46" t="n"/>
      <c r="F159" s="45" t="n"/>
    </row>
    <row r="160">
      <c r="B160" s="44" t="n"/>
      <c r="C160" s="46" t="n"/>
      <c r="F160" s="45" t="n"/>
    </row>
    <row r="161">
      <c r="B161" s="44" t="n"/>
      <c r="C161" s="46" t="n"/>
      <c r="F161" s="45" t="n"/>
    </row>
    <row r="162">
      <c r="B162" s="44" t="n"/>
      <c r="C162" s="46" t="n"/>
      <c r="F162" s="45" t="n"/>
    </row>
    <row r="163">
      <c r="B163" s="44" t="n"/>
      <c r="C163" s="46" t="n"/>
      <c r="F163" s="45" t="n"/>
    </row>
    <row r="164">
      <c r="B164" s="44" t="n"/>
      <c r="C164" s="46" t="n"/>
      <c r="F164" s="45" t="n"/>
    </row>
    <row r="165">
      <c r="B165" s="44" t="n"/>
      <c r="C165" s="46" t="n"/>
      <c r="F165" s="45" t="n"/>
    </row>
    <row r="166">
      <c r="B166" s="44" t="n"/>
      <c r="C166" s="46" t="n"/>
      <c r="F166" s="45" t="n"/>
    </row>
    <row r="167">
      <c r="B167" s="44" t="n"/>
      <c r="C167" s="46" t="n"/>
      <c r="F167" s="45" t="n"/>
    </row>
    <row r="168">
      <c r="B168" s="44" t="n"/>
      <c r="C168" s="46" t="n"/>
      <c r="F168" s="45" t="n"/>
    </row>
    <row r="169">
      <c r="B169" s="44" t="n"/>
      <c r="C169" s="46" t="n"/>
      <c r="F169" s="45" t="n"/>
    </row>
    <row r="170">
      <c r="B170" s="44" t="n"/>
      <c r="C170" s="46" t="n"/>
      <c r="F170" s="45" t="n"/>
    </row>
    <row r="171">
      <c r="B171" s="44" t="n"/>
      <c r="C171" s="46" t="n"/>
      <c r="F171" s="45" t="n"/>
    </row>
    <row r="172">
      <c r="B172" s="44" t="n"/>
      <c r="C172" s="46" t="n"/>
      <c r="F172" s="45" t="n"/>
    </row>
    <row r="173">
      <c r="B173" s="44" t="n"/>
      <c r="C173" s="46" t="n"/>
      <c r="F173" s="45" t="n"/>
    </row>
    <row r="174">
      <c r="B174" s="44" t="n"/>
      <c r="C174" s="46" t="n"/>
      <c r="F174" s="45" t="n"/>
    </row>
    <row r="175">
      <c r="B175" s="44" t="n"/>
      <c r="C175" s="46" t="n"/>
      <c r="F175" s="45" t="n"/>
    </row>
    <row r="176">
      <c r="B176" s="44" t="n"/>
      <c r="C176" s="46" t="n"/>
      <c r="F176" s="45" t="n"/>
    </row>
    <row r="177">
      <c r="B177" s="44" t="n"/>
      <c r="C177" s="46" t="n"/>
      <c r="F177" s="45" t="n"/>
    </row>
    <row r="178">
      <c r="B178" s="44" t="n"/>
      <c r="C178" s="46" t="n"/>
      <c r="F178" s="45" t="n"/>
    </row>
    <row r="179">
      <c r="B179" s="44" t="n"/>
      <c r="C179" s="46" t="n"/>
      <c r="F179" s="45" t="n"/>
    </row>
    <row r="180">
      <c r="B180" s="44" t="n"/>
      <c r="C180" s="46" t="n"/>
      <c r="F180" s="45" t="n"/>
    </row>
    <row r="181">
      <c r="B181" s="44" t="n"/>
      <c r="C181" s="46" t="n"/>
      <c r="F181" s="45" t="n"/>
    </row>
    <row r="182">
      <c r="B182" s="44" t="n"/>
      <c r="C182" s="46" t="n"/>
      <c r="F182" s="45" t="n"/>
    </row>
    <row r="183">
      <c r="B183" s="44" t="n"/>
      <c r="C183" s="46" t="n"/>
      <c r="F183" s="45" t="n"/>
    </row>
    <row r="184">
      <c r="B184" s="44" t="n"/>
      <c r="C184" s="46" t="n"/>
      <c r="F184" s="45" t="n"/>
    </row>
    <row r="185">
      <c r="B185" s="44" t="n"/>
      <c r="C185" s="46" t="n"/>
      <c r="F185" s="45" t="n"/>
    </row>
    <row r="186">
      <c r="B186" s="44" t="n"/>
      <c r="C186" s="46" t="n"/>
      <c r="F186" s="45" t="n"/>
    </row>
    <row r="187">
      <c r="B187" s="44" t="n"/>
      <c r="C187" s="46" t="n"/>
      <c r="F187" s="45" t="n"/>
    </row>
    <row r="188">
      <c r="B188" s="44" t="n"/>
      <c r="C188" s="46" t="n"/>
      <c r="F188" s="45" t="n"/>
    </row>
    <row r="189">
      <c r="B189" s="44" t="n"/>
      <c r="C189" s="46" t="n"/>
      <c r="F189" s="45" t="n"/>
    </row>
    <row r="190">
      <c r="B190" s="44" t="n"/>
      <c r="C190" s="46" t="n"/>
      <c r="F190" s="45" t="n"/>
    </row>
    <row r="191">
      <c r="B191" s="44" t="n"/>
      <c r="C191" s="46" t="n"/>
      <c r="F191" s="45" t="n"/>
    </row>
    <row r="192">
      <c r="B192" s="44" t="n"/>
      <c r="C192" s="46" t="n"/>
      <c r="F192" s="45" t="n"/>
    </row>
    <row r="193">
      <c r="B193" s="44" t="n"/>
      <c r="C193" s="46" t="n"/>
      <c r="F193" s="45" t="n"/>
    </row>
    <row r="194">
      <c r="B194" s="44" t="n"/>
      <c r="C194" s="46" t="n"/>
      <c r="F194" s="45" t="n"/>
    </row>
    <row r="195">
      <c r="B195" s="44" t="n"/>
      <c r="C195" s="46" t="n"/>
      <c r="F195" s="45" t="n"/>
    </row>
    <row r="196">
      <c r="B196" s="44" t="n"/>
      <c r="C196" s="46" t="n"/>
      <c r="F196" s="45" t="n"/>
    </row>
    <row r="197">
      <c r="B197" s="44" t="n"/>
      <c r="C197" s="46" t="n"/>
      <c r="F197" s="45" t="n"/>
    </row>
    <row r="198">
      <c r="B198" s="44" t="n"/>
      <c r="C198" s="46" t="n"/>
      <c r="F198" s="45" t="n"/>
    </row>
    <row r="199">
      <c r="B199" s="44" t="n"/>
      <c r="C199" s="46" t="n"/>
      <c r="F199" s="45" t="n"/>
    </row>
    <row r="200">
      <c r="B200" s="44" t="n"/>
      <c r="C200" s="46" t="n"/>
      <c r="F200" s="45" t="n"/>
    </row>
    <row r="201">
      <c r="B201" s="44" t="n"/>
      <c r="C201" s="46" t="n"/>
      <c r="F201" s="45" t="n"/>
    </row>
    <row r="202">
      <c r="B202" s="44" t="n"/>
      <c r="C202" s="46" t="n"/>
      <c r="F202" s="45" t="n"/>
    </row>
    <row r="203">
      <c r="B203" s="44" t="n"/>
      <c r="C203" s="46" t="n"/>
      <c r="F203" s="45" t="n"/>
    </row>
    <row r="204">
      <c r="B204" s="44" t="n"/>
      <c r="C204" s="46" t="n"/>
      <c r="F204" s="45" t="n"/>
    </row>
    <row r="205">
      <c r="B205" s="44" t="n"/>
      <c r="C205" s="46" t="n"/>
      <c r="F205" s="45" t="n"/>
    </row>
    <row r="206">
      <c r="B206" s="44" t="n"/>
      <c r="C206" s="46" t="n"/>
      <c r="F206" s="45" t="n"/>
    </row>
    <row r="207">
      <c r="B207" s="44" t="n"/>
      <c r="C207" s="46" t="n"/>
      <c r="F207" s="45" t="n"/>
    </row>
    <row r="208">
      <c r="B208" s="44" t="n"/>
      <c r="C208" s="46" t="n"/>
      <c r="F208" s="45" t="n"/>
    </row>
    <row r="209">
      <c r="B209" s="44" t="n"/>
      <c r="C209" s="46" t="n"/>
      <c r="F209" s="45" t="n"/>
    </row>
    <row r="210">
      <c r="B210" s="44" t="n"/>
      <c r="C210" s="46" t="n"/>
      <c r="F210" s="45" t="n"/>
    </row>
    <row r="211">
      <c r="B211" s="44" t="n"/>
      <c r="C211" s="46" t="n"/>
      <c r="F211" s="45" t="n"/>
    </row>
    <row r="212">
      <c r="B212" s="44" t="n"/>
      <c r="C212" s="46" t="n"/>
      <c r="F212" s="45" t="n"/>
    </row>
    <row r="213">
      <c r="B213" s="44" t="n"/>
      <c r="C213" s="46" t="n"/>
      <c r="F213" s="45" t="n"/>
    </row>
    <row r="214">
      <c r="B214" s="44" t="n"/>
      <c r="C214" s="46" t="n"/>
      <c r="F214" s="45" t="n"/>
    </row>
    <row r="215">
      <c r="B215" s="44" t="n"/>
      <c r="C215" s="46" t="n"/>
      <c r="F215" s="45" t="n"/>
    </row>
    <row r="216">
      <c r="B216" s="44" t="n"/>
      <c r="C216" s="46" t="n"/>
      <c r="F216" s="45" t="n"/>
    </row>
    <row r="217">
      <c r="B217" s="44" t="n"/>
      <c r="C217" s="46" t="n"/>
      <c r="F217" s="45" t="n"/>
    </row>
    <row r="218">
      <c r="B218" s="44" t="n"/>
      <c r="C218" s="46" t="n"/>
      <c r="F218" s="45" t="n"/>
    </row>
    <row r="219">
      <c r="B219" s="44" t="n"/>
      <c r="C219" s="46" t="n"/>
      <c r="F219" s="45" t="n"/>
    </row>
    <row r="220">
      <c r="B220" s="44" t="n"/>
      <c r="C220" s="46" t="n"/>
      <c r="F220" s="45" t="n"/>
    </row>
    <row r="221">
      <c r="B221" s="44" t="n"/>
      <c r="C221" s="46" t="n"/>
      <c r="F221" s="45" t="n"/>
    </row>
    <row r="222">
      <c r="B222" s="44" t="n"/>
      <c r="C222" s="46" t="n"/>
      <c r="F222" s="45" t="n"/>
    </row>
    <row r="223">
      <c r="B223" s="44" t="n"/>
      <c r="C223" s="46" t="n"/>
      <c r="F223" s="45" t="n"/>
    </row>
    <row r="224">
      <c r="B224" s="44" t="n"/>
      <c r="C224" s="46" t="n"/>
      <c r="F224" s="45" t="n"/>
    </row>
    <row r="225">
      <c r="B225" s="44" t="n"/>
      <c r="C225" s="46" t="n"/>
      <c r="F225" s="45" t="n"/>
    </row>
    <row r="226">
      <c r="B226" s="44" t="n"/>
      <c r="C226" s="46" t="n"/>
      <c r="F226" s="45" t="n"/>
    </row>
    <row r="227">
      <c r="B227" s="44" t="n"/>
      <c r="C227" s="46" t="n"/>
      <c r="F227" s="45" t="n"/>
    </row>
    <row r="228">
      <c r="B228" s="44" t="n"/>
      <c r="C228" s="46" t="n"/>
      <c r="F228" s="45" t="n"/>
    </row>
    <row r="229">
      <c r="B229" s="44" t="n"/>
      <c r="C229" s="46" t="n"/>
      <c r="F229" s="45" t="n"/>
    </row>
    <row r="230">
      <c r="B230" s="44" t="n"/>
      <c r="C230" s="46" t="n"/>
      <c r="F230" s="45" t="n"/>
    </row>
    <row r="231">
      <c r="B231" s="44" t="n"/>
      <c r="C231" s="46" t="n"/>
      <c r="F231" s="45" t="n"/>
    </row>
    <row r="232">
      <c r="B232" s="44" t="n"/>
      <c r="C232" s="46" t="n"/>
      <c r="F232" s="45" t="n"/>
    </row>
    <row r="233">
      <c r="B233" s="44" t="n"/>
      <c r="C233" s="46" t="n"/>
      <c r="F233" s="45" t="n"/>
    </row>
    <row r="234">
      <c r="B234" s="44" t="n"/>
      <c r="C234" s="46" t="n"/>
      <c r="F234" s="45" t="n"/>
    </row>
    <row r="235">
      <c r="B235" s="44" t="n"/>
      <c r="C235" s="46" t="n"/>
      <c r="F235" s="45" t="n"/>
    </row>
    <row r="236">
      <c r="B236" s="44" t="n"/>
      <c r="C236" s="46" t="n"/>
      <c r="F236" s="45" t="n"/>
    </row>
    <row r="237">
      <c r="B237" s="44" t="n"/>
      <c r="C237" s="46" t="n"/>
      <c r="F237" s="45" t="n"/>
    </row>
    <row r="238">
      <c r="B238" s="44" t="n"/>
      <c r="C238" s="46" t="n"/>
      <c r="F238" s="45" t="n"/>
    </row>
    <row r="239">
      <c r="B239" s="44" t="n"/>
      <c r="C239" s="46" t="n"/>
      <c r="F239" s="45" t="n"/>
    </row>
    <row r="240">
      <c r="B240" s="44" t="n"/>
      <c r="C240" s="46" t="n"/>
      <c r="F240" s="45" t="n"/>
    </row>
    <row r="241">
      <c r="B241" s="44" t="n"/>
      <c r="C241" s="46" t="n"/>
      <c r="F241" s="45" t="n"/>
    </row>
    <row r="242">
      <c r="B242" s="44" t="n"/>
      <c r="C242" s="46" t="n"/>
      <c r="F242" s="45" t="n"/>
    </row>
    <row r="243">
      <c r="B243" s="44" t="n"/>
      <c r="C243" s="46" t="n"/>
      <c r="F243" s="45" t="n"/>
    </row>
    <row r="244">
      <c r="B244" s="44" t="n"/>
      <c r="C244" s="46" t="n"/>
      <c r="F244" s="45" t="n"/>
    </row>
    <row r="245">
      <c r="B245" s="44" t="n"/>
      <c r="C245" s="46" t="n"/>
      <c r="F245" s="45" t="n"/>
    </row>
    <row r="246">
      <c r="B246" s="44" t="n"/>
      <c r="C246" s="46" t="n"/>
      <c r="F246" s="45" t="n"/>
    </row>
    <row r="247">
      <c r="B247" s="44" t="n"/>
      <c r="C247" s="46" t="n"/>
      <c r="F247" s="45" t="n"/>
    </row>
    <row r="248">
      <c r="B248" s="44" t="n"/>
      <c r="C248" s="46" t="n"/>
      <c r="F248" s="45" t="n"/>
    </row>
    <row r="249">
      <c r="B249" s="44" t="n"/>
      <c r="C249" s="46" t="n"/>
      <c r="F249" s="45" t="n"/>
    </row>
    <row r="250">
      <c r="B250" s="44" t="n"/>
      <c r="C250" s="46" t="n"/>
      <c r="F250" s="45" t="n"/>
    </row>
    <row r="251">
      <c r="B251" s="44" t="n"/>
      <c r="C251" s="46" t="n"/>
      <c r="F251" s="45" t="n"/>
    </row>
    <row r="252">
      <c r="B252" s="44" t="n"/>
      <c r="C252" s="46" t="n"/>
      <c r="F252" s="45" t="n"/>
    </row>
    <row r="253">
      <c r="B253" s="44" t="n"/>
      <c r="C253" s="46" t="n"/>
      <c r="F253" s="45" t="n"/>
    </row>
    <row r="254">
      <c r="B254" s="44" t="n"/>
      <c r="C254" s="46" t="n"/>
      <c r="F254" s="45" t="n"/>
    </row>
    <row r="255">
      <c r="B255" s="44" t="n"/>
      <c r="C255" s="46" t="n"/>
      <c r="F255" s="45" t="n"/>
    </row>
    <row r="256">
      <c r="B256" s="44" t="n"/>
      <c r="C256" s="46" t="n"/>
      <c r="F256" s="45" t="n"/>
    </row>
    <row r="257">
      <c r="B257" s="44" t="n"/>
      <c r="C257" s="46" t="n"/>
      <c r="F257" s="45" t="n"/>
    </row>
    <row r="258">
      <c r="B258" s="44" t="n"/>
      <c r="C258" s="46" t="n"/>
      <c r="F258" s="45" t="n"/>
    </row>
    <row r="259">
      <c r="B259" s="44" t="n"/>
      <c r="C259" s="46" t="n"/>
      <c r="F259" s="45" t="n"/>
    </row>
    <row r="260">
      <c r="B260" s="44" t="n"/>
      <c r="C260" s="46" t="n"/>
      <c r="F260" s="45" t="n"/>
    </row>
    <row r="261">
      <c r="B261" s="44" t="n"/>
      <c r="C261" s="46" t="n"/>
      <c r="F261" s="45" t="n"/>
    </row>
    <row r="262">
      <c r="B262" s="44" t="n"/>
      <c r="C262" s="46" t="n"/>
      <c r="F262" s="45" t="n"/>
    </row>
    <row r="263">
      <c r="B263" s="44" t="n"/>
      <c r="C263" s="46" t="n"/>
      <c r="F263" s="45" t="n"/>
    </row>
    <row r="264">
      <c r="B264" s="44" t="n"/>
      <c r="C264" s="46" t="n"/>
      <c r="F264" s="45" t="n"/>
    </row>
    <row r="265">
      <c r="B265" s="44" t="n"/>
      <c r="C265" s="46" t="n"/>
      <c r="F265" s="45" t="n"/>
    </row>
    <row r="266">
      <c r="B266" s="44" t="n"/>
      <c r="C266" s="46" t="n"/>
      <c r="F266" s="45" t="n"/>
    </row>
    <row r="267">
      <c r="B267" s="44" t="n"/>
      <c r="C267" s="46" t="n"/>
      <c r="F267" s="45" t="n"/>
    </row>
    <row r="268">
      <c r="B268" s="44" t="n"/>
      <c r="C268" s="46" t="n"/>
      <c r="F268" s="45" t="n"/>
    </row>
    <row r="269">
      <c r="B269" s="44" t="n"/>
      <c r="C269" s="46" t="n"/>
      <c r="F269" s="45" t="n"/>
    </row>
    <row r="270">
      <c r="B270" s="44" t="n"/>
      <c r="C270" s="46" t="n"/>
      <c r="F270" s="45" t="n"/>
    </row>
    <row r="271">
      <c r="B271" s="44" t="n"/>
      <c r="C271" s="46" t="n"/>
      <c r="F271" s="45" t="n"/>
    </row>
    <row r="272">
      <c r="B272" s="44" t="n"/>
      <c r="C272" s="46" t="n"/>
      <c r="F272" s="45" t="n"/>
    </row>
    <row r="273">
      <c r="B273" s="44" t="n"/>
      <c r="C273" s="46" t="n"/>
      <c r="F273" s="45" t="n"/>
    </row>
    <row r="274">
      <c r="B274" s="44" t="n"/>
      <c r="C274" s="46" t="n"/>
      <c r="F274" s="45" t="n"/>
    </row>
    <row r="275">
      <c r="B275" s="44" t="n"/>
      <c r="C275" s="46" t="n"/>
      <c r="F275" s="45" t="n"/>
    </row>
    <row r="276">
      <c r="B276" s="44" t="n"/>
      <c r="C276" s="46" t="n"/>
      <c r="F276" s="45" t="n"/>
    </row>
    <row r="277">
      <c r="B277" s="44" t="n"/>
      <c r="C277" s="46" t="n"/>
      <c r="F277" s="45" t="n"/>
    </row>
    <row r="278">
      <c r="B278" s="44" t="n"/>
      <c r="C278" s="46" t="n"/>
      <c r="F278" s="45" t="n"/>
    </row>
    <row r="279">
      <c r="B279" s="44" t="n"/>
      <c r="C279" s="46" t="n"/>
      <c r="F279" s="45" t="n"/>
    </row>
    <row r="280">
      <c r="B280" s="44" t="n"/>
      <c r="C280" s="46" t="n"/>
      <c r="F280" s="45" t="n"/>
    </row>
    <row r="281">
      <c r="B281" s="44" t="n"/>
      <c r="C281" s="46" t="n"/>
      <c r="F281" s="45" t="n"/>
    </row>
    <row r="282">
      <c r="B282" s="44" t="n"/>
      <c r="C282" s="46" t="n"/>
      <c r="F282" s="45" t="n"/>
    </row>
    <row r="283">
      <c r="B283" s="44" t="n"/>
      <c r="C283" s="46" t="n"/>
      <c r="F283" s="45" t="n"/>
    </row>
    <row r="284">
      <c r="B284" s="44" t="n"/>
      <c r="C284" s="46" t="n"/>
      <c r="F284" s="45" t="n"/>
    </row>
    <row r="285">
      <c r="B285" s="44" t="n"/>
      <c r="C285" s="46" t="n"/>
      <c r="F285" s="45" t="n"/>
    </row>
    <row r="286">
      <c r="B286" s="44" t="n"/>
      <c r="C286" s="46" t="n"/>
      <c r="F286" s="45" t="n"/>
    </row>
    <row r="287">
      <c r="B287" s="44" t="n"/>
      <c r="C287" s="46" t="n"/>
      <c r="F287" s="45" t="n"/>
    </row>
    <row r="288">
      <c r="B288" s="44" t="n"/>
      <c r="C288" s="46" t="n"/>
      <c r="F288" s="45" t="n"/>
    </row>
    <row r="289">
      <c r="B289" s="44" t="n"/>
      <c r="C289" s="46" t="n"/>
      <c r="F289" s="45" t="n"/>
    </row>
    <row r="290">
      <c r="B290" s="44" t="n"/>
      <c r="C290" s="46" t="n"/>
      <c r="F290" s="45" t="n"/>
    </row>
    <row r="291">
      <c r="B291" s="44" t="n"/>
      <c r="C291" s="46" t="n"/>
      <c r="F291" s="45" t="n"/>
    </row>
    <row r="292">
      <c r="B292" s="44" t="n"/>
      <c r="C292" s="46" t="n"/>
      <c r="F292" s="45" t="n"/>
    </row>
    <row r="293">
      <c r="B293" s="44" t="n"/>
      <c r="C293" s="46" t="n"/>
      <c r="F293" s="45" t="n"/>
    </row>
    <row r="294">
      <c r="B294" s="44" t="n"/>
      <c r="C294" s="46" t="n"/>
      <c r="F294" s="45" t="n"/>
    </row>
    <row r="295">
      <c r="B295" s="44" t="n"/>
      <c r="C295" s="46" t="n"/>
      <c r="F295" s="45" t="n"/>
    </row>
    <row r="296">
      <c r="B296" s="44" t="n"/>
      <c r="C296" s="46" t="n"/>
      <c r="F296" s="45" t="n"/>
    </row>
    <row r="297">
      <c r="B297" s="44" t="n"/>
      <c r="C297" s="46" t="n"/>
      <c r="F297" s="45" t="n"/>
    </row>
    <row r="298">
      <c r="B298" s="44" t="n"/>
      <c r="C298" s="46" t="n"/>
      <c r="F298" s="45" t="n"/>
    </row>
    <row r="299">
      <c r="B299" s="44" t="n"/>
      <c r="C299" s="46" t="n"/>
      <c r="F299" s="45" t="n"/>
    </row>
    <row r="300">
      <c r="B300" s="44" t="n"/>
      <c r="C300" s="46" t="n"/>
      <c r="F300" s="45" t="n"/>
    </row>
    <row r="301">
      <c r="B301" s="44" t="n"/>
      <c r="C301" s="46" t="n"/>
      <c r="F301" s="45" t="n"/>
    </row>
    <row r="302">
      <c r="B302" s="44" t="n"/>
      <c r="C302" s="46" t="n"/>
      <c r="F302" s="45" t="n"/>
    </row>
  </sheetData>
  <conditionalFormatting sqref="N22">
    <cfRule type="cellIs" priority="1" operator="lessThan" dxfId="0">
      <formula>0</formula>
    </cfRule>
  </conditionalFormatting>
  <conditionalFormatting sqref="N24">
    <cfRule type="cellIs" priority="2" operator="lessThan" dxfId="0">
      <formula>0</formula>
    </cfRule>
    <cfRule type="cellIs" priority="3" operator="greaterThan" dxfId="1">
      <formula>0</formula>
    </cfRule>
  </conditionalFormatting>
  <conditionalFormatting sqref="N30">
    <cfRule type="expression" priority="4" dxfId="0">
      <formula>AND($N$3&gt;0,N30&lt;0)</formula>
    </cfRule>
    <cfRule type="expression" priority="5" dxfId="1">
      <formula>AND($N$3&gt;0,N30&gt;=0)</formula>
    </cfRule>
  </conditionalFormatting>
  <conditionalFormatting sqref="N32">
    <cfRule type="expression" priority="6" dxfId="0">
      <formula>AND($N$3&gt;0,N32&lt;0)</formula>
    </cfRule>
    <cfRule type="expression" priority="7" dxfId="1">
      <formula>AND($N$3&gt;0,N32&gt;=0)</formula>
    </cfRule>
  </conditionalFormatting>
  <dataValidations count="2">
    <dataValidation sqref="E3:E302" showDropDown="0" showInputMessage="0" showErrorMessage="0" allowBlank="1" type="list">
      <formula1>'選択肢マスター'!$K$2:$K$12</formula1>
    </dataValidation>
    <dataValidation sqref="H3:H302" showDropDown="0" showInputMessage="0" showErrorMessage="0" allowBlank="1" type="list">
      <formula1>'選択肢マスター'!$J$2:$J$3</formula1>
    </dataValidation>
  </dataValidations>
  <pageMargins left="0.75" right="0.75" top="1" bottom="1" header="0.5" footer="0.5"/>
</worksheet>
</file>

<file path=xl/worksheets/sheet24.xml><?xml version="1.0" encoding="utf-8"?>
<worksheet xmlns="http://schemas.openxmlformats.org/spreadsheetml/2006/main">
  <sheetPr>
    <tabColor rgb="00C55A11"/>
    <outlinePr summaryBelow="1" summaryRight="1"/>
    <pageSetUpPr/>
  </sheetPr>
  <dimension ref="A1:R302"/>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8" customWidth="1" min="3" max="3"/>
    <col width="26" customWidth="1" min="4" max="4"/>
    <col width="18" customWidth="1" min="5" max="5"/>
    <col width="12" customWidth="1" min="6" max="6"/>
    <col width="26" customWidth="1" min="7" max="7"/>
    <col width="11" customWidth="1" min="8" max="8"/>
    <col width="26" customWidth="1" min="13" max="13"/>
    <col width="15" customWidth="1" min="14" max="14"/>
    <col width="52" customWidth="1" min="15" max="15"/>
    <col width="20" customWidth="1" min="17" max="17"/>
    <col width="14" customWidth="1" min="18" max="18"/>
  </cols>
  <sheetData>
    <row r="1">
      <c r="A1" s="8" t="inlineStr">
        <is>
          <t>◆ 10月の経費入力。3行目から下へ足していってよい。右の月次P/Lは行が動かないので壊れない</t>
        </is>
      </c>
      <c r="M1" s="11" t="inlineStr">
        <is>
          <t>▼ 月次P/L（この位置は固定。左の経費表を何行足してもずれません）</t>
        </is>
      </c>
    </row>
    <row r="2" ht="30" customHeight="1">
      <c r="A2" s="3" t="inlineStr">
        <is>
          <t>No.</t>
        </is>
      </c>
      <c r="B2" s="3" t="inlineStr">
        <is>
          <t>日付</t>
        </is>
      </c>
      <c r="C2" s="3" t="inlineStr">
        <is>
          <t>時刻</t>
        </is>
      </c>
      <c r="D2" s="3" t="inlineStr">
        <is>
          <t>品目</t>
        </is>
      </c>
      <c r="E2" s="3" t="inlineStr">
        <is>
          <t>科目</t>
        </is>
      </c>
      <c r="F2" s="3" t="inlineStr">
        <is>
          <t>金額</t>
        </is>
      </c>
      <c r="G2" s="3" t="inlineStr">
        <is>
          <t>備考</t>
        </is>
      </c>
      <c r="H2" s="3" t="inlineStr">
        <is>
          <t>現金立替え</t>
        </is>
      </c>
      <c r="M2" s="3" t="inlineStr">
        <is>
          <t>項目</t>
        </is>
      </c>
      <c r="N2" s="3" t="inlineStr">
        <is>
          <t>金額</t>
        </is>
      </c>
      <c r="O2" s="3" t="inlineStr">
        <is>
          <t>計算の中身</t>
        </is>
      </c>
      <c r="Q2" s="11" t="inlineStr">
        <is>
          <t>▼ 科目別 集計</t>
        </is>
      </c>
    </row>
    <row r="3" ht="30" customHeight="1">
      <c r="B3" s="44" t="n"/>
      <c r="C3" s="46" t="n"/>
      <c r="F3" s="45" t="n"/>
      <c r="M3" s="47" t="inlineStr">
        <is>
          <t>売上</t>
        </is>
      </c>
      <c r="N3" s="48">
        <f>'10月_売上顧客'!$L$4</f>
        <v/>
      </c>
      <c r="O3" s="2" t="inlineStr">
        <is>
          <t>10月_売上顧客 の合計売上</t>
        </is>
      </c>
      <c r="Q3" s="3" t="inlineStr">
        <is>
          <t>科目</t>
        </is>
      </c>
      <c r="R3" s="3" t="inlineStr">
        <is>
          <t>金額</t>
        </is>
      </c>
    </row>
    <row r="4">
      <c r="B4" s="44" t="n"/>
      <c r="C4" s="46" t="n"/>
      <c r="F4" s="45" t="n"/>
      <c r="M4" s="49" t="inlineStr">
        <is>
          <t>エアコン台数(参考)</t>
        </is>
      </c>
      <c r="N4" s="50">
        <f>COUNTIFS('10月_売上顧客'!$M$5:$M$504,"エアコン(ノーマル)")+COUNTIFS('10月_売上顧客'!$M$5:$M$504,"エアコン(ロボ)")+COUNTIFS('10月_売上顧客'!$M$5:$M$504,"天カセ")+COUNTIFS('10月_売上顧客'!$M$5:$M$504,"業務用エアコン1方向")</f>
        <v/>
      </c>
      <c r="O4" s="2" t="inlineStr">
        <is>
          <t>エアコン(ノーマル/ロボ)・天カセ・業務用1方向</t>
        </is>
      </c>
      <c r="Q4" s="51" t="inlineStr">
        <is>
          <t>交通費</t>
        </is>
      </c>
      <c r="R4" s="52">
        <f>SUMIFS($F$3:$F$302,$E$3:$E$302,"交通費")</f>
        <v/>
      </c>
    </row>
    <row r="5">
      <c r="B5" s="44" t="n"/>
      <c r="C5" s="46" t="n"/>
      <c r="F5" s="45" t="n"/>
      <c r="M5" s="49" t="inlineStr">
        <is>
          <t>換気扇台数(参考)</t>
        </is>
      </c>
      <c r="N5" s="50">
        <f>COUNTIFS('10月_売上顧客'!$M$5:$M$504,"換気扇")</f>
        <v/>
      </c>
      <c r="O5" s="2" t="inlineStr">
        <is>
          <t>実施メニュー＝換気扇</t>
        </is>
      </c>
      <c r="Q5" s="51" t="inlineStr">
        <is>
          <t>保険料</t>
        </is>
      </c>
      <c r="R5" s="52">
        <f>SUMIFS($F$3:$F$302,$E$3:$E$302,"保険料")</f>
        <v/>
      </c>
    </row>
    <row r="6">
      <c r="B6" s="44" t="n"/>
      <c r="C6" s="46" t="n"/>
      <c r="F6" s="45" t="n"/>
      <c r="M6" s="49" t="inlineStr">
        <is>
          <t>浴室台数(参考)</t>
        </is>
      </c>
      <c r="N6" s="50">
        <f>COUNTIFS('10月_売上顧客'!$M$5:$M$504,"浴室")</f>
        <v/>
      </c>
      <c r="O6" s="2" t="inlineStr">
        <is>
          <t>実施メニュー＝浴室</t>
        </is>
      </c>
      <c r="Q6" s="51" t="inlineStr">
        <is>
          <t>通信費</t>
        </is>
      </c>
      <c r="R6" s="52">
        <f>SUMIFS($F$3:$F$302,$E$3:$E$302,"通信費")</f>
        <v/>
      </c>
    </row>
    <row r="7">
      <c r="B7" s="44" t="n"/>
      <c r="C7" s="46" t="n"/>
      <c r="F7" s="45" t="n"/>
      <c r="M7" s="49" t="inlineStr">
        <is>
          <t>資材費</t>
        </is>
      </c>
      <c r="N7" s="53">
        <f>N4*373+N5*176+N6*149</f>
        <v/>
      </c>
      <c r="O7" s="2" t="inlineStr">
        <is>
          <t>エアコン373 + 換気扇176 + 浴室149</t>
        </is>
      </c>
      <c r="Q7" s="51" t="inlineStr">
        <is>
          <t>広告費</t>
        </is>
      </c>
      <c r="R7" s="52">
        <f>SUMIFS($F$3:$F$302,$E$3:$E$302,"広告費")</f>
        <v/>
      </c>
    </row>
    <row r="8">
      <c r="B8" s="44" t="n"/>
      <c r="C8" s="46" t="n"/>
      <c r="F8" s="45" t="n"/>
      <c r="M8" s="49" t="inlineStr">
        <is>
          <t>外注費（協力業者）</t>
        </is>
      </c>
      <c r="N8" s="53">
        <f>SUMIFS($F$3:$F$302,$E$3:$E$302,"外注費")</f>
        <v/>
      </c>
      <c r="O8" s="2" t="inlineStr">
        <is>
          <t>経費表の科目＝外注費。★2027年から原価として独立</t>
        </is>
      </c>
      <c r="Q8" s="51" t="inlineStr">
        <is>
          <t>耐久品</t>
        </is>
      </c>
      <c r="R8" s="52">
        <f>SUMIFS($F$3:$F$302,$E$3:$E$302,"耐久品")</f>
        <v/>
      </c>
    </row>
    <row r="9">
      <c r="B9" s="44" t="n"/>
      <c r="C9" s="46" t="n"/>
      <c r="F9" s="45" t="n"/>
      <c r="M9" s="49" t="inlineStr">
        <is>
          <t>現場人件費（原価）</t>
        </is>
      </c>
      <c r="N9" s="53">
        <f>SUMIFS($F$3:$F$302,$E$3:$E$302,"現場人件費(原価)")</f>
        <v/>
      </c>
      <c r="O9" s="2" t="inlineStr">
        <is>
          <t>経費表の科目＝現場人件費(原価)</t>
        </is>
      </c>
      <c r="Q9" s="51" t="inlineStr">
        <is>
          <t>備品</t>
        </is>
      </c>
      <c r="R9" s="52">
        <f>SUMIFS($F$3:$F$302,$E$3:$E$302,"備品")</f>
        <v/>
      </c>
    </row>
    <row r="10">
      <c r="B10" s="44" t="n"/>
      <c r="C10" s="46" t="n"/>
      <c r="F10" s="45" t="n"/>
      <c r="M10" s="47" t="inlineStr">
        <is>
          <t>原価合計</t>
        </is>
      </c>
      <c r="N10" s="48">
        <f>N7+N8+N9</f>
        <v/>
      </c>
      <c r="O10" s="2" t="inlineStr">
        <is>
          <t>資材費＋外注費＋現場人件費</t>
        </is>
      </c>
      <c r="Q10" s="51" t="inlineStr">
        <is>
          <t>個別ロイ</t>
        </is>
      </c>
      <c r="R10" s="52">
        <f>SUMIFS($F$3:$F$302,$E$3:$E$302,"個別ロイ")</f>
        <v/>
      </c>
    </row>
    <row r="11">
      <c r="B11" s="44" t="n"/>
      <c r="C11" s="46" t="n"/>
      <c r="F11" s="45" t="n"/>
      <c r="M11" s="47" t="inlineStr">
        <is>
          <t>売上総利益</t>
        </is>
      </c>
      <c r="N11" s="48">
        <f>N3-N10</f>
        <v/>
      </c>
      <c r="O11" s="2" t="inlineStr">
        <is>
          <t>売上 − 原価合計</t>
        </is>
      </c>
      <c r="Q11" s="51" t="inlineStr">
        <is>
          <t>現場人件費(原価)</t>
        </is>
      </c>
      <c r="R11" s="52">
        <f>SUMIFS($F$3:$F$302,$E$3:$E$302,"現場人件費(原価)")</f>
        <v/>
      </c>
    </row>
    <row r="12">
      <c r="B12" s="44" t="n"/>
      <c r="C12" s="46" t="n"/>
      <c r="F12" s="45" t="n"/>
      <c r="Q12" s="51" t="inlineStr">
        <is>
          <t>固定給(販管費)</t>
        </is>
      </c>
      <c r="R12" s="52">
        <f>SUMIFS($F$3:$F$302,$E$3:$E$302,"固定給(販管費)")</f>
        <v/>
      </c>
    </row>
    <row r="13">
      <c r="B13" s="44" t="n"/>
      <c r="C13" s="46" t="n"/>
      <c r="F13" s="45" t="n"/>
      <c r="M13" s="49" t="inlineStr">
        <is>
          <t>経費合計（左の表）</t>
        </is>
      </c>
      <c r="N13" s="53">
        <f>SUM($F$3:$F$302)</f>
        <v/>
      </c>
      <c r="O13" s="2" t="inlineStr">
        <is>
          <t>左の経費入力表の金額合計</t>
        </is>
      </c>
      <c r="Q13" s="51" t="inlineStr">
        <is>
          <t>外注費</t>
        </is>
      </c>
      <c r="R13" s="52">
        <f>SUMIFS($F$3:$F$302,$E$3:$E$302,"外注費")</f>
        <v/>
      </c>
    </row>
    <row r="14">
      <c r="B14" s="44" t="n"/>
      <c r="C14" s="46" t="n"/>
      <c r="F14" s="45" t="n"/>
      <c r="M14" s="49" t="inlineStr">
        <is>
          <t>− 原価へ回した分</t>
        </is>
      </c>
      <c r="N14" s="53">
        <f>-(N8+N9)</f>
        <v/>
      </c>
      <c r="O14" s="2" t="inlineStr">
        <is>
          <t>外注費・現場人件費は原価で数えたので戻す</t>
        </is>
      </c>
      <c r="Q14" s="51" t="inlineStr">
        <is>
          <t>その他(備考へ)</t>
        </is>
      </c>
      <c r="R14" s="52">
        <f>SUMIFS($F$3:$F$302,$E$3:$E$302,"その他(備考へ)")</f>
        <v/>
      </c>
    </row>
    <row r="15">
      <c r="B15" s="44" t="n"/>
      <c r="C15" s="46" t="n"/>
      <c r="F15" s="45" t="n"/>
      <c r="M15" s="49" t="inlineStr">
        <is>
          <t>− 個別ロイ（下で計上）</t>
        </is>
      </c>
      <c r="N15" s="53">
        <f>-SUMIFS($F$3:$F$302,$E$3:$E$302,"個別ロイ")</f>
        <v/>
      </c>
      <c r="O15" s="2" t="inlineStr">
        <is>
          <t>★二重計上を防ぐため、ここで一度引く</t>
        </is>
      </c>
      <c r="Q15" s="13" t="inlineStr">
        <is>
          <t>合計</t>
        </is>
      </c>
      <c r="R15" s="54">
        <f>SUM(R4:R14)</f>
        <v/>
      </c>
    </row>
    <row r="16">
      <c r="B16" s="44" t="n"/>
      <c r="C16" s="46" t="n"/>
      <c r="F16" s="45" t="n"/>
      <c r="M16" s="49" t="inlineStr">
        <is>
          <t>ロイヤリティ 固定分</t>
        </is>
      </c>
      <c r="N16" s="53">
        <f>IF($N$3+$N$13=0,0,50050)</f>
        <v/>
      </c>
      <c r="O16" s="2" t="inlineStr">
        <is>
          <t>★50,050円。左の経費表には入力しないこと（まだ動いていない月は0）</t>
        </is>
      </c>
    </row>
    <row r="17">
      <c r="B17" s="44" t="n"/>
      <c r="C17" s="46" t="n"/>
      <c r="F17" s="45" t="n"/>
      <c r="M17" s="49" t="inlineStr">
        <is>
          <t>ロイヤリティ 38%分</t>
        </is>
      </c>
      <c r="N17" s="53">
        <f>SUMIFS('10月_売上顧客'!$L$5:$L$504,'10月_売上顧客'!$V$5:$V$504,"38%")*0.38</f>
        <v/>
      </c>
      <c r="O17" s="2" t="inlineStr">
        <is>
          <t>本舗ロイ区分＝38% の売上 × 38%</t>
        </is>
      </c>
    </row>
    <row r="18">
      <c r="B18" s="44" t="n"/>
      <c r="C18" s="46" t="n"/>
      <c r="F18" s="45" t="n"/>
      <c r="M18" s="49" t="inlineStr">
        <is>
          <t>ロイヤリティ 10%分</t>
        </is>
      </c>
      <c r="N18" s="53">
        <f>SUMIFS('10月_売上顧客'!$L$5:$L$504,'10月_売上顧客'!$V$5:$V$504,"10%")*0.1</f>
        <v/>
      </c>
      <c r="O18" s="2" t="inlineStr">
        <is>
          <t>本舗ロイ区分＝10% の売上 × 10%</t>
        </is>
      </c>
    </row>
    <row r="19">
      <c r="B19" s="44" t="n"/>
      <c r="C19" s="46" t="n"/>
      <c r="F19" s="45" t="n"/>
      <c r="M19" s="49" t="inlineStr">
        <is>
          <t>ロイヤリティ 個別実額</t>
        </is>
      </c>
      <c r="N19" s="53">
        <f>SUMIFS($F$3:$F$302,$E$3:$E$302,"個別ロイ")</f>
        <v/>
      </c>
      <c r="O19" s="2" t="inlineStr">
        <is>
          <t>経費表の科目＝個別ロイ（toB・楽ラクーン等）</t>
        </is>
      </c>
    </row>
    <row r="20">
      <c r="B20" s="44" t="n"/>
      <c r="C20" s="46" t="n"/>
      <c r="F20" s="45" t="n"/>
      <c r="M20" s="47" t="inlineStr">
        <is>
          <t>ロイヤリティ 合計</t>
        </is>
      </c>
      <c r="N20" s="48">
        <f>N16+N17+N18+N19</f>
        <v/>
      </c>
      <c r="O20" s="2" t="inlineStr">
        <is>
          <t>固定＋38%＋10%＋個別</t>
        </is>
      </c>
    </row>
    <row r="21">
      <c r="B21" s="44" t="n"/>
      <c r="C21" s="46" t="n"/>
      <c r="F21" s="45" t="n"/>
      <c r="M21" s="47" t="inlineStr">
        <is>
          <t>販売管理費</t>
        </is>
      </c>
      <c r="N21" s="48">
        <f>N13+N14+N15+N20</f>
        <v/>
      </c>
      <c r="O21" s="2" t="inlineStr">
        <is>
          <t>経費合計 − 原価分 − 個別ロイ ＋ ロイヤリティ合計</t>
        </is>
      </c>
    </row>
    <row r="22">
      <c r="B22" s="44" t="n"/>
      <c r="C22" s="46" t="n"/>
      <c r="F22" s="45" t="n"/>
      <c r="M22" s="47" t="inlineStr">
        <is>
          <t>営業利益</t>
        </is>
      </c>
      <c r="N22" s="48">
        <f>N11-N21</f>
        <v/>
      </c>
      <c r="O22" s="2" t="inlineStr">
        <is>
          <t>売上総利益 − 販売管理費</t>
        </is>
      </c>
    </row>
    <row r="23">
      <c r="B23" s="44" t="n"/>
      <c r="C23" s="46" t="n"/>
      <c r="F23" s="45" t="n"/>
      <c r="M23" s="49" t="inlineStr">
        <is>
          <t>融資返済</t>
        </is>
      </c>
      <c r="N23" s="53">
        <f>IF($N$3+$N$13=0,0,38059)</f>
        <v/>
      </c>
      <c r="O23" s="2" t="inlineStr">
        <is>
          <t>固定 38,059円（まだ動いていない月は0）</t>
        </is>
      </c>
    </row>
    <row r="24">
      <c r="B24" s="44" t="n"/>
      <c r="C24" s="46" t="n"/>
      <c r="F24" s="45" t="n"/>
      <c r="M24" s="47" t="inlineStr">
        <is>
          <t>経常利益</t>
        </is>
      </c>
      <c r="N24" s="48">
        <f>N22-N23</f>
        <v/>
      </c>
      <c r="O24" s="2" t="inlineStr">
        <is>
          <t>営業利益 − 融資返済</t>
        </is>
      </c>
    </row>
    <row r="25">
      <c r="B25" s="44" t="n"/>
      <c r="C25" s="46" t="n"/>
      <c r="F25" s="45" t="n"/>
    </row>
    <row r="26">
      <c r="B26" s="44" t="n"/>
      <c r="C26" s="46" t="n"/>
      <c r="F26" s="45" t="n"/>
      <c r="M26" s="49" t="inlineStr">
        <is>
          <t>経常利益率</t>
        </is>
      </c>
      <c r="N26" s="55">
        <f>IFERROR(N24/N3,0)</f>
        <v/>
      </c>
      <c r="O26" s="2" t="inlineStr">
        <is>
          <t>経常利益 ÷ 売上</t>
        </is>
      </c>
    </row>
    <row r="27">
      <c r="B27" s="44" t="n"/>
      <c r="C27" s="46" t="n"/>
      <c r="F27" s="45" t="n"/>
    </row>
    <row r="28">
      <c r="B28" s="44" t="n"/>
      <c r="C28" s="46" t="n"/>
      <c r="F28" s="45" t="n"/>
      <c r="M28" s="11" t="inlineStr">
        <is>
          <t>▼ 計画（中立）との比較</t>
        </is>
      </c>
    </row>
    <row r="29">
      <c r="B29" s="44" t="n"/>
      <c r="C29" s="46" t="n"/>
      <c r="F29" s="45" t="n"/>
      <c r="M29" s="51" t="inlineStr">
        <is>
          <t>計画 売上</t>
        </is>
      </c>
      <c r="N29" s="45" t="n">
        <v>2320000</v>
      </c>
      <c r="O29" s="2" t="inlineStr"/>
    </row>
    <row r="30">
      <c r="B30" s="44" t="n"/>
      <c r="C30" s="46" t="n"/>
      <c r="F30" s="45" t="n"/>
      <c r="M30" s="51" t="inlineStr">
        <is>
          <t>実績 − 計画（売上）</t>
        </is>
      </c>
      <c r="N30" s="45">
        <f>N3-N29</f>
        <v/>
      </c>
      <c r="O30" s="2" t="inlineStr">
        <is>
          <t>マイナスなら赤</t>
        </is>
      </c>
    </row>
    <row r="31">
      <c r="B31" s="44" t="n"/>
      <c r="C31" s="46" t="n"/>
      <c r="F31" s="45" t="n"/>
      <c r="M31" s="51" t="inlineStr">
        <is>
          <t>計画 経常利益</t>
        </is>
      </c>
      <c r="N31" s="45" t="n">
        <v>503051</v>
      </c>
      <c r="O31" s="2" t="inlineStr"/>
    </row>
    <row r="32">
      <c r="B32" s="44" t="n"/>
      <c r="C32" s="46" t="n"/>
      <c r="F32" s="45" t="n"/>
      <c r="M32" s="51" t="inlineStr">
        <is>
          <t>実績 − 計画（経常）</t>
        </is>
      </c>
      <c r="N32" s="45">
        <f>N24-N31</f>
        <v/>
      </c>
      <c r="O32" s="2" t="inlineStr">
        <is>
          <t>マイナスなら赤</t>
        </is>
      </c>
    </row>
    <row r="33">
      <c r="B33" s="44" t="n"/>
      <c r="C33" s="46" t="n"/>
      <c r="F33" s="45" t="n"/>
      <c r="M33" s="51" t="inlineStr">
        <is>
          <t>計画 件数</t>
        </is>
      </c>
      <c r="N33" s="56" t="n">
        <v>60</v>
      </c>
      <c r="O33" s="2" t="inlineStr"/>
    </row>
    <row r="34">
      <c r="B34" s="44" t="n"/>
      <c r="C34" s="46" t="n"/>
      <c r="F34" s="45" t="n"/>
      <c r="M34" s="51" t="inlineStr">
        <is>
          <t>実績 件数</t>
        </is>
      </c>
      <c r="N34" s="56">
        <f>'10月_売上顧客'!$E$4</f>
        <v/>
      </c>
      <c r="O34" s="2" t="inlineStr"/>
    </row>
    <row r="35">
      <c r="B35" s="44" t="n"/>
      <c r="C35" s="46" t="n"/>
      <c r="F35" s="45" t="n"/>
    </row>
    <row r="36">
      <c r="B36" s="44" t="n"/>
      <c r="C36" s="46" t="n"/>
      <c r="F36" s="45" t="n"/>
      <c r="M36" s="8" t="inlineStr">
        <is>
          <t>【ロイヤリティはこのP/Lだけで数えます】</t>
        </is>
      </c>
    </row>
    <row r="37">
      <c r="B37" s="44" t="n"/>
      <c r="C37" s="46" t="n"/>
      <c r="F37" s="45" t="n"/>
      <c r="M37" s="2" t="inlineStr">
        <is>
          <t xml:space="preserve">  ・固定分 50,050円は左の経費表に入力しないこと（2026年版はここが二重計上の疑いだった）</t>
        </is>
      </c>
    </row>
    <row r="38">
      <c r="B38" s="44" t="n"/>
      <c r="C38" s="46" t="n"/>
      <c r="F38" s="45" t="n"/>
      <c r="M38" s="2" t="inlineStr">
        <is>
          <t xml:space="preserve">  ・個別ロイは左の経費表に科目「個別ロイ」で入力する。P/Lは15行目で引いて19行目で足すので、数えるのは1回だけ</t>
        </is>
      </c>
    </row>
    <row r="39">
      <c r="B39" s="44" t="n"/>
      <c r="C39" s="46" t="n"/>
      <c r="F39" s="45" t="n"/>
      <c r="M39" s="8" t="inlineStr">
        <is>
          <t>【人件費は2つに分けます】</t>
        </is>
      </c>
    </row>
    <row r="40">
      <c r="B40" s="44" t="n"/>
      <c r="C40" s="46" t="n"/>
      <c r="F40" s="45" t="n"/>
      <c r="M40" s="2" t="inlineStr">
        <is>
          <t xml:space="preserve">  ・現場人件費(原価) … 現場に出た分。原価に入る</t>
        </is>
      </c>
    </row>
    <row r="41">
      <c r="B41" s="44" t="n"/>
      <c r="C41" s="46" t="n"/>
      <c r="F41" s="45" t="n"/>
      <c r="M41" s="2" t="inlineStr">
        <is>
          <t xml:space="preserve">  ・固定給(販管費) … 和真さんの固定給40万＋プール10万、新人の給与。販管費に入る</t>
        </is>
      </c>
    </row>
    <row r="42">
      <c r="B42" s="44" t="n"/>
      <c r="C42" s="46" t="n"/>
      <c r="F42" s="45" t="n"/>
      <c r="M42" s="2" t="inlineStr">
        <is>
          <t xml:space="preserve">  ・歩合（経常利益×45%）の行は2027年から使いません</t>
        </is>
      </c>
    </row>
    <row r="43">
      <c r="B43" s="44" t="n"/>
      <c r="C43" s="46" t="n"/>
      <c r="F43" s="45" t="n"/>
      <c r="M43" s="8" t="inlineStr">
        <is>
          <t>【保険料・通信費は「その他」に入れないこと】</t>
        </is>
      </c>
    </row>
    <row r="44">
      <c r="B44" s="44" t="n"/>
      <c r="C44" s="46" t="n"/>
      <c r="F44" s="45" t="n"/>
      <c r="M44" s="2" t="inlineStr">
        <is>
          <t xml:space="preserve">  ・賠償保険 43,760／通信費 8,470／日新火災 18,050 ＝ 月70,280円。科目を独立させました</t>
        </is>
      </c>
    </row>
    <row r="45">
      <c r="B45" s="44" t="n"/>
      <c r="C45" s="46" t="n"/>
      <c r="F45" s="45" t="n"/>
    </row>
    <row r="46">
      <c r="B46" s="44" t="n"/>
      <c r="C46" s="46" t="n"/>
      <c r="F46" s="45" t="n"/>
    </row>
    <row r="47">
      <c r="B47" s="44" t="n"/>
      <c r="C47" s="46" t="n"/>
      <c r="F47" s="45" t="n"/>
    </row>
    <row r="48">
      <c r="B48" s="44" t="n"/>
      <c r="C48" s="46" t="n"/>
      <c r="F48" s="45" t="n"/>
    </row>
    <row r="49">
      <c r="B49" s="44" t="n"/>
      <c r="C49" s="46" t="n"/>
      <c r="F49" s="45" t="n"/>
    </row>
    <row r="50">
      <c r="B50" s="44" t="n"/>
      <c r="C50" s="46" t="n"/>
      <c r="F50" s="45" t="n"/>
    </row>
    <row r="51">
      <c r="B51" s="44" t="n"/>
      <c r="C51" s="46" t="n"/>
      <c r="F51" s="45" t="n"/>
    </row>
    <row r="52">
      <c r="B52" s="44" t="n"/>
      <c r="C52" s="46" t="n"/>
      <c r="F52" s="45" t="n"/>
    </row>
    <row r="53">
      <c r="B53" s="44" t="n"/>
      <c r="C53" s="46" t="n"/>
      <c r="F53" s="45" t="n"/>
    </row>
    <row r="54">
      <c r="B54" s="44" t="n"/>
      <c r="C54" s="46" t="n"/>
      <c r="F54" s="45" t="n"/>
    </row>
    <row r="55">
      <c r="B55" s="44" t="n"/>
      <c r="C55" s="46" t="n"/>
      <c r="F55" s="45" t="n"/>
    </row>
    <row r="56">
      <c r="B56" s="44" t="n"/>
      <c r="C56" s="46" t="n"/>
      <c r="F56" s="45" t="n"/>
    </row>
    <row r="57">
      <c r="B57" s="44" t="n"/>
      <c r="C57" s="46" t="n"/>
      <c r="F57" s="45" t="n"/>
    </row>
    <row r="58">
      <c r="B58" s="44" t="n"/>
      <c r="C58" s="46" t="n"/>
      <c r="F58" s="45" t="n"/>
    </row>
    <row r="59">
      <c r="B59" s="44" t="n"/>
      <c r="C59" s="46" t="n"/>
      <c r="F59" s="45" t="n"/>
    </row>
    <row r="60">
      <c r="B60" s="44" t="n"/>
      <c r="C60" s="46" t="n"/>
      <c r="F60" s="45" t="n"/>
    </row>
    <row r="61">
      <c r="B61" s="44" t="n"/>
      <c r="C61" s="46" t="n"/>
      <c r="F61" s="45" t="n"/>
    </row>
    <row r="62">
      <c r="B62" s="44" t="n"/>
      <c r="C62" s="46" t="n"/>
      <c r="F62" s="45" t="n"/>
    </row>
    <row r="63">
      <c r="B63" s="44" t="n"/>
      <c r="C63" s="46" t="n"/>
      <c r="F63" s="45" t="n"/>
    </row>
    <row r="64">
      <c r="B64" s="44" t="n"/>
      <c r="C64" s="46" t="n"/>
      <c r="F64" s="45" t="n"/>
    </row>
    <row r="65">
      <c r="B65" s="44" t="n"/>
      <c r="C65" s="46" t="n"/>
      <c r="F65" s="45" t="n"/>
    </row>
    <row r="66">
      <c r="B66" s="44" t="n"/>
      <c r="C66" s="46" t="n"/>
      <c r="F66" s="45" t="n"/>
    </row>
    <row r="67">
      <c r="B67" s="44" t="n"/>
      <c r="C67" s="46" t="n"/>
      <c r="F67" s="45" t="n"/>
    </row>
    <row r="68">
      <c r="B68" s="44" t="n"/>
      <c r="C68" s="46" t="n"/>
      <c r="F68" s="45" t="n"/>
    </row>
    <row r="69">
      <c r="B69" s="44" t="n"/>
      <c r="C69" s="46" t="n"/>
      <c r="F69" s="45" t="n"/>
    </row>
    <row r="70">
      <c r="B70" s="44" t="n"/>
      <c r="C70" s="46" t="n"/>
      <c r="F70" s="45" t="n"/>
    </row>
    <row r="71">
      <c r="B71" s="44" t="n"/>
      <c r="C71" s="46" t="n"/>
      <c r="F71" s="45" t="n"/>
    </row>
    <row r="72">
      <c r="B72" s="44" t="n"/>
      <c r="C72" s="46" t="n"/>
      <c r="F72" s="45" t="n"/>
    </row>
    <row r="73">
      <c r="B73" s="44" t="n"/>
      <c r="C73" s="46" t="n"/>
      <c r="F73" s="45" t="n"/>
    </row>
    <row r="74">
      <c r="B74" s="44" t="n"/>
      <c r="C74" s="46" t="n"/>
      <c r="F74" s="45" t="n"/>
    </row>
    <row r="75">
      <c r="B75" s="44" t="n"/>
      <c r="C75" s="46" t="n"/>
      <c r="F75" s="45" t="n"/>
    </row>
    <row r="76">
      <c r="B76" s="44" t="n"/>
      <c r="C76" s="46" t="n"/>
      <c r="F76" s="45" t="n"/>
    </row>
    <row r="77">
      <c r="B77" s="44" t="n"/>
      <c r="C77" s="46" t="n"/>
      <c r="F77" s="45" t="n"/>
    </row>
    <row r="78">
      <c r="B78" s="44" t="n"/>
      <c r="C78" s="46" t="n"/>
      <c r="F78" s="45" t="n"/>
    </row>
    <row r="79">
      <c r="B79" s="44" t="n"/>
      <c r="C79" s="46" t="n"/>
      <c r="F79" s="45" t="n"/>
    </row>
    <row r="80">
      <c r="B80" s="44" t="n"/>
      <c r="C80" s="46" t="n"/>
      <c r="F80" s="45" t="n"/>
    </row>
    <row r="81">
      <c r="B81" s="44" t="n"/>
      <c r="C81" s="46" t="n"/>
      <c r="F81" s="45" t="n"/>
    </row>
    <row r="82">
      <c r="B82" s="44" t="n"/>
      <c r="C82" s="46" t="n"/>
      <c r="F82" s="45" t="n"/>
    </row>
    <row r="83">
      <c r="B83" s="44" t="n"/>
      <c r="C83" s="46" t="n"/>
      <c r="F83" s="45" t="n"/>
    </row>
    <row r="84">
      <c r="B84" s="44" t="n"/>
      <c r="C84" s="46" t="n"/>
      <c r="F84" s="45" t="n"/>
    </row>
    <row r="85">
      <c r="B85" s="44" t="n"/>
      <c r="C85" s="46" t="n"/>
      <c r="F85" s="45" t="n"/>
    </row>
    <row r="86">
      <c r="B86" s="44" t="n"/>
      <c r="C86" s="46" t="n"/>
      <c r="F86" s="45" t="n"/>
    </row>
    <row r="87">
      <c r="B87" s="44" t="n"/>
      <c r="C87" s="46" t="n"/>
      <c r="F87" s="45" t="n"/>
    </row>
    <row r="88">
      <c r="B88" s="44" t="n"/>
      <c r="C88" s="46" t="n"/>
      <c r="F88" s="45" t="n"/>
    </row>
    <row r="89">
      <c r="B89" s="44" t="n"/>
      <c r="C89" s="46" t="n"/>
      <c r="F89" s="45" t="n"/>
    </row>
    <row r="90">
      <c r="B90" s="44" t="n"/>
      <c r="C90" s="46" t="n"/>
      <c r="F90" s="45" t="n"/>
    </row>
    <row r="91">
      <c r="B91" s="44" t="n"/>
      <c r="C91" s="46" t="n"/>
      <c r="F91" s="45" t="n"/>
    </row>
    <row r="92">
      <c r="B92" s="44" t="n"/>
      <c r="C92" s="46" t="n"/>
      <c r="F92" s="45" t="n"/>
    </row>
    <row r="93">
      <c r="B93" s="44" t="n"/>
      <c r="C93" s="46" t="n"/>
      <c r="F93" s="45" t="n"/>
    </row>
    <row r="94">
      <c r="B94" s="44" t="n"/>
      <c r="C94" s="46" t="n"/>
      <c r="F94" s="45" t="n"/>
    </row>
    <row r="95">
      <c r="B95" s="44" t="n"/>
      <c r="C95" s="46" t="n"/>
      <c r="F95" s="45" t="n"/>
    </row>
    <row r="96">
      <c r="B96" s="44" t="n"/>
      <c r="C96" s="46" t="n"/>
      <c r="F96" s="45" t="n"/>
    </row>
    <row r="97">
      <c r="B97" s="44" t="n"/>
      <c r="C97" s="46" t="n"/>
      <c r="F97" s="45" t="n"/>
    </row>
    <row r="98">
      <c r="B98" s="44" t="n"/>
      <c r="C98" s="46" t="n"/>
      <c r="F98" s="45" t="n"/>
    </row>
    <row r="99">
      <c r="B99" s="44" t="n"/>
      <c r="C99" s="46" t="n"/>
      <c r="F99" s="45" t="n"/>
    </row>
    <row r="100">
      <c r="B100" s="44" t="n"/>
      <c r="C100" s="46" t="n"/>
      <c r="F100" s="45" t="n"/>
    </row>
    <row r="101">
      <c r="B101" s="44" t="n"/>
      <c r="C101" s="46" t="n"/>
      <c r="F101" s="45" t="n"/>
    </row>
    <row r="102">
      <c r="B102" s="44" t="n"/>
      <c r="C102" s="46" t="n"/>
      <c r="F102" s="45" t="n"/>
    </row>
    <row r="103">
      <c r="B103" s="44" t="n"/>
      <c r="C103" s="46" t="n"/>
      <c r="F103" s="45" t="n"/>
    </row>
    <row r="104">
      <c r="B104" s="44" t="n"/>
      <c r="C104" s="46" t="n"/>
      <c r="F104" s="45" t="n"/>
    </row>
    <row r="105">
      <c r="B105" s="44" t="n"/>
      <c r="C105" s="46" t="n"/>
      <c r="F105" s="45" t="n"/>
    </row>
    <row r="106">
      <c r="B106" s="44" t="n"/>
      <c r="C106" s="46" t="n"/>
      <c r="F106" s="45" t="n"/>
    </row>
    <row r="107">
      <c r="B107" s="44" t="n"/>
      <c r="C107" s="46" t="n"/>
      <c r="F107" s="45" t="n"/>
    </row>
    <row r="108">
      <c r="B108" s="44" t="n"/>
      <c r="C108" s="46" t="n"/>
      <c r="F108" s="45" t="n"/>
    </row>
    <row r="109">
      <c r="B109" s="44" t="n"/>
      <c r="C109" s="46" t="n"/>
      <c r="F109" s="45" t="n"/>
    </row>
    <row r="110">
      <c r="B110" s="44" t="n"/>
      <c r="C110" s="46" t="n"/>
      <c r="F110" s="45" t="n"/>
    </row>
    <row r="111">
      <c r="B111" s="44" t="n"/>
      <c r="C111" s="46" t="n"/>
      <c r="F111" s="45" t="n"/>
    </row>
    <row r="112">
      <c r="B112" s="44" t="n"/>
      <c r="C112" s="46" t="n"/>
      <c r="F112" s="45" t="n"/>
    </row>
    <row r="113">
      <c r="B113" s="44" t="n"/>
      <c r="C113" s="46" t="n"/>
      <c r="F113" s="45" t="n"/>
    </row>
    <row r="114">
      <c r="B114" s="44" t="n"/>
      <c r="C114" s="46" t="n"/>
      <c r="F114" s="45" t="n"/>
    </row>
    <row r="115">
      <c r="B115" s="44" t="n"/>
      <c r="C115" s="46" t="n"/>
      <c r="F115" s="45" t="n"/>
    </row>
    <row r="116">
      <c r="B116" s="44" t="n"/>
      <c r="C116" s="46" t="n"/>
      <c r="F116" s="45" t="n"/>
    </row>
    <row r="117">
      <c r="B117" s="44" t="n"/>
      <c r="C117" s="46" t="n"/>
      <c r="F117" s="45" t="n"/>
    </row>
    <row r="118">
      <c r="B118" s="44" t="n"/>
      <c r="C118" s="46" t="n"/>
      <c r="F118" s="45" t="n"/>
    </row>
    <row r="119">
      <c r="B119" s="44" t="n"/>
      <c r="C119" s="46" t="n"/>
      <c r="F119" s="45" t="n"/>
    </row>
    <row r="120">
      <c r="B120" s="44" t="n"/>
      <c r="C120" s="46" t="n"/>
      <c r="F120" s="45" t="n"/>
    </row>
    <row r="121">
      <c r="B121" s="44" t="n"/>
      <c r="C121" s="46" t="n"/>
      <c r="F121" s="45" t="n"/>
    </row>
    <row r="122">
      <c r="B122" s="44" t="n"/>
      <c r="C122" s="46" t="n"/>
      <c r="F122" s="45" t="n"/>
    </row>
    <row r="123">
      <c r="B123" s="44" t="n"/>
      <c r="C123" s="46" t="n"/>
      <c r="F123" s="45" t="n"/>
    </row>
    <row r="124">
      <c r="B124" s="44" t="n"/>
      <c r="C124" s="46" t="n"/>
      <c r="F124" s="45" t="n"/>
    </row>
    <row r="125">
      <c r="B125" s="44" t="n"/>
      <c r="C125" s="46" t="n"/>
      <c r="F125" s="45" t="n"/>
    </row>
    <row r="126">
      <c r="B126" s="44" t="n"/>
      <c r="C126" s="46" t="n"/>
      <c r="F126" s="45" t="n"/>
    </row>
    <row r="127">
      <c r="B127" s="44" t="n"/>
      <c r="C127" s="46" t="n"/>
      <c r="F127" s="45" t="n"/>
    </row>
    <row r="128">
      <c r="B128" s="44" t="n"/>
      <c r="C128" s="46" t="n"/>
      <c r="F128" s="45" t="n"/>
    </row>
    <row r="129">
      <c r="B129" s="44" t="n"/>
      <c r="C129" s="46" t="n"/>
      <c r="F129" s="45" t="n"/>
    </row>
    <row r="130">
      <c r="B130" s="44" t="n"/>
      <c r="C130" s="46" t="n"/>
      <c r="F130" s="45" t="n"/>
    </row>
    <row r="131">
      <c r="B131" s="44" t="n"/>
      <c r="C131" s="46" t="n"/>
      <c r="F131" s="45" t="n"/>
    </row>
    <row r="132">
      <c r="B132" s="44" t="n"/>
      <c r="C132" s="46" t="n"/>
      <c r="F132" s="45" t="n"/>
    </row>
    <row r="133">
      <c r="B133" s="44" t="n"/>
      <c r="C133" s="46" t="n"/>
      <c r="F133" s="45" t="n"/>
    </row>
    <row r="134">
      <c r="B134" s="44" t="n"/>
      <c r="C134" s="46" t="n"/>
      <c r="F134" s="45" t="n"/>
    </row>
    <row r="135">
      <c r="B135" s="44" t="n"/>
      <c r="C135" s="46" t="n"/>
      <c r="F135" s="45" t="n"/>
    </row>
    <row r="136">
      <c r="B136" s="44" t="n"/>
      <c r="C136" s="46" t="n"/>
      <c r="F136" s="45" t="n"/>
    </row>
    <row r="137">
      <c r="B137" s="44" t="n"/>
      <c r="C137" s="46" t="n"/>
      <c r="F137" s="45" t="n"/>
    </row>
    <row r="138">
      <c r="B138" s="44" t="n"/>
      <c r="C138" s="46" t="n"/>
      <c r="F138" s="45" t="n"/>
    </row>
    <row r="139">
      <c r="B139" s="44" t="n"/>
      <c r="C139" s="46" t="n"/>
      <c r="F139" s="45" t="n"/>
    </row>
    <row r="140">
      <c r="B140" s="44" t="n"/>
      <c r="C140" s="46" t="n"/>
      <c r="F140" s="45" t="n"/>
    </row>
    <row r="141">
      <c r="B141" s="44" t="n"/>
      <c r="C141" s="46" t="n"/>
      <c r="F141" s="45" t="n"/>
    </row>
    <row r="142">
      <c r="B142" s="44" t="n"/>
      <c r="C142" s="46" t="n"/>
      <c r="F142" s="45" t="n"/>
    </row>
    <row r="143">
      <c r="B143" s="44" t="n"/>
      <c r="C143" s="46" t="n"/>
      <c r="F143" s="45" t="n"/>
    </row>
    <row r="144">
      <c r="B144" s="44" t="n"/>
      <c r="C144" s="46" t="n"/>
      <c r="F144" s="45" t="n"/>
    </row>
    <row r="145">
      <c r="B145" s="44" t="n"/>
      <c r="C145" s="46" t="n"/>
      <c r="F145" s="45" t="n"/>
    </row>
    <row r="146">
      <c r="B146" s="44" t="n"/>
      <c r="C146" s="46" t="n"/>
      <c r="F146" s="45" t="n"/>
    </row>
    <row r="147">
      <c r="B147" s="44" t="n"/>
      <c r="C147" s="46" t="n"/>
      <c r="F147" s="45" t="n"/>
    </row>
    <row r="148">
      <c r="B148" s="44" t="n"/>
      <c r="C148" s="46" t="n"/>
      <c r="F148" s="45" t="n"/>
    </row>
    <row r="149">
      <c r="B149" s="44" t="n"/>
      <c r="C149" s="46" t="n"/>
      <c r="F149" s="45" t="n"/>
    </row>
    <row r="150">
      <c r="B150" s="44" t="n"/>
      <c r="C150" s="46" t="n"/>
      <c r="F150" s="45" t="n"/>
    </row>
    <row r="151">
      <c r="B151" s="44" t="n"/>
      <c r="C151" s="46" t="n"/>
      <c r="F151" s="45" t="n"/>
    </row>
    <row r="152">
      <c r="B152" s="44" t="n"/>
      <c r="C152" s="46" t="n"/>
      <c r="F152" s="45" t="n"/>
    </row>
    <row r="153">
      <c r="B153" s="44" t="n"/>
      <c r="C153" s="46" t="n"/>
      <c r="F153" s="45" t="n"/>
    </row>
    <row r="154">
      <c r="B154" s="44" t="n"/>
      <c r="C154" s="46" t="n"/>
      <c r="F154" s="45" t="n"/>
    </row>
    <row r="155">
      <c r="B155" s="44" t="n"/>
      <c r="C155" s="46" t="n"/>
      <c r="F155" s="45" t="n"/>
    </row>
    <row r="156">
      <c r="B156" s="44" t="n"/>
      <c r="C156" s="46" t="n"/>
      <c r="F156" s="45" t="n"/>
    </row>
    <row r="157">
      <c r="B157" s="44" t="n"/>
      <c r="C157" s="46" t="n"/>
      <c r="F157" s="45" t="n"/>
    </row>
    <row r="158">
      <c r="B158" s="44" t="n"/>
      <c r="C158" s="46" t="n"/>
      <c r="F158" s="45" t="n"/>
    </row>
    <row r="159">
      <c r="B159" s="44" t="n"/>
      <c r="C159" s="46" t="n"/>
      <c r="F159" s="45" t="n"/>
    </row>
    <row r="160">
      <c r="B160" s="44" t="n"/>
      <c r="C160" s="46" t="n"/>
      <c r="F160" s="45" t="n"/>
    </row>
    <row r="161">
      <c r="B161" s="44" t="n"/>
      <c r="C161" s="46" t="n"/>
      <c r="F161" s="45" t="n"/>
    </row>
    <row r="162">
      <c r="B162" s="44" t="n"/>
      <c r="C162" s="46" t="n"/>
      <c r="F162" s="45" t="n"/>
    </row>
    <row r="163">
      <c r="B163" s="44" t="n"/>
      <c r="C163" s="46" t="n"/>
      <c r="F163" s="45" t="n"/>
    </row>
    <row r="164">
      <c r="B164" s="44" t="n"/>
      <c r="C164" s="46" t="n"/>
      <c r="F164" s="45" t="n"/>
    </row>
    <row r="165">
      <c r="B165" s="44" t="n"/>
      <c r="C165" s="46" t="n"/>
      <c r="F165" s="45" t="n"/>
    </row>
    <row r="166">
      <c r="B166" s="44" t="n"/>
      <c r="C166" s="46" t="n"/>
      <c r="F166" s="45" t="n"/>
    </row>
    <row r="167">
      <c r="B167" s="44" t="n"/>
      <c r="C167" s="46" t="n"/>
      <c r="F167" s="45" t="n"/>
    </row>
    <row r="168">
      <c r="B168" s="44" t="n"/>
      <c r="C168" s="46" t="n"/>
      <c r="F168" s="45" t="n"/>
    </row>
    <row r="169">
      <c r="B169" s="44" t="n"/>
      <c r="C169" s="46" t="n"/>
      <c r="F169" s="45" t="n"/>
    </row>
    <row r="170">
      <c r="B170" s="44" t="n"/>
      <c r="C170" s="46" t="n"/>
      <c r="F170" s="45" t="n"/>
    </row>
    <row r="171">
      <c r="B171" s="44" t="n"/>
      <c r="C171" s="46" t="n"/>
      <c r="F171" s="45" t="n"/>
    </row>
    <row r="172">
      <c r="B172" s="44" t="n"/>
      <c r="C172" s="46" t="n"/>
      <c r="F172" s="45" t="n"/>
    </row>
    <row r="173">
      <c r="B173" s="44" t="n"/>
      <c r="C173" s="46" t="n"/>
      <c r="F173" s="45" t="n"/>
    </row>
    <row r="174">
      <c r="B174" s="44" t="n"/>
      <c r="C174" s="46" t="n"/>
      <c r="F174" s="45" t="n"/>
    </row>
    <row r="175">
      <c r="B175" s="44" t="n"/>
      <c r="C175" s="46" t="n"/>
      <c r="F175" s="45" t="n"/>
    </row>
    <row r="176">
      <c r="B176" s="44" t="n"/>
      <c r="C176" s="46" t="n"/>
      <c r="F176" s="45" t="n"/>
    </row>
    <row r="177">
      <c r="B177" s="44" t="n"/>
      <c r="C177" s="46" t="n"/>
      <c r="F177" s="45" t="n"/>
    </row>
    <row r="178">
      <c r="B178" s="44" t="n"/>
      <c r="C178" s="46" t="n"/>
      <c r="F178" s="45" t="n"/>
    </row>
    <row r="179">
      <c r="B179" s="44" t="n"/>
      <c r="C179" s="46" t="n"/>
      <c r="F179" s="45" t="n"/>
    </row>
    <row r="180">
      <c r="B180" s="44" t="n"/>
      <c r="C180" s="46" t="n"/>
      <c r="F180" s="45" t="n"/>
    </row>
    <row r="181">
      <c r="B181" s="44" t="n"/>
      <c r="C181" s="46" t="n"/>
      <c r="F181" s="45" t="n"/>
    </row>
    <row r="182">
      <c r="B182" s="44" t="n"/>
      <c r="C182" s="46" t="n"/>
      <c r="F182" s="45" t="n"/>
    </row>
    <row r="183">
      <c r="B183" s="44" t="n"/>
      <c r="C183" s="46" t="n"/>
      <c r="F183" s="45" t="n"/>
    </row>
    <row r="184">
      <c r="B184" s="44" t="n"/>
      <c r="C184" s="46" t="n"/>
      <c r="F184" s="45" t="n"/>
    </row>
    <row r="185">
      <c r="B185" s="44" t="n"/>
      <c r="C185" s="46" t="n"/>
      <c r="F185" s="45" t="n"/>
    </row>
    <row r="186">
      <c r="B186" s="44" t="n"/>
      <c r="C186" s="46" t="n"/>
      <c r="F186" s="45" t="n"/>
    </row>
    <row r="187">
      <c r="B187" s="44" t="n"/>
      <c r="C187" s="46" t="n"/>
      <c r="F187" s="45" t="n"/>
    </row>
    <row r="188">
      <c r="B188" s="44" t="n"/>
      <c r="C188" s="46" t="n"/>
      <c r="F188" s="45" t="n"/>
    </row>
    <row r="189">
      <c r="B189" s="44" t="n"/>
      <c r="C189" s="46" t="n"/>
      <c r="F189" s="45" t="n"/>
    </row>
    <row r="190">
      <c r="B190" s="44" t="n"/>
      <c r="C190" s="46" t="n"/>
      <c r="F190" s="45" t="n"/>
    </row>
    <row r="191">
      <c r="B191" s="44" t="n"/>
      <c r="C191" s="46" t="n"/>
      <c r="F191" s="45" t="n"/>
    </row>
    <row r="192">
      <c r="B192" s="44" t="n"/>
      <c r="C192" s="46" t="n"/>
      <c r="F192" s="45" t="n"/>
    </row>
    <row r="193">
      <c r="B193" s="44" t="n"/>
      <c r="C193" s="46" t="n"/>
      <c r="F193" s="45" t="n"/>
    </row>
    <row r="194">
      <c r="B194" s="44" t="n"/>
      <c r="C194" s="46" t="n"/>
      <c r="F194" s="45" t="n"/>
    </row>
    <row r="195">
      <c r="B195" s="44" t="n"/>
      <c r="C195" s="46" t="n"/>
      <c r="F195" s="45" t="n"/>
    </row>
    <row r="196">
      <c r="B196" s="44" t="n"/>
      <c r="C196" s="46" t="n"/>
      <c r="F196" s="45" t="n"/>
    </row>
    <row r="197">
      <c r="B197" s="44" t="n"/>
      <c r="C197" s="46" t="n"/>
      <c r="F197" s="45" t="n"/>
    </row>
    <row r="198">
      <c r="B198" s="44" t="n"/>
      <c r="C198" s="46" t="n"/>
      <c r="F198" s="45" t="n"/>
    </row>
    <row r="199">
      <c r="B199" s="44" t="n"/>
      <c r="C199" s="46" t="n"/>
      <c r="F199" s="45" t="n"/>
    </row>
    <row r="200">
      <c r="B200" s="44" t="n"/>
      <c r="C200" s="46" t="n"/>
      <c r="F200" s="45" t="n"/>
    </row>
    <row r="201">
      <c r="B201" s="44" t="n"/>
      <c r="C201" s="46" t="n"/>
      <c r="F201" s="45" t="n"/>
    </row>
    <row r="202">
      <c r="B202" s="44" t="n"/>
      <c r="C202" s="46" t="n"/>
      <c r="F202" s="45" t="n"/>
    </row>
    <row r="203">
      <c r="B203" s="44" t="n"/>
      <c r="C203" s="46" t="n"/>
      <c r="F203" s="45" t="n"/>
    </row>
    <row r="204">
      <c r="B204" s="44" t="n"/>
      <c r="C204" s="46" t="n"/>
      <c r="F204" s="45" t="n"/>
    </row>
    <row r="205">
      <c r="B205" s="44" t="n"/>
      <c r="C205" s="46" t="n"/>
      <c r="F205" s="45" t="n"/>
    </row>
    <row r="206">
      <c r="B206" s="44" t="n"/>
      <c r="C206" s="46" t="n"/>
      <c r="F206" s="45" t="n"/>
    </row>
    <row r="207">
      <c r="B207" s="44" t="n"/>
      <c r="C207" s="46" t="n"/>
      <c r="F207" s="45" t="n"/>
    </row>
    <row r="208">
      <c r="B208" s="44" t="n"/>
      <c r="C208" s="46" t="n"/>
      <c r="F208" s="45" t="n"/>
    </row>
    <row r="209">
      <c r="B209" s="44" t="n"/>
      <c r="C209" s="46" t="n"/>
      <c r="F209" s="45" t="n"/>
    </row>
    <row r="210">
      <c r="B210" s="44" t="n"/>
      <c r="C210" s="46" t="n"/>
      <c r="F210" s="45" t="n"/>
    </row>
    <row r="211">
      <c r="B211" s="44" t="n"/>
      <c r="C211" s="46" t="n"/>
      <c r="F211" s="45" t="n"/>
    </row>
    <row r="212">
      <c r="B212" s="44" t="n"/>
      <c r="C212" s="46" t="n"/>
      <c r="F212" s="45" t="n"/>
    </row>
    <row r="213">
      <c r="B213" s="44" t="n"/>
      <c r="C213" s="46" t="n"/>
      <c r="F213" s="45" t="n"/>
    </row>
    <row r="214">
      <c r="B214" s="44" t="n"/>
      <c r="C214" s="46" t="n"/>
      <c r="F214" s="45" t="n"/>
    </row>
    <row r="215">
      <c r="B215" s="44" t="n"/>
      <c r="C215" s="46" t="n"/>
      <c r="F215" s="45" t="n"/>
    </row>
    <row r="216">
      <c r="B216" s="44" t="n"/>
      <c r="C216" s="46" t="n"/>
      <c r="F216" s="45" t="n"/>
    </row>
    <row r="217">
      <c r="B217" s="44" t="n"/>
      <c r="C217" s="46" t="n"/>
      <c r="F217" s="45" t="n"/>
    </row>
    <row r="218">
      <c r="B218" s="44" t="n"/>
      <c r="C218" s="46" t="n"/>
      <c r="F218" s="45" t="n"/>
    </row>
    <row r="219">
      <c r="B219" s="44" t="n"/>
      <c r="C219" s="46" t="n"/>
      <c r="F219" s="45" t="n"/>
    </row>
    <row r="220">
      <c r="B220" s="44" t="n"/>
      <c r="C220" s="46" t="n"/>
      <c r="F220" s="45" t="n"/>
    </row>
    <row r="221">
      <c r="B221" s="44" t="n"/>
      <c r="C221" s="46" t="n"/>
      <c r="F221" s="45" t="n"/>
    </row>
    <row r="222">
      <c r="B222" s="44" t="n"/>
      <c r="C222" s="46" t="n"/>
      <c r="F222" s="45" t="n"/>
    </row>
    <row r="223">
      <c r="B223" s="44" t="n"/>
      <c r="C223" s="46" t="n"/>
      <c r="F223" s="45" t="n"/>
    </row>
    <row r="224">
      <c r="B224" s="44" t="n"/>
      <c r="C224" s="46" t="n"/>
      <c r="F224" s="45" t="n"/>
    </row>
    <row r="225">
      <c r="B225" s="44" t="n"/>
      <c r="C225" s="46" t="n"/>
      <c r="F225" s="45" t="n"/>
    </row>
    <row r="226">
      <c r="B226" s="44" t="n"/>
      <c r="C226" s="46" t="n"/>
      <c r="F226" s="45" t="n"/>
    </row>
    <row r="227">
      <c r="B227" s="44" t="n"/>
      <c r="C227" s="46" t="n"/>
      <c r="F227" s="45" t="n"/>
    </row>
    <row r="228">
      <c r="B228" s="44" t="n"/>
      <c r="C228" s="46" t="n"/>
      <c r="F228" s="45" t="n"/>
    </row>
    <row r="229">
      <c r="B229" s="44" t="n"/>
      <c r="C229" s="46" t="n"/>
      <c r="F229" s="45" t="n"/>
    </row>
    <row r="230">
      <c r="B230" s="44" t="n"/>
      <c r="C230" s="46" t="n"/>
      <c r="F230" s="45" t="n"/>
    </row>
    <row r="231">
      <c r="B231" s="44" t="n"/>
      <c r="C231" s="46" t="n"/>
      <c r="F231" s="45" t="n"/>
    </row>
    <row r="232">
      <c r="B232" s="44" t="n"/>
      <c r="C232" s="46" t="n"/>
      <c r="F232" s="45" t="n"/>
    </row>
    <row r="233">
      <c r="B233" s="44" t="n"/>
      <c r="C233" s="46" t="n"/>
      <c r="F233" s="45" t="n"/>
    </row>
    <row r="234">
      <c r="B234" s="44" t="n"/>
      <c r="C234" s="46" t="n"/>
      <c r="F234" s="45" t="n"/>
    </row>
    <row r="235">
      <c r="B235" s="44" t="n"/>
      <c r="C235" s="46" t="n"/>
      <c r="F235" s="45" t="n"/>
    </row>
    <row r="236">
      <c r="B236" s="44" t="n"/>
      <c r="C236" s="46" t="n"/>
      <c r="F236" s="45" t="n"/>
    </row>
    <row r="237">
      <c r="B237" s="44" t="n"/>
      <c r="C237" s="46" t="n"/>
      <c r="F237" s="45" t="n"/>
    </row>
    <row r="238">
      <c r="B238" s="44" t="n"/>
      <c r="C238" s="46" t="n"/>
      <c r="F238" s="45" t="n"/>
    </row>
    <row r="239">
      <c r="B239" s="44" t="n"/>
      <c r="C239" s="46" t="n"/>
      <c r="F239" s="45" t="n"/>
    </row>
    <row r="240">
      <c r="B240" s="44" t="n"/>
      <c r="C240" s="46" t="n"/>
      <c r="F240" s="45" t="n"/>
    </row>
    <row r="241">
      <c r="B241" s="44" t="n"/>
      <c r="C241" s="46" t="n"/>
      <c r="F241" s="45" t="n"/>
    </row>
    <row r="242">
      <c r="B242" s="44" t="n"/>
      <c r="C242" s="46" t="n"/>
      <c r="F242" s="45" t="n"/>
    </row>
    <row r="243">
      <c r="B243" s="44" t="n"/>
      <c r="C243" s="46" t="n"/>
      <c r="F243" s="45" t="n"/>
    </row>
    <row r="244">
      <c r="B244" s="44" t="n"/>
      <c r="C244" s="46" t="n"/>
      <c r="F244" s="45" t="n"/>
    </row>
    <row r="245">
      <c r="B245" s="44" t="n"/>
      <c r="C245" s="46" t="n"/>
      <c r="F245" s="45" t="n"/>
    </row>
    <row r="246">
      <c r="B246" s="44" t="n"/>
      <c r="C246" s="46" t="n"/>
      <c r="F246" s="45" t="n"/>
    </row>
    <row r="247">
      <c r="B247" s="44" t="n"/>
      <c r="C247" s="46" t="n"/>
      <c r="F247" s="45" t="n"/>
    </row>
    <row r="248">
      <c r="B248" s="44" t="n"/>
      <c r="C248" s="46" t="n"/>
      <c r="F248" s="45" t="n"/>
    </row>
    <row r="249">
      <c r="B249" s="44" t="n"/>
      <c r="C249" s="46" t="n"/>
      <c r="F249" s="45" t="n"/>
    </row>
    <row r="250">
      <c r="B250" s="44" t="n"/>
      <c r="C250" s="46" t="n"/>
      <c r="F250" s="45" t="n"/>
    </row>
    <row r="251">
      <c r="B251" s="44" t="n"/>
      <c r="C251" s="46" t="n"/>
      <c r="F251" s="45" t="n"/>
    </row>
    <row r="252">
      <c r="B252" s="44" t="n"/>
      <c r="C252" s="46" t="n"/>
      <c r="F252" s="45" t="n"/>
    </row>
    <row r="253">
      <c r="B253" s="44" t="n"/>
      <c r="C253" s="46" t="n"/>
      <c r="F253" s="45" t="n"/>
    </row>
    <row r="254">
      <c r="B254" s="44" t="n"/>
      <c r="C254" s="46" t="n"/>
      <c r="F254" s="45" t="n"/>
    </row>
    <row r="255">
      <c r="B255" s="44" t="n"/>
      <c r="C255" s="46" t="n"/>
      <c r="F255" s="45" t="n"/>
    </row>
    <row r="256">
      <c r="B256" s="44" t="n"/>
      <c r="C256" s="46" t="n"/>
      <c r="F256" s="45" t="n"/>
    </row>
    <row r="257">
      <c r="B257" s="44" t="n"/>
      <c r="C257" s="46" t="n"/>
      <c r="F257" s="45" t="n"/>
    </row>
    <row r="258">
      <c r="B258" s="44" t="n"/>
      <c r="C258" s="46" t="n"/>
      <c r="F258" s="45" t="n"/>
    </row>
    <row r="259">
      <c r="B259" s="44" t="n"/>
      <c r="C259" s="46" t="n"/>
      <c r="F259" s="45" t="n"/>
    </row>
    <row r="260">
      <c r="B260" s="44" t="n"/>
      <c r="C260" s="46" t="n"/>
      <c r="F260" s="45" t="n"/>
    </row>
    <row r="261">
      <c r="B261" s="44" t="n"/>
      <c r="C261" s="46" t="n"/>
      <c r="F261" s="45" t="n"/>
    </row>
    <row r="262">
      <c r="B262" s="44" t="n"/>
      <c r="C262" s="46" t="n"/>
      <c r="F262" s="45" t="n"/>
    </row>
    <row r="263">
      <c r="B263" s="44" t="n"/>
      <c r="C263" s="46" t="n"/>
      <c r="F263" s="45" t="n"/>
    </row>
    <row r="264">
      <c r="B264" s="44" t="n"/>
      <c r="C264" s="46" t="n"/>
      <c r="F264" s="45" t="n"/>
    </row>
    <row r="265">
      <c r="B265" s="44" t="n"/>
      <c r="C265" s="46" t="n"/>
      <c r="F265" s="45" t="n"/>
    </row>
    <row r="266">
      <c r="B266" s="44" t="n"/>
      <c r="C266" s="46" t="n"/>
      <c r="F266" s="45" t="n"/>
    </row>
    <row r="267">
      <c r="B267" s="44" t="n"/>
      <c r="C267" s="46" t="n"/>
      <c r="F267" s="45" t="n"/>
    </row>
    <row r="268">
      <c r="B268" s="44" t="n"/>
      <c r="C268" s="46" t="n"/>
      <c r="F268" s="45" t="n"/>
    </row>
    <row r="269">
      <c r="B269" s="44" t="n"/>
      <c r="C269" s="46" t="n"/>
      <c r="F269" s="45" t="n"/>
    </row>
    <row r="270">
      <c r="B270" s="44" t="n"/>
      <c r="C270" s="46" t="n"/>
      <c r="F270" s="45" t="n"/>
    </row>
    <row r="271">
      <c r="B271" s="44" t="n"/>
      <c r="C271" s="46" t="n"/>
      <c r="F271" s="45" t="n"/>
    </row>
    <row r="272">
      <c r="B272" s="44" t="n"/>
      <c r="C272" s="46" t="n"/>
      <c r="F272" s="45" t="n"/>
    </row>
    <row r="273">
      <c r="B273" s="44" t="n"/>
      <c r="C273" s="46" t="n"/>
      <c r="F273" s="45" t="n"/>
    </row>
    <row r="274">
      <c r="B274" s="44" t="n"/>
      <c r="C274" s="46" t="n"/>
      <c r="F274" s="45" t="n"/>
    </row>
    <row r="275">
      <c r="B275" s="44" t="n"/>
      <c r="C275" s="46" t="n"/>
      <c r="F275" s="45" t="n"/>
    </row>
    <row r="276">
      <c r="B276" s="44" t="n"/>
      <c r="C276" s="46" t="n"/>
      <c r="F276" s="45" t="n"/>
    </row>
    <row r="277">
      <c r="B277" s="44" t="n"/>
      <c r="C277" s="46" t="n"/>
      <c r="F277" s="45" t="n"/>
    </row>
    <row r="278">
      <c r="B278" s="44" t="n"/>
      <c r="C278" s="46" t="n"/>
      <c r="F278" s="45" t="n"/>
    </row>
    <row r="279">
      <c r="B279" s="44" t="n"/>
      <c r="C279" s="46" t="n"/>
      <c r="F279" s="45" t="n"/>
    </row>
    <row r="280">
      <c r="B280" s="44" t="n"/>
      <c r="C280" s="46" t="n"/>
      <c r="F280" s="45" t="n"/>
    </row>
    <row r="281">
      <c r="B281" s="44" t="n"/>
      <c r="C281" s="46" t="n"/>
      <c r="F281" s="45" t="n"/>
    </row>
    <row r="282">
      <c r="B282" s="44" t="n"/>
      <c r="C282" s="46" t="n"/>
      <c r="F282" s="45" t="n"/>
    </row>
    <row r="283">
      <c r="B283" s="44" t="n"/>
      <c r="C283" s="46" t="n"/>
      <c r="F283" s="45" t="n"/>
    </row>
    <row r="284">
      <c r="B284" s="44" t="n"/>
      <c r="C284" s="46" t="n"/>
      <c r="F284" s="45" t="n"/>
    </row>
    <row r="285">
      <c r="B285" s="44" t="n"/>
      <c r="C285" s="46" t="n"/>
      <c r="F285" s="45" t="n"/>
    </row>
    <row r="286">
      <c r="B286" s="44" t="n"/>
      <c r="C286" s="46" t="n"/>
      <c r="F286" s="45" t="n"/>
    </row>
    <row r="287">
      <c r="B287" s="44" t="n"/>
      <c r="C287" s="46" t="n"/>
      <c r="F287" s="45" t="n"/>
    </row>
    <row r="288">
      <c r="B288" s="44" t="n"/>
      <c r="C288" s="46" t="n"/>
      <c r="F288" s="45" t="n"/>
    </row>
    <row r="289">
      <c r="B289" s="44" t="n"/>
      <c r="C289" s="46" t="n"/>
      <c r="F289" s="45" t="n"/>
    </row>
    <row r="290">
      <c r="B290" s="44" t="n"/>
      <c r="C290" s="46" t="n"/>
      <c r="F290" s="45" t="n"/>
    </row>
    <row r="291">
      <c r="B291" s="44" t="n"/>
      <c r="C291" s="46" t="n"/>
      <c r="F291" s="45" t="n"/>
    </row>
    <row r="292">
      <c r="B292" s="44" t="n"/>
      <c r="C292" s="46" t="n"/>
      <c r="F292" s="45" t="n"/>
    </row>
    <row r="293">
      <c r="B293" s="44" t="n"/>
      <c r="C293" s="46" t="n"/>
      <c r="F293" s="45" t="n"/>
    </row>
    <row r="294">
      <c r="B294" s="44" t="n"/>
      <c r="C294" s="46" t="n"/>
      <c r="F294" s="45" t="n"/>
    </row>
    <row r="295">
      <c r="B295" s="44" t="n"/>
      <c r="C295" s="46" t="n"/>
      <c r="F295" s="45" t="n"/>
    </row>
    <row r="296">
      <c r="B296" s="44" t="n"/>
      <c r="C296" s="46" t="n"/>
      <c r="F296" s="45" t="n"/>
    </row>
    <row r="297">
      <c r="B297" s="44" t="n"/>
      <c r="C297" s="46" t="n"/>
      <c r="F297" s="45" t="n"/>
    </row>
    <row r="298">
      <c r="B298" s="44" t="n"/>
      <c r="C298" s="46" t="n"/>
      <c r="F298" s="45" t="n"/>
    </row>
    <row r="299">
      <c r="B299" s="44" t="n"/>
      <c r="C299" s="46" t="n"/>
      <c r="F299" s="45" t="n"/>
    </row>
    <row r="300">
      <c r="B300" s="44" t="n"/>
      <c r="C300" s="46" t="n"/>
      <c r="F300" s="45" t="n"/>
    </row>
    <row r="301">
      <c r="B301" s="44" t="n"/>
      <c r="C301" s="46" t="n"/>
      <c r="F301" s="45" t="n"/>
    </row>
    <row r="302">
      <c r="B302" s="44" t="n"/>
      <c r="C302" s="46" t="n"/>
      <c r="F302" s="45" t="n"/>
    </row>
  </sheetData>
  <conditionalFormatting sqref="N22">
    <cfRule type="cellIs" priority="1" operator="lessThan" dxfId="0">
      <formula>0</formula>
    </cfRule>
  </conditionalFormatting>
  <conditionalFormatting sqref="N24">
    <cfRule type="cellIs" priority="2" operator="lessThan" dxfId="0">
      <formula>0</formula>
    </cfRule>
    <cfRule type="cellIs" priority="3" operator="greaterThan" dxfId="1">
      <formula>0</formula>
    </cfRule>
  </conditionalFormatting>
  <conditionalFormatting sqref="N30">
    <cfRule type="expression" priority="4" dxfId="0">
      <formula>AND($N$3&gt;0,N30&lt;0)</formula>
    </cfRule>
    <cfRule type="expression" priority="5" dxfId="1">
      <formula>AND($N$3&gt;0,N30&gt;=0)</formula>
    </cfRule>
  </conditionalFormatting>
  <conditionalFormatting sqref="N32">
    <cfRule type="expression" priority="6" dxfId="0">
      <formula>AND($N$3&gt;0,N32&lt;0)</formula>
    </cfRule>
    <cfRule type="expression" priority="7" dxfId="1">
      <formula>AND($N$3&gt;0,N32&gt;=0)</formula>
    </cfRule>
  </conditionalFormatting>
  <dataValidations count="2">
    <dataValidation sqref="E3:E302" showDropDown="0" showInputMessage="0" showErrorMessage="0" allowBlank="1" type="list">
      <formula1>'選択肢マスター'!$K$2:$K$12</formula1>
    </dataValidation>
    <dataValidation sqref="H3:H302" showDropDown="0" showInputMessage="0" showErrorMessage="0" allowBlank="1" type="list">
      <formula1>'選択肢マスター'!$J$2:$J$3</formula1>
    </dataValidation>
  </dataValidations>
  <pageMargins left="0.75" right="0.75" top="1" bottom="1" header="0.5" footer="0.5"/>
</worksheet>
</file>

<file path=xl/worksheets/sheet25.xml><?xml version="1.0" encoding="utf-8"?>
<worksheet xmlns="http://schemas.openxmlformats.org/spreadsheetml/2006/main">
  <sheetPr>
    <tabColor rgb="00C55A11"/>
    <outlinePr summaryBelow="1" summaryRight="1"/>
    <pageSetUpPr/>
  </sheetPr>
  <dimension ref="A1:R302"/>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8" customWidth="1" min="3" max="3"/>
    <col width="26" customWidth="1" min="4" max="4"/>
    <col width="18" customWidth="1" min="5" max="5"/>
    <col width="12" customWidth="1" min="6" max="6"/>
    <col width="26" customWidth="1" min="7" max="7"/>
    <col width="11" customWidth="1" min="8" max="8"/>
    <col width="26" customWidth="1" min="13" max="13"/>
    <col width="15" customWidth="1" min="14" max="14"/>
    <col width="52" customWidth="1" min="15" max="15"/>
    <col width="20" customWidth="1" min="17" max="17"/>
    <col width="14" customWidth="1" min="18" max="18"/>
  </cols>
  <sheetData>
    <row r="1">
      <c r="A1" s="8" t="inlineStr">
        <is>
          <t>◆ 11月の経費入力。3行目から下へ足していってよい。右の月次P/Lは行が動かないので壊れない</t>
        </is>
      </c>
      <c r="M1" s="11" t="inlineStr">
        <is>
          <t>▼ 月次P/L（この位置は固定。左の経費表を何行足してもずれません）</t>
        </is>
      </c>
    </row>
    <row r="2" ht="30" customHeight="1">
      <c r="A2" s="3" t="inlineStr">
        <is>
          <t>No.</t>
        </is>
      </c>
      <c r="B2" s="3" t="inlineStr">
        <is>
          <t>日付</t>
        </is>
      </c>
      <c r="C2" s="3" t="inlineStr">
        <is>
          <t>時刻</t>
        </is>
      </c>
      <c r="D2" s="3" t="inlineStr">
        <is>
          <t>品目</t>
        </is>
      </c>
      <c r="E2" s="3" t="inlineStr">
        <is>
          <t>科目</t>
        </is>
      </c>
      <c r="F2" s="3" t="inlineStr">
        <is>
          <t>金額</t>
        </is>
      </c>
      <c r="G2" s="3" t="inlineStr">
        <is>
          <t>備考</t>
        </is>
      </c>
      <c r="H2" s="3" t="inlineStr">
        <is>
          <t>現金立替え</t>
        </is>
      </c>
      <c r="M2" s="3" t="inlineStr">
        <is>
          <t>項目</t>
        </is>
      </c>
      <c r="N2" s="3" t="inlineStr">
        <is>
          <t>金額</t>
        </is>
      </c>
      <c r="O2" s="3" t="inlineStr">
        <is>
          <t>計算の中身</t>
        </is>
      </c>
      <c r="Q2" s="11" t="inlineStr">
        <is>
          <t>▼ 科目別 集計</t>
        </is>
      </c>
    </row>
    <row r="3" ht="30" customHeight="1">
      <c r="B3" s="44" t="n"/>
      <c r="C3" s="46" t="n"/>
      <c r="F3" s="45" t="n"/>
      <c r="M3" s="47" t="inlineStr">
        <is>
          <t>売上</t>
        </is>
      </c>
      <c r="N3" s="48">
        <f>'11月_売上顧客'!$L$4</f>
        <v/>
      </c>
      <c r="O3" s="2" t="inlineStr">
        <is>
          <t>11月_売上顧客 の合計売上</t>
        </is>
      </c>
      <c r="Q3" s="3" t="inlineStr">
        <is>
          <t>科目</t>
        </is>
      </c>
      <c r="R3" s="3" t="inlineStr">
        <is>
          <t>金額</t>
        </is>
      </c>
    </row>
    <row r="4">
      <c r="B4" s="44" t="n"/>
      <c r="C4" s="46" t="n"/>
      <c r="F4" s="45" t="n"/>
      <c r="M4" s="49" t="inlineStr">
        <is>
          <t>エアコン台数(参考)</t>
        </is>
      </c>
      <c r="N4" s="50">
        <f>COUNTIFS('11月_売上顧客'!$M$5:$M$504,"エアコン(ノーマル)")+COUNTIFS('11月_売上顧客'!$M$5:$M$504,"エアコン(ロボ)")+COUNTIFS('11月_売上顧客'!$M$5:$M$504,"天カセ")+COUNTIFS('11月_売上顧客'!$M$5:$M$504,"業務用エアコン1方向")</f>
        <v/>
      </c>
      <c r="O4" s="2" t="inlineStr">
        <is>
          <t>エアコン(ノーマル/ロボ)・天カセ・業務用1方向</t>
        </is>
      </c>
      <c r="Q4" s="51" t="inlineStr">
        <is>
          <t>交通費</t>
        </is>
      </c>
      <c r="R4" s="52">
        <f>SUMIFS($F$3:$F$302,$E$3:$E$302,"交通費")</f>
        <v/>
      </c>
    </row>
    <row r="5">
      <c r="B5" s="44" t="n"/>
      <c r="C5" s="46" t="n"/>
      <c r="F5" s="45" t="n"/>
      <c r="M5" s="49" t="inlineStr">
        <is>
          <t>換気扇台数(参考)</t>
        </is>
      </c>
      <c r="N5" s="50">
        <f>COUNTIFS('11月_売上顧客'!$M$5:$M$504,"換気扇")</f>
        <v/>
      </c>
      <c r="O5" s="2" t="inlineStr">
        <is>
          <t>実施メニュー＝換気扇</t>
        </is>
      </c>
      <c r="Q5" s="51" t="inlineStr">
        <is>
          <t>保険料</t>
        </is>
      </c>
      <c r="R5" s="52">
        <f>SUMIFS($F$3:$F$302,$E$3:$E$302,"保険料")</f>
        <v/>
      </c>
    </row>
    <row r="6">
      <c r="B6" s="44" t="n"/>
      <c r="C6" s="46" t="n"/>
      <c r="F6" s="45" t="n"/>
      <c r="M6" s="49" t="inlineStr">
        <is>
          <t>浴室台数(参考)</t>
        </is>
      </c>
      <c r="N6" s="50">
        <f>COUNTIFS('11月_売上顧客'!$M$5:$M$504,"浴室")</f>
        <v/>
      </c>
      <c r="O6" s="2" t="inlineStr">
        <is>
          <t>実施メニュー＝浴室</t>
        </is>
      </c>
      <c r="Q6" s="51" t="inlineStr">
        <is>
          <t>通信費</t>
        </is>
      </c>
      <c r="R6" s="52">
        <f>SUMIFS($F$3:$F$302,$E$3:$E$302,"通信費")</f>
        <v/>
      </c>
    </row>
    <row r="7">
      <c r="B7" s="44" t="n"/>
      <c r="C7" s="46" t="n"/>
      <c r="F7" s="45" t="n"/>
      <c r="M7" s="49" t="inlineStr">
        <is>
          <t>資材費</t>
        </is>
      </c>
      <c r="N7" s="53">
        <f>N4*373+N5*176+N6*149</f>
        <v/>
      </c>
      <c r="O7" s="2" t="inlineStr">
        <is>
          <t>エアコン373 + 換気扇176 + 浴室149</t>
        </is>
      </c>
      <c r="Q7" s="51" t="inlineStr">
        <is>
          <t>広告費</t>
        </is>
      </c>
      <c r="R7" s="52">
        <f>SUMIFS($F$3:$F$302,$E$3:$E$302,"広告費")</f>
        <v/>
      </c>
    </row>
    <row r="8">
      <c r="B8" s="44" t="n"/>
      <c r="C8" s="46" t="n"/>
      <c r="F8" s="45" t="n"/>
      <c r="M8" s="49" t="inlineStr">
        <is>
          <t>外注費（協力業者）</t>
        </is>
      </c>
      <c r="N8" s="53">
        <f>SUMIFS($F$3:$F$302,$E$3:$E$302,"外注費")</f>
        <v/>
      </c>
      <c r="O8" s="2" t="inlineStr">
        <is>
          <t>経費表の科目＝外注費。★2027年から原価として独立</t>
        </is>
      </c>
      <c r="Q8" s="51" t="inlineStr">
        <is>
          <t>耐久品</t>
        </is>
      </c>
      <c r="R8" s="52">
        <f>SUMIFS($F$3:$F$302,$E$3:$E$302,"耐久品")</f>
        <v/>
      </c>
    </row>
    <row r="9">
      <c r="B9" s="44" t="n"/>
      <c r="C9" s="46" t="n"/>
      <c r="F9" s="45" t="n"/>
      <c r="M9" s="49" t="inlineStr">
        <is>
          <t>現場人件費（原価）</t>
        </is>
      </c>
      <c r="N9" s="53">
        <f>SUMIFS($F$3:$F$302,$E$3:$E$302,"現場人件費(原価)")</f>
        <v/>
      </c>
      <c r="O9" s="2" t="inlineStr">
        <is>
          <t>経費表の科目＝現場人件費(原価)</t>
        </is>
      </c>
      <c r="Q9" s="51" t="inlineStr">
        <is>
          <t>備品</t>
        </is>
      </c>
      <c r="R9" s="52">
        <f>SUMIFS($F$3:$F$302,$E$3:$E$302,"備品")</f>
        <v/>
      </c>
    </row>
    <row r="10">
      <c r="B10" s="44" t="n"/>
      <c r="C10" s="46" t="n"/>
      <c r="F10" s="45" t="n"/>
      <c r="M10" s="47" t="inlineStr">
        <is>
          <t>原価合計</t>
        </is>
      </c>
      <c r="N10" s="48">
        <f>N7+N8+N9</f>
        <v/>
      </c>
      <c r="O10" s="2" t="inlineStr">
        <is>
          <t>資材費＋外注費＋現場人件費</t>
        </is>
      </c>
      <c r="Q10" s="51" t="inlineStr">
        <is>
          <t>個別ロイ</t>
        </is>
      </c>
      <c r="R10" s="52">
        <f>SUMIFS($F$3:$F$302,$E$3:$E$302,"個別ロイ")</f>
        <v/>
      </c>
    </row>
    <row r="11">
      <c r="B11" s="44" t="n"/>
      <c r="C11" s="46" t="n"/>
      <c r="F11" s="45" t="n"/>
      <c r="M11" s="47" t="inlineStr">
        <is>
          <t>売上総利益</t>
        </is>
      </c>
      <c r="N11" s="48">
        <f>N3-N10</f>
        <v/>
      </c>
      <c r="O11" s="2" t="inlineStr">
        <is>
          <t>売上 − 原価合計</t>
        </is>
      </c>
      <c r="Q11" s="51" t="inlineStr">
        <is>
          <t>現場人件費(原価)</t>
        </is>
      </c>
      <c r="R11" s="52">
        <f>SUMIFS($F$3:$F$302,$E$3:$E$302,"現場人件費(原価)")</f>
        <v/>
      </c>
    </row>
    <row r="12">
      <c r="B12" s="44" t="n"/>
      <c r="C12" s="46" t="n"/>
      <c r="F12" s="45" t="n"/>
      <c r="Q12" s="51" t="inlineStr">
        <is>
          <t>固定給(販管費)</t>
        </is>
      </c>
      <c r="R12" s="52">
        <f>SUMIFS($F$3:$F$302,$E$3:$E$302,"固定給(販管費)")</f>
        <v/>
      </c>
    </row>
    <row r="13">
      <c r="B13" s="44" t="n"/>
      <c r="C13" s="46" t="n"/>
      <c r="F13" s="45" t="n"/>
      <c r="M13" s="49" t="inlineStr">
        <is>
          <t>経費合計（左の表）</t>
        </is>
      </c>
      <c r="N13" s="53">
        <f>SUM($F$3:$F$302)</f>
        <v/>
      </c>
      <c r="O13" s="2" t="inlineStr">
        <is>
          <t>左の経費入力表の金額合計</t>
        </is>
      </c>
      <c r="Q13" s="51" t="inlineStr">
        <is>
          <t>外注費</t>
        </is>
      </c>
      <c r="R13" s="52">
        <f>SUMIFS($F$3:$F$302,$E$3:$E$302,"外注費")</f>
        <v/>
      </c>
    </row>
    <row r="14">
      <c r="B14" s="44" t="n"/>
      <c r="C14" s="46" t="n"/>
      <c r="F14" s="45" t="n"/>
      <c r="M14" s="49" t="inlineStr">
        <is>
          <t>− 原価へ回した分</t>
        </is>
      </c>
      <c r="N14" s="53">
        <f>-(N8+N9)</f>
        <v/>
      </c>
      <c r="O14" s="2" t="inlineStr">
        <is>
          <t>外注費・現場人件費は原価で数えたので戻す</t>
        </is>
      </c>
      <c r="Q14" s="51" t="inlineStr">
        <is>
          <t>その他(備考へ)</t>
        </is>
      </c>
      <c r="R14" s="52">
        <f>SUMIFS($F$3:$F$302,$E$3:$E$302,"その他(備考へ)")</f>
        <v/>
      </c>
    </row>
    <row r="15">
      <c r="B15" s="44" t="n"/>
      <c r="C15" s="46" t="n"/>
      <c r="F15" s="45" t="n"/>
      <c r="M15" s="49" t="inlineStr">
        <is>
          <t>− 個別ロイ（下で計上）</t>
        </is>
      </c>
      <c r="N15" s="53">
        <f>-SUMIFS($F$3:$F$302,$E$3:$E$302,"個別ロイ")</f>
        <v/>
      </c>
      <c r="O15" s="2" t="inlineStr">
        <is>
          <t>★二重計上を防ぐため、ここで一度引く</t>
        </is>
      </c>
      <c r="Q15" s="13" t="inlineStr">
        <is>
          <t>合計</t>
        </is>
      </c>
      <c r="R15" s="54">
        <f>SUM(R4:R14)</f>
        <v/>
      </c>
    </row>
    <row r="16">
      <c r="B16" s="44" t="n"/>
      <c r="C16" s="46" t="n"/>
      <c r="F16" s="45" t="n"/>
      <c r="M16" s="49" t="inlineStr">
        <is>
          <t>ロイヤリティ 固定分</t>
        </is>
      </c>
      <c r="N16" s="53">
        <f>IF($N$3+$N$13=0,0,50050)</f>
        <v/>
      </c>
      <c r="O16" s="2" t="inlineStr">
        <is>
          <t>★50,050円。左の経費表には入力しないこと（まだ動いていない月は0）</t>
        </is>
      </c>
    </row>
    <row r="17">
      <c r="B17" s="44" t="n"/>
      <c r="C17" s="46" t="n"/>
      <c r="F17" s="45" t="n"/>
      <c r="M17" s="49" t="inlineStr">
        <is>
          <t>ロイヤリティ 38%分</t>
        </is>
      </c>
      <c r="N17" s="53">
        <f>SUMIFS('11月_売上顧客'!$L$5:$L$504,'11月_売上顧客'!$V$5:$V$504,"38%")*0.38</f>
        <v/>
      </c>
      <c r="O17" s="2" t="inlineStr">
        <is>
          <t>本舗ロイ区分＝38% の売上 × 38%</t>
        </is>
      </c>
    </row>
    <row r="18">
      <c r="B18" s="44" t="n"/>
      <c r="C18" s="46" t="n"/>
      <c r="F18" s="45" t="n"/>
      <c r="M18" s="49" t="inlineStr">
        <is>
          <t>ロイヤリティ 10%分</t>
        </is>
      </c>
      <c r="N18" s="53">
        <f>SUMIFS('11月_売上顧客'!$L$5:$L$504,'11月_売上顧客'!$V$5:$V$504,"10%")*0.1</f>
        <v/>
      </c>
      <c r="O18" s="2" t="inlineStr">
        <is>
          <t>本舗ロイ区分＝10% の売上 × 10%</t>
        </is>
      </c>
    </row>
    <row r="19">
      <c r="B19" s="44" t="n"/>
      <c r="C19" s="46" t="n"/>
      <c r="F19" s="45" t="n"/>
      <c r="M19" s="49" t="inlineStr">
        <is>
          <t>ロイヤリティ 個別実額</t>
        </is>
      </c>
      <c r="N19" s="53">
        <f>SUMIFS($F$3:$F$302,$E$3:$E$302,"個別ロイ")</f>
        <v/>
      </c>
      <c r="O19" s="2" t="inlineStr">
        <is>
          <t>経費表の科目＝個別ロイ（toB・楽ラクーン等）</t>
        </is>
      </c>
    </row>
    <row r="20">
      <c r="B20" s="44" t="n"/>
      <c r="C20" s="46" t="n"/>
      <c r="F20" s="45" t="n"/>
      <c r="M20" s="47" t="inlineStr">
        <is>
          <t>ロイヤリティ 合計</t>
        </is>
      </c>
      <c r="N20" s="48">
        <f>N16+N17+N18+N19</f>
        <v/>
      </c>
      <c r="O20" s="2" t="inlineStr">
        <is>
          <t>固定＋38%＋10%＋個別</t>
        </is>
      </c>
    </row>
    <row r="21">
      <c r="B21" s="44" t="n"/>
      <c r="C21" s="46" t="n"/>
      <c r="F21" s="45" t="n"/>
      <c r="M21" s="47" t="inlineStr">
        <is>
          <t>販売管理費</t>
        </is>
      </c>
      <c r="N21" s="48">
        <f>N13+N14+N15+N20</f>
        <v/>
      </c>
      <c r="O21" s="2" t="inlineStr">
        <is>
          <t>経費合計 − 原価分 − 個別ロイ ＋ ロイヤリティ合計</t>
        </is>
      </c>
    </row>
    <row r="22">
      <c r="B22" s="44" t="n"/>
      <c r="C22" s="46" t="n"/>
      <c r="F22" s="45" t="n"/>
      <c r="M22" s="47" t="inlineStr">
        <is>
          <t>営業利益</t>
        </is>
      </c>
      <c r="N22" s="48">
        <f>N11-N21</f>
        <v/>
      </c>
      <c r="O22" s="2" t="inlineStr">
        <is>
          <t>売上総利益 − 販売管理費</t>
        </is>
      </c>
    </row>
    <row r="23">
      <c r="B23" s="44" t="n"/>
      <c r="C23" s="46" t="n"/>
      <c r="F23" s="45" t="n"/>
      <c r="M23" s="49" t="inlineStr">
        <is>
          <t>融資返済</t>
        </is>
      </c>
      <c r="N23" s="53">
        <f>IF($N$3+$N$13=0,0,38059)</f>
        <v/>
      </c>
      <c r="O23" s="2" t="inlineStr">
        <is>
          <t>固定 38,059円（まだ動いていない月は0）</t>
        </is>
      </c>
    </row>
    <row r="24">
      <c r="B24" s="44" t="n"/>
      <c r="C24" s="46" t="n"/>
      <c r="F24" s="45" t="n"/>
      <c r="M24" s="47" t="inlineStr">
        <is>
          <t>経常利益</t>
        </is>
      </c>
      <c r="N24" s="48">
        <f>N22-N23</f>
        <v/>
      </c>
      <c r="O24" s="2" t="inlineStr">
        <is>
          <t>営業利益 − 融資返済</t>
        </is>
      </c>
    </row>
    <row r="25">
      <c r="B25" s="44" t="n"/>
      <c r="C25" s="46" t="n"/>
      <c r="F25" s="45" t="n"/>
    </row>
    <row r="26">
      <c r="B26" s="44" t="n"/>
      <c r="C26" s="46" t="n"/>
      <c r="F26" s="45" t="n"/>
      <c r="M26" s="49" t="inlineStr">
        <is>
          <t>経常利益率</t>
        </is>
      </c>
      <c r="N26" s="55">
        <f>IFERROR(N24/N3,0)</f>
        <v/>
      </c>
      <c r="O26" s="2" t="inlineStr">
        <is>
          <t>経常利益 ÷ 売上</t>
        </is>
      </c>
    </row>
    <row r="27">
      <c r="B27" s="44" t="n"/>
      <c r="C27" s="46" t="n"/>
      <c r="F27" s="45" t="n"/>
    </row>
    <row r="28">
      <c r="B28" s="44" t="n"/>
      <c r="C28" s="46" t="n"/>
      <c r="F28" s="45" t="n"/>
      <c r="M28" s="11" t="inlineStr">
        <is>
          <t>▼ 計画（中立）との比較</t>
        </is>
      </c>
    </row>
    <row r="29">
      <c r="B29" s="44" t="n"/>
      <c r="C29" s="46" t="n"/>
      <c r="F29" s="45" t="n"/>
      <c r="M29" s="51" t="inlineStr">
        <is>
          <t>計画 売上</t>
        </is>
      </c>
      <c r="N29" s="45" t="n">
        <v>2480000</v>
      </c>
      <c r="O29" s="2" t="inlineStr"/>
    </row>
    <row r="30">
      <c r="B30" s="44" t="n"/>
      <c r="C30" s="46" t="n"/>
      <c r="F30" s="45" t="n"/>
      <c r="M30" s="51" t="inlineStr">
        <is>
          <t>実績 − 計画（売上）</t>
        </is>
      </c>
      <c r="N30" s="45">
        <f>N3-N29</f>
        <v/>
      </c>
      <c r="O30" s="2" t="inlineStr">
        <is>
          <t>マイナスなら赤</t>
        </is>
      </c>
    </row>
    <row r="31">
      <c r="B31" s="44" t="n"/>
      <c r="C31" s="46" t="n"/>
      <c r="F31" s="45" t="n"/>
      <c r="M31" s="51" t="inlineStr">
        <is>
          <t>計画 経常利益</t>
        </is>
      </c>
      <c r="N31" s="45" t="n">
        <v>579935</v>
      </c>
      <c r="O31" s="2" t="inlineStr"/>
    </row>
    <row r="32">
      <c r="B32" s="44" t="n"/>
      <c r="C32" s="46" t="n"/>
      <c r="F32" s="45" t="n"/>
      <c r="M32" s="51" t="inlineStr">
        <is>
          <t>実績 − 計画（経常）</t>
        </is>
      </c>
      <c r="N32" s="45">
        <f>N24-N31</f>
        <v/>
      </c>
      <c r="O32" s="2" t="inlineStr">
        <is>
          <t>マイナスなら赤</t>
        </is>
      </c>
    </row>
    <row r="33">
      <c r="B33" s="44" t="n"/>
      <c r="C33" s="46" t="n"/>
      <c r="F33" s="45" t="n"/>
      <c r="M33" s="51" t="inlineStr">
        <is>
          <t>計画 件数</t>
        </is>
      </c>
      <c r="N33" s="56" t="n">
        <v>64</v>
      </c>
      <c r="O33" s="2" t="inlineStr"/>
    </row>
    <row r="34">
      <c r="B34" s="44" t="n"/>
      <c r="C34" s="46" t="n"/>
      <c r="F34" s="45" t="n"/>
      <c r="M34" s="51" t="inlineStr">
        <is>
          <t>実績 件数</t>
        </is>
      </c>
      <c r="N34" s="56">
        <f>'11月_売上顧客'!$E$4</f>
        <v/>
      </c>
      <c r="O34" s="2" t="inlineStr"/>
    </row>
    <row r="35">
      <c r="B35" s="44" t="n"/>
      <c r="C35" s="46" t="n"/>
      <c r="F35" s="45" t="n"/>
    </row>
    <row r="36">
      <c r="B36" s="44" t="n"/>
      <c r="C36" s="46" t="n"/>
      <c r="F36" s="45" t="n"/>
      <c r="M36" s="8" t="inlineStr">
        <is>
          <t>【ロイヤリティはこのP/Lだけで数えます】</t>
        </is>
      </c>
    </row>
    <row r="37">
      <c r="B37" s="44" t="n"/>
      <c r="C37" s="46" t="n"/>
      <c r="F37" s="45" t="n"/>
      <c r="M37" s="2" t="inlineStr">
        <is>
          <t xml:space="preserve">  ・固定分 50,050円は左の経費表に入力しないこと（2026年版はここが二重計上の疑いだった）</t>
        </is>
      </c>
    </row>
    <row r="38">
      <c r="B38" s="44" t="n"/>
      <c r="C38" s="46" t="n"/>
      <c r="F38" s="45" t="n"/>
      <c r="M38" s="2" t="inlineStr">
        <is>
          <t xml:space="preserve">  ・個別ロイは左の経費表に科目「個別ロイ」で入力する。P/Lは15行目で引いて19行目で足すので、数えるのは1回だけ</t>
        </is>
      </c>
    </row>
    <row r="39">
      <c r="B39" s="44" t="n"/>
      <c r="C39" s="46" t="n"/>
      <c r="F39" s="45" t="n"/>
      <c r="M39" s="8" t="inlineStr">
        <is>
          <t>【人件費は2つに分けます】</t>
        </is>
      </c>
    </row>
    <row r="40">
      <c r="B40" s="44" t="n"/>
      <c r="C40" s="46" t="n"/>
      <c r="F40" s="45" t="n"/>
      <c r="M40" s="2" t="inlineStr">
        <is>
          <t xml:space="preserve">  ・現場人件費(原価) … 現場に出た分。原価に入る</t>
        </is>
      </c>
    </row>
    <row r="41">
      <c r="B41" s="44" t="n"/>
      <c r="C41" s="46" t="n"/>
      <c r="F41" s="45" t="n"/>
      <c r="M41" s="2" t="inlineStr">
        <is>
          <t xml:space="preserve">  ・固定給(販管費) … 和真さんの固定給40万＋プール10万、新人の給与。販管費に入る</t>
        </is>
      </c>
    </row>
    <row r="42">
      <c r="B42" s="44" t="n"/>
      <c r="C42" s="46" t="n"/>
      <c r="F42" s="45" t="n"/>
      <c r="M42" s="2" t="inlineStr">
        <is>
          <t xml:space="preserve">  ・歩合（経常利益×45%）の行は2027年から使いません</t>
        </is>
      </c>
    </row>
    <row r="43">
      <c r="B43" s="44" t="n"/>
      <c r="C43" s="46" t="n"/>
      <c r="F43" s="45" t="n"/>
      <c r="M43" s="8" t="inlineStr">
        <is>
          <t>【保険料・通信費は「その他」に入れないこと】</t>
        </is>
      </c>
    </row>
    <row r="44">
      <c r="B44" s="44" t="n"/>
      <c r="C44" s="46" t="n"/>
      <c r="F44" s="45" t="n"/>
      <c r="M44" s="2" t="inlineStr">
        <is>
          <t xml:space="preserve">  ・賠償保険 43,760／通信費 8,470／日新火災 18,050 ＝ 月70,280円。科目を独立させました</t>
        </is>
      </c>
    </row>
    <row r="45">
      <c r="B45" s="44" t="n"/>
      <c r="C45" s="46" t="n"/>
      <c r="F45" s="45" t="n"/>
    </row>
    <row r="46">
      <c r="B46" s="44" t="n"/>
      <c r="C46" s="46" t="n"/>
      <c r="F46" s="45" t="n"/>
    </row>
    <row r="47">
      <c r="B47" s="44" t="n"/>
      <c r="C47" s="46" t="n"/>
      <c r="F47" s="45" t="n"/>
    </row>
    <row r="48">
      <c r="B48" s="44" t="n"/>
      <c r="C48" s="46" t="n"/>
      <c r="F48" s="45" t="n"/>
    </row>
    <row r="49">
      <c r="B49" s="44" t="n"/>
      <c r="C49" s="46" t="n"/>
      <c r="F49" s="45" t="n"/>
    </row>
    <row r="50">
      <c r="B50" s="44" t="n"/>
      <c r="C50" s="46" t="n"/>
      <c r="F50" s="45" t="n"/>
    </row>
    <row r="51">
      <c r="B51" s="44" t="n"/>
      <c r="C51" s="46" t="n"/>
      <c r="F51" s="45" t="n"/>
    </row>
    <row r="52">
      <c r="B52" s="44" t="n"/>
      <c r="C52" s="46" t="n"/>
      <c r="F52" s="45" t="n"/>
    </row>
    <row r="53">
      <c r="B53" s="44" t="n"/>
      <c r="C53" s="46" t="n"/>
      <c r="F53" s="45" t="n"/>
    </row>
    <row r="54">
      <c r="B54" s="44" t="n"/>
      <c r="C54" s="46" t="n"/>
      <c r="F54" s="45" t="n"/>
    </row>
    <row r="55">
      <c r="B55" s="44" t="n"/>
      <c r="C55" s="46" t="n"/>
      <c r="F55" s="45" t="n"/>
    </row>
    <row r="56">
      <c r="B56" s="44" t="n"/>
      <c r="C56" s="46" t="n"/>
      <c r="F56" s="45" t="n"/>
    </row>
    <row r="57">
      <c r="B57" s="44" t="n"/>
      <c r="C57" s="46" t="n"/>
      <c r="F57" s="45" t="n"/>
    </row>
    <row r="58">
      <c r="B58" s="44" t="n"/>
      <c r="C58" s="46" t="n"/>
      <c r="F58" s="45" t="n"/>
    </row>
    <row r="59">
      <c r="B59" s="44" t="n"/>
      <c r="C59" s="46" t="n"/>
      <c r="F59" s="45" t="n"/>
    </row>
    <row r="60">
      <c r="B60" s="44" t="n"/>
      <c r="C60" s="46" t="n"/>
      <c r="F60" s="45" t="n"/>
    </row>
    <row r="61">
      <c r="B61" s="44" t="n"/>
      <c r="C61" s="46" t="n"/>
      <c r="F61" s="45" t="n"/>
    </row>
    <row r="62">
      <c r="B62" s="44" t="n"/>
      <c r="C62" s="46" t="n"/>
      <c r="F62" s="45" t="n"/>
    </row>
    <row r="63">
      <c r="B63" s="44" t="n"/>
      <c r="C63" s="46" t="n"/>
      <c r="F63" s="45" t="n"/>
    </row>
    <row r="64">
      <c r="B64" s="44" t="n"/>
      <c r="C64" s="46" t="n"/>
      <c r="F64" s="45" t="n"/>
    </row>
    <row r="65">
      <c r="B65" s="44" t="n"/>
      <c r="C65" s="46" t="n"/>
      <c r="F65" s="45" t="n"/>
    </row>
    <row r="66">
      <c r="B66" s="44" t="n"/>
      <c r="C66" s="46" t="n"/>
      <c r="F66" s="45" t="n"/>
    </row>
    <row r="67">
      <c r="B67" s="44" t="n"/>
      <c r="C67" s="46" t="n"/>
      <c r="F67" s="45" t="n"/>
    </row>
    <row r="68">
      <c r="B68" s="44" t="n"/>
      <c r="C68" s="46" t="n"/>
      <c r="F68" s="45" t="n"/>
    </row>
    <row r="69">
      <c r="B69" s="44" t="n"/>
      <c r="C69" s="46" t="n"/>
      <c r="F69" s="45" t="n"/>
    </row>
    <row r="70">
      <c r="B70" s="44" t="n"/>
      <c r="C70" s="46" t="n"/>
      <c r="F70" s="45" t="n"/>
    </row>
    <row r="71">
      <c r="B71" s="44" t="n"/>
      <c r="C71" s="46" t="n"/>
      <c r="F71" s="45" t="n"/>
    </row>
    <row r="72">
      <c r="B72" s="44" t="n"/>
      <c r="C72" s="46" t="n"/>
      <c r="F72" s="45" t="n"/>
    </row>
    <row r="73">
      <c r="B73" s="44" t="n"/>
      <c r="C73" s="46" t="n"/>
      <c r="F73" s="45" t="n"/>
    </row>
    <row r="74">
      <c r="B74" s="44" t="n"/>
      <c r="C74" s="46" t="n"/>
      <c r="F74" s="45" t="n"/>
    </row>
    <row r="75">
      <c r="B75" s="44" t="n"/>
      <c r="C75" s="46" t="n"/>
      <c r="F75" s="45" t="n"/>
    </row>
    <row r="76">
      <c r="B76" s="44" t="n"/>
      <c r="C76" s="46" t="n"/>
      <c r="F76" s="45" t="n"/>
    </row>
    <row r="77">
      <c r="B77" s="44" t="n"/>
      <c r="C77" s="46" t="n"/>
      <c r="F77" s="45" t="n"/>
    </row>
    <row r="78">
      <c r="B78" s="44" t="n"/>
      <c r="C78" s="46" t="n"/>
      <c r="F78" s="45" t="n"/>
    </row>
    <row r="79">
      <c r="B79" s="44" t="n"/>
      <c r="C79" s="46" t="n"/>
      <c r="F79" s="45" t="n"/>
    </row>
    <row r="80">
      <c r="B80" s="44" t="n"/>
      <c r="C80" s="46" t="n"/>
      <c r="F80" s="45" t="n"/>
    </row>
    <row r="81">
      <c r="B81" s="44" t="n"/>
      <c r="C81" s="46" t="n"/>
      <c r="F81" s="45" t="n"/>
    </row>
    <row r="82">
      <c r="B82" s="44" t="n"/>
      <c r="C82" s="46" t="n"/>
      <c r="F82" s="45" t="n"/>
    </row>
    <row r="83">
      <c r="B83" s="44" t="n"/>
      <c r="C83" s="46" t="n"/>
      <c r="F83" s="45" t="n"/>
    </row>
    <row r="84">
      <c r="B84" s="44" t="n"/>
      <c r="C84" s="46" t="n"/>
      <c r="F84" s="45" t="n"/>
    </row>
    <row r="85">
      <c r="B85" s="44" t="n"/>
      <c r="C85" s="46" t="n"/>
      <c r="F85" s="45" t="n"/>
    </row>
    <row r="86">
      <c r="B86" s="44" t="n"/>
      <c r="C86" s="46" t="n"/>
      <c r="F86" s="45" t="n"/>
    </row>
    <row r="87">
      <c r="B87" s="44" t="n"/>
      <c r="C87" s="46" t="n"/>
      <c r="F87" s="45" t="n"/>
    </row>
    <row r="88">
      <c r="B88" s="44" t="n"/>
      <c r="C88" s="46" t="n"/>
      <c r="F88" s="45" t="n"/>
    </row>
    <row r="89">
      <c r="B89" s="44" t="n"/>
      <c r="C89" s="46" t="n"/>
      <c r="F89" s="45" t="n"/>
    </row>
    <row r="90">
      <c r="B90" s="44" t="n"/>
      <c r="C90" s="46" t="n"/>
      <c r="F90" s="45" t="n"/>
    </row>
    <row r="91">
      <c r="B91" s="44" t="n"/>
      <c r="C91" s="46" t="n"/>
      <c r="F91" s="45" t="n"/>
    </row>
    <row r="92">
      <c r="B92" s="44" t="n"/>
      <c r="C92" s="46" t="n"/>
      <c r="F92" s="45" t="n"/>
    </row>
    <row r="93">
      <c r="B93" s="44" t="n"/>
      <c r="C93" s="46" t="n"/>
      <c r="F93" s="45" t="n"/>
    </row>
    <row r="94">
      <c r="B94" s="44" t="n"/>
      <c r="C94" s="46" t="n"/>
      <c r="F94" s="45" t="n"/>
    </row>
    <row r="95">
      <c r="B95" s="44" t="n"/>
      <c r="C95" s="46" t="n"/>
      <c r="F95" s="45" t="n"/>
    </row>
    <row r="96">
      <c r="B96" s="44" t="n"/>
      <c r="C96" s="46" t="n"/>
      <c r="F96" s="45" t="n"/>
    </row>
    <row r="97">
      <c r="B97" s="44" t="n"/>
      <c r="C97" s="46" t="n"/>
      <c r="F97" s="45" t="n"/>
    </row>
    <row r="98">
      <c r="B98" s="44" t="n"/>
      <c r="C98" s="46" t="n"/>
      <c r="F98" s="45" t="n"/>
    </row>
    <row r="99">
      <c r="B99" s="44" t="n"/>
      <c r="C99" s="46" t="n"/>
      <c r="F99" s="45" t="n"/>
    </row>
    <row r="100">
      <c r="B100" s="44" t="n"/>
      <c r="C100" s="46" t="n"/>
      <c r="F100" s="45" t="n"/>
    </row>
    <row r="101">
      <c r="B101" s="44" t="n"/>
      <c r="C101" s="46" t="n"/>
      <c r="F101" s="45" t="n"/>
    </row>
    <row r="102">
      <c r="B102" s="44" t="n"/>
      <c r="C102" s="46" t="n"/>
      <c r="F102" s="45" t="n"/>
    </row>
    <row r="103">
      <c r="B103" s="44" t="n"/>
      <c r="C103" s="46" t="n"/>
      <c r="F103" s="45" t="n"/>
    </row>
    <row r="104">
      <c r="B104" s="44" t="n"/>
      <c r="C104" s="46" t="n"/>
      <c r="F104" s="45" t="n"/>
    </row>
    <row r="105">
      <c r="B105" s="44" t="n"/>
      <c r="C105" s="46" t="n"/>
      <c r="F105" s="45" t="n"/>
    </row>
    <row r="106">
      <c r="B106" s="44" t="n"/>
      <c r="C106" s="46" t="n"/>
      <c r="F106" s="45" t="n"/>
    </row>
    <row r="107">
      <c r="B107" s="44" t="n"/>
      <c r="C107" s="46" t="n"/>
      <c r="F107" s="45" t="n"/>
    </row>
    <row r="108">
      <c r="B108" s="44" t="n"/>
      <c r="C108" s="46" t="n"/>
      <c r="F108" s="45" t="n"/>
    </row>
    <row r="109">
      <c r="B109" s="44" t="n"/>
      <c r="C109" s="46" t="n"/>
      <c r="F109" s="45" t="n"/>
    </row>
    <row r="110">
      <c r="B110" s="44" t="n"/>
      <c r="C110" s="46" t="n"/>
      <c r="F110" s="45" t="n"/>
    </row>
    <row r="111">
      <c r="B111" s="44" t="n"/>
      <c r="C111" s="46" t="n"/>
      <c r="F111" s="45" t="n"/>
    </row>
    <row r="112">
      <c r="B112" s="44" t="n"/>
      <c r="C112" s="46" t="n"/>
      <c r="F112" s="45" t="n"/>
    </row>
    <row r="113">
      <c r="B113" s="44" t="n"/>
      <c r="C113" s="46" t="n"/>
      <c r="F113" s="45" t="n"/>
    </row>
    <row r="114">
      <c r="B114" s="44" t="n"/>
      <c r="C114" s="46" t="n"/>
      <c r="F114" s="45" t="n"/>
    </row>
    <row r="115">
      <c r="B115" s="44" t="n"/>
      <c r="C115" s="46" t="n"/>
      <c r="F115" s="45" t="n"/>
    </row>
    <row r="116">
      <c r="B116" s="44" t="n"/>
      <c r="C116" s="46" t="n"/>
      <c r="F116" s="45" t="n"/>
    </row>
    <row r="117">
      <c r="B117" s="44" t="n"/>
      <c r="C117" s="46" t="n"/>
      <c r="F117" s="45" t="n"/>
    </row>
    <row r="118">
      <c r="B118" s="44" t="n"/>
      <c r="C118" s="46" t="n"/>
      <c r="F118" s="45" t="n"/>
    </row>
    <row r="119">
      <c r="B119" s="44" t="n"/>
      <c r="C119" s="46" t="n"/>
      <c r="F119" s="45" t="n"/>
    </row>
    <row r="120">
      <c r="B120" s="44" t="n"/>
      <c r="C120" s="46" t="n"/>
      <c r="F120" s="45" t="n"/>
    </row>
    <row r="121">
      <c r="B121" s="44" t="n"/>
      <c r="C121" s="46" t="n"/>
      <c r="F121" s="45" t="n"/>
    </row>
    <row r="122">
      <c r="B122" s="44" t="n"/>
      <c r="C122" s="46" t="n"/>
      <c r="F122" s="45" t="n"/>
    </row>
    <row r="123">
      <c r="B123" s="44" t="n"/>
      <c r="C123" s="46" t="n"/>
      <c r="F123" s="45" t="n"/>
    </row>
    <row r="124">
      <c r="B124" s="44" t="n"/>
      <c r="C124" s="46" t="n"/>
      <c r="F124" s="45" t="n"/>
    </row>
    <row r="125">
      <c r="B125" s="44" t="n"/>
      <c r="C125" s="46" t="n"/>
      <c r="F125" s="45" t="n"/>
    </row>
    <row r="126">
      <c r="B126" s="44" t="n"/>
      <c r="C126" s="46" t="n"/>
      <c r="F126" s="45" t="n"/>
    </row>
    <row r="127">
      <c r="B127" s="44" t="n"/>
      <c r="C127" s="46" t="n"/>
      <c r="F127" s="45" t="n"/>
    </row>
    <row r="128">
      <c r="B128" s="44" t="n"/>
      <c r="C128" s="46" t="n"/>
      <c r="F128" s="45" t="n"/>
    </row>
    <row r="129">
      <c r="B129" s="44" t="n"/>
      <c r="C129" s="46" t="n"/>
      <c r="F129" s="45" t="n"/>
    </row>
    <row r="130">
      <c r="B130" s="44" t="n"/>
      <c r="C130" s="46" t="n"/>
      <c r="F130" s="45" t="n"/>
    </row>
    <row r="131">
      <c r="B131" s="44" t="n"/>
      <c r="C131" s="46" t="n"/>
      <c r="F131" s="45" t="n"/>
    </row>
    <row r="132">
      <c r="B132" s="44" t="n"/>
      <c r="C132" s="46" t="n"/>
      <c r="F132" s="45" t="n"/>
    </row>
    <row r="133">
      <c r="B133" s="44" t="n"/>
      <c r="C133" s="46" t="n"/>
      <c r="F133" s="45" t="n"/>
    </row>
    <row r="134">
      <c r="B134" s="44" t="n"/>
      <c r="C134" s="46" t="n"/>
      <c r="F134" s="45" t="n"/>
    </row>
    <row r="135">
      <c r="B135" s="44" t="n"/>
      <c r="C135" s="46" t="n"/>
      <c r="F135" s="45" t="n"/>
    </row>
    <row r="136">
      <c r="B136" s="44" t="n"/>
      <c r="C136" s="46" t="n"/>
      <c r="F136" s="45" t="n"/>
    </row>
    <row r="137">
      <c r="B137" s="44" t="n"/>
      <c r="C137" s="46" t="n"/>
      <c r="F137" s="45" t="n"/>
    </row>
    <row r="138">
      <c r="B138" s="44" t="n"/>
      <c r="C138" s="46" t="n"/>
      <c r="F138" s="45" t="n"/>
    </row>
    <row r="139">
      <c r="B139" s="44" t="n"/>
      <c r="C139" s="46" t="n"/>
      <c r="F139" s="45" t="n"/>
    </row>
    <row r="140">
      <c r="B140" s="44" t="n"/>
      <c r="C140" s="46" t="n"/>
      <c r="F140" s="45" t="n"/>
    </row>
    <row r="141">
      <c r="B141" s="44" t="n"/>
      <c r="C141" s="46" t="n"/>
      <c r="F141" s="45" t="n"/>
    </row>
    <row r="142">
      <c r="B142" s="44" t="n"/>
      <c r="C142" s="46" t="n"/>
      <c r="F142" s="45" t="n"/>
    </row>
    <row r="143">
      <c r="B143" s="44" t="n"/>
      <c r="C143" s="46" t="n"/>
      <c r="F143" s="45" t="n"/>
    </row>
    <row r="144">
      <c r="B144" s="44" t="n"/>
      <c r="C144" s="46" t="n"/>
      <c r="F144" s="45" t="n"/>
    </row>
    <row r="145">
      <c r="B145" s="44" t="n"/>
      <c r="C145" s="46" t="n"/>
      <c r="F145" s="45" t="n"/>
    </row>
    <row r="146">
      <c r="B146" s="44" t="n"/>
      <c r="C146" s="46" t="n"/>
      <c r="F146" s="45" t="n"/>
    </row>
    <row r="147">
      <c r="B147" s="44" t="n"/>
      <c r="C147" s="46" t="n"/>
      <c r="F147" s="45" t="n"/>
    </row>
    <row r="148">
      <c r="B148" s="44" t="n"/>
      <c r="C148" s="46" t="n"/>
      <c r="F148" s="45" t="n"/>
    </row>
    <row r="149">
      <c r="B149" s="44" t="n"/>
      <c r="C149" s="46" t="n"/>
      <c r="F149" s="45" t="n"/>
    </row>
    <row r="150">
      <c r="B150" s="44" t="n"/>
      <c r="C150" s="46" t="n"/>
      <c r="F150" s="45" t="n"/>
    </row>
    <row r="151">
      <c r="B151" s="44" t="n"/>
      <c r="C151" s="46" t="n"/>
      <c r="F151" s="45" t="n"/>
    </row>
    <row r="152">
      <c r="B152" s="44" t="n"/>
      <c r="C152" s="46" t="n"/>
      <c r="F152" s="45" t="n"/>
    </row>
    <row r="153">
      <c r="B153" s="44" t="n"/>
      <c r="C153" s="46" t="n"/>
      <c r="F153" s="45" t="n"/>
    </row>
    <row r="154">
      <c r="B154" s="44" t="n"/>
      <c r="C154" s="46" t="n"/>
      <c r="F154" s="45" t="n"/>
    </row>
    <row r="155">
      <c r="B155" s="44" t="n"/>
      <c r="C155" s="46" t="n"/>
      <c r="F155" s="45" t="n"/>
    </row>
    <row r="156">
      <c r="B156" s="44" t="n"/>
      <c r="C156" s="46" t="n"/>
      <c r="F156" s="45" t="n"/>
    </row>
    <row r="157">
      <c r="B157" s="44" t="n"/>
      <c r="C157" s="46" t="n"/>
      <c r="F157" s="45" t="n"/>
    </row>
    <row r="158">
      <c r="B158" s="44" t="n"/>
      <c r="C158" s="46" t="n"/>
      <c r="F158" s="45" t="n"/>
    </row>
    <row r="159">
      <c r="B159" s="44" t="n"/>
      <c r="C159" s="46" t="n"/>
      <c r="F159" s="45" t="n"/>
    </row>
    <row r="160">
      <c r="B160" s="44" t="n"/>
      <c r="C160" s="46" t="n"/>
      <c r="F160" s="45" t="n"/>
    </row>
    <row r="161">
      <c r="B161" s="44" t="n"/>
      <c r="C161" s="46" t="n"/>
      <c r="F161" s="45" t="n"/>
    </row>
    <row r="162">
      <c r="B162" s="44" t="n"/>
      <c r="C162" s="46" t="n"/>
      <c r="F162" s="45" t="n"/>
    </row>
    <row r="163">
      <c r="B163" s="44" t="n"/>
      <c r="C163" s="46" t="n"/>
      <c r="F163" s="45" t="n"/>
    </row>
    <row r="164">
      <c r="B164" s="44" t="n"/>
      <c r="C164" s="46" t="n"/>
      <c r="F164" s="45" t="n"/>
    </row>
    <row r="165">
      <c r="B165" s="44" t="n"/>
      <c r="C165" s="46" t="n"/>
      <c r="F165" s="45" t="n"/>
    </row>
    <row r="166">
      <c r="B166" s="44" t="n"/>
      <c r="C166" s="46" t="n"/>
      <c r="F166" s="45" t="n"/>
    </row>
    <row r="167">
      <c r="B167" s="44" t="n"/>
      <c r="C167" s="46" t="n"/>
      <c r="F167" s="45" t="n"/>
    </row>
    <row r="168">
      <c r="B168" s="44" t="n"/>
      <c r="C168" s="46" t="n"/>
      <c r="F168" s="45" t="n"/>
    </row>
    <row r="169">
      <c r="B169" s="44" t="n"/>
      <c r="C169" s="46" t="n"/>
      <c r="F169" s="45" t="n"/>
    </row>
    <row r="170">
      <c r="B170" s="44" t="n"/>
      <c r="C170" s="46" t="n"/>
      <c r="F170" s="45" t="n"/>
    </row>
    <row r="171">
      <c r="B171" s="44" t="n"/>
      <c r="C171" s="46" t="n"/>
      <c r="F171" s="45" t="n"/>
    </row>
    <row r="172">
      <c r="B172" s="44" t="n"/>
      <c r="C172" s="46" t="n"/>
      <c r="F172" s="45" t="n"/>
    </row>
    <row r="173">
      <c r="B173" s="44" t="n"/>
      <c r="C173" s="46" t="n"/>
      <c r="F173" s="45" t="n"/>
    </row>
    <row r="174">
      <c r="B174" s="44" t="n"/>
      <c r="C174" s="46" t="n"/>
      <c r="F174" s="45" t="n"/>
    </row>
    <row r="175">
      <c r="B175" s="44" t="n"/>
      <c r="C175" s="46" t="n"/>
      <c r="F175" s="45" t="n"/>
    </row>
    <row r="176">
      <c r="B176" s="44" t="n"/>
      <c r="C176" s="46" t="n"/>
      <c r="F176" s="45" t="n"/>
    </row>
    <row r="177">
      <c r="B177" s="44" t="n"/>
      <c r="C177" s="46" t="n"/>
      <c r="F177" s="45" t="n"/>
    </row>
    <row r="178">
      <c r="B178" s="44" t="n"/>
      <c r="C178" s="46" t="n"/>
      <c r="F178" s="45" t="n"/>
    </row>
    <row r="179">
      <c r="B179" s="44" t="n"/>
      <c r="C179" s="46" t="n"/>
      <c r="F179" s="45" t="n"/>
    </row>
    <row r="180">
      <c r="B180" s="44" t="n"/>
      <c r="C180" s="46" t="n"/>
      <c r="F180" s="45" t="n"/>
    </row>
    <row r="181">
      <c r="B181" s="44" t="n"/>
      <c r="C181" s="46" t="n"/>
      <c r="F181" s="45" t="n"/>
    </row>
    <row r="182">
      <c r="B182" s="44" t="n"/>
      <c r="C182" s="46" t="n"/>
      <c r="F182" s="45" t="n"/>
    </row>
    <row r="183">
      <c r="B183" s="44" t="n"/>
      <c r="C183" s="46" t="n"/>
      <c r="F183" s="45" t="n"/>
    </row>
    <row r="184">
      <c r="B184" s="44" t="n"/>
      <c r="C184" s="46" t="n"/>
      <c r="F184" s="45" t="n"/>
    </row>
    <row r="185">
      <c r="B185" s="44" t="n"/>
      <c r="C185" s="46" t="n"/>
      <c r="F185" s="45" t="n"/>
    </row>
    <row r="186">
      <c r="B186" s="44" t="n"/>
      <c r="C186" s="46" t="n"/>
      <c r="F186" s="45" t="n"/>
    </row>
    <row r="187">
      <c r="B187" s="44" t="n"/>
      <c r="C187" s="46" t="n"/>
      <c r="F187" s="45" t="n"/>
    </row>
    <row r="188">
      <c r="B188" s="44" t="n"/>
      <c r="C188" s="46" t="n"/>
      <c r="F188" s="45" t="n"/>
    </row>
    <row r="189">
      <c r="B189" s="44" t="n"/>
      <c r="C189" s="46" t="n"/>
      <c r="F189" s="45" t="n"/>
    </row>
    <row r="190">
      <c r="B190" s="44" t="n"/>
      <c r="C190" s="46" t="n"/>
      <c r="F190" s="45" t="n"/>
    </row>
    <row r="191">
      <c r="B191" s="44" t="n"/>
      <c r="C191" s="46" t="n"/>
      <c r="F191" s="45" t="n"/>
    </row>
    <row r="192">
      <c r="B192" s="44" t="n"/>
      <c r="C192" s="46" t="n"/>
      <c r="F192" s="45" t="n"/>
    </row>
    <row r="193">
      <c r="B193" s="44" t="n"/>
      <c r="C193" s="46" t="n"/>
      <c r="F193" s="45" t="n"/>
    </row>
    <row r="194">
      <c r="B194" s="44" t="n"/>
      <c r="C194" s="46" t="n"/>
      <c r="F194" s="45" t="n"/>
    </row>
    <row r="195">
      <c r="B195" s="44" t="n"/>
      <c r="C195" s="46" t="n"/>
      <c r="F195" s="45" t="n"/>
    </row>
    <row r="196">
      <c r="B196" s="44" t="n"/>
      <c r="C196" s="46" t="n"/>
      <c r="F196" s="45" t="n"/>
    </row>
    <row r="197">
      <c r="B197" s="44" t="n"/>
      <c r="C197" s="46" t="n"/>
      <c r="F197" s="45" t="n"/>
    </row>
    <row r="198">
      <c r="B198" s="44" t="n"/>
      <c r="C198" s="46" t="n"/>
      <c r="F198" s="45" t="n"/>
    </row>
    <row r="199">
      <c r="B199" s="44" t="n"/>
      <c r="C199" s="46" t="n"/>
      <c r="F199" s="45" t="n"/>
    </row>
    <row r="200">
      <c r="B200" s="44" t="n"/>
      <c r="C200" s="46" t="n"/>
      <c r="F200" s="45" t="n"/>
    </row>
    <row r="201">
      <c r="B201" s="44" t="n"/>
      <c r="C201" s="46" t="n"/>
      <c r="F201" s="45" t="n"/>
    </row>
    <row r="202">
      <c r="B202" s="44" t="n"/>
      <c r="C202" s="46" t="n"/>
      <c r="F202" s="45" t="n"/>
    </row>
    <row r="203">
      <c r="B203" s="44" t="n"/>
      <c r="C203" s="46" t="n"/>
      <c r="F203" s="45" t="n"/>
    </row>
    <row r="204">
      <c r="B204" s="44" t="n"/>
      <c r="C204" s="46" t="n"/>
      <c r="F204" s="45" t="n"/>
    </row>
    <row r="205">
      <c r="B205" s="44" t="n"/>
      <c r="C205" s="46" t="n"/>
      <c r="F205" s="45" t="n"/>
    </row>
    <row r="206">
      <c r="B206" s="44" t="n"/>
      <c r="C206" s="46" t="n"/>
      <c r="F206" s="45" t="n"/>
    </row>
    <row r="207">
      <c r="B207" s="44" t="n"/>
      <c r="C207" s="46" t="n"/>
      <c r="F207" s="45" t="n"/>
    </row>
    <row r="208">
      <c r="B208" s="44" t="n"/>
      <c r="C208" s="46" t="n"/>
      <c r="F208" s="45" t="n"/>
    </row>
    <row r="209">
      <c r="B209" s="44" t="n"/>
      <c r="C209" s="46" t="n"/>
      <c r="F209" s="45" t="n"/>
    </row>
    <row r="210">
      <c r="B210" s="44" t="n"/>
      <c r="C210" s="46" t="n"/>
      <c r="F210" s="45" t="n"/>
    </row>
    <row r="211">
      <c r="B211" s="44" t="n"/>
      <c r="C211" s="46" t="n"/>
      <c r="F211" s="45" t="n"/>
    </row>
    <row r="212">
      <c r="B212" s="44" t="n"/>
      <c r="C212" s="46" t="n"/>
      <c r="F212" s="45" t="n"/>
    </row>
    <row r="213">
      <c r="B213" s="44" t="n"/>
      <c r="C213" s="46" t="n"/>
      <c r="F213" s="45" t="n"/>
    </row>
    <row r="214">
      <c r="B214" s="44" t="n"/>
      <c r="C214" s="46" t="n"/>
      <c r="F214" s="45" t="n"/>
    </row>
    <row r="215">
      <c r="B215" s="44" t="n"/>
      <c r="C215" s="46" t="n"/>
      <c r="F215" s="45" t="n"/>
    </row>
    <row r="216">
      <c r="B216" s="44" t="n"/>
      <c r="C216" s="46" t="n"/>
      <c r="F216" s="45" t="n"/>
    </row>
    <row r="217">
      <c r="B217" s="44" t="n"/>
      <c r="C217" s="46" t="n"/>
      <c r="F217" s="45" t="n"/>
    </row>
    <row r="218">
      <c r="B218" s="44" t="n"/>
      <c r="C218" s="46" t="n"/>
      <c r="F218" s="45" t="n"/>
    </row>
    <row r="219">
      <c r="B219" s="44" t="n"/>
      <c r="C219" s="46" t="n"/>
      <c r="F219" s="45" t="n"/>
    </row>
    <row r="220">
      <c r="B220" s="44" t="n"/>
      <c r="C220" s="46" t="n"/>
      <c r="F220" s="45" t="n"/>
    </row>
    <row r="221">
      <c r="B221" s="44" t="n"/>
      <c r="C221" s="46" t="n"/>
      <c r="F221" s="45" t="n"/>
    </row>
    <row r="222">
      <c r="B222" s="44" t="n"/>
      <c r="C222" s="46" t="n"/>
      <c r="F222" s="45" t="n"/>
    </row>
    <row r="223">
      <c r="B223" s="44" t="n"/>
      <c r="C223" s="46" t="n"/>
      <c r="F223" s="45" t="n"/>
    </row>
    <row r="224">
      <c r="B224" s="44" t="n"/>
      <c r="C224" s="46" t="n"/>
      <c r="F224" s="45" t="n"/>
    </row>
    <row r="225">
      <c r="B225" s="44" t="n"/>
      <c r="C225" s="46" t="n"/>
      <c r="F225" s="45" t="n"/>
    </row>
    <row r="226">
      <c r="B226" s="44" t="n"/>
      <c r="C226" s="46" t="n"/>
      <c r="F226" s="45" t="n"/>
    </row>
    <row r="227">
      <c r="B227" s="44" t="n"/>
      <c r="C227" s="46" t="n"/>
      <c r="F227" s="45" t="n"/>
    </row>
    <row r="228">
      <c r="B228" s="44" t="n"/>
      <c r="C228" s="46" t="n"/>
      <c r="F228" s="45" t="n"/>
    </row>
    <row r="229">
      <c r="B229" s="44" t="n"/>
      <c r="C229" s="46" t="n"/>
      <c r="F229" s="45" t="n"/>
    </row>
    <row r="230">
      <c r="B230" s="44" t="n"/>
      <c r="C230" s="46" t="n"/>
      <c r="F230" s="45" t="n"/>
    </row>
    <row r="231">
      <c r="B231" s="44" t="n"/>
      <c r="C231" s="46" t="n"/>
      <c r="F231" s="45" t="n"/>
    </row>
    <row r="232">
      <c r="B232" s="44" t="n"/>
      <c r="C232" s="46" t="n"/>
      <c r="F232" s="45" t="n"/>
    </row>
    <row r="233">
      <c r="B233" s="44" t="n"/>
      <c r="C233" s="46" t="n"/>
      <c r="F233" s="45" t="n"/>
    </row>
    <row r="234">
      <c r="B234" s="44" t="n"/>
      <c r="C234" s="46" t="n"/>
      <c r="F234" s="45" t="n"/>
    </row>
    <row r="235">
      <c r="B235" s="44" t="n"/>
      <c r="C235" s="46" t="n"/>
      <c r="F235" s="45" t="n"/>
    </row>
    <row r="236">
      <c r="B236" s="44" t="n"/>
      <c r="C236" s="46" t="n"/>
      <c r="F236" s="45" t="n"/>
    </row>
    <row r="237">
      <c r="B237" s="44" t="n"/>
      <c r="C237" s="46" t="n"/>
      <c r="F237" s="45" t="n"/>
    </row>
    <row r="238">
      <c r="B238" s="44" t="n"/>
      <c r="C238" s="46" t="n"/>
      <c r="F238" s="45" t="n"/>
    </row>
    <row r="239">
      <c r="B239" s="44" t="n"/>
      <c r="C239" s="46" t="n"/>
      <c r="F239" s="45" t="n"/>
    </row>
    <row r="240">
      <c r="B240" s="44" t="n"/>
      <c r="C240" s="46" t="n"/>
      <c r="F240" s="45" t="n"/>
    </row>
    <row r="241">
      <c r="B241" s="44" t="n"/>
      <c r="C241" s="46" t="n"/>
      <c r="F241" s="45" t="n"/>
    </row>
    <row r="242">
      <c r="B242" s="44" t="n"/>
      <c r="C242" s="46" t="n"/>
      <c r="F242" s="45" t="n"/>
    </row>
    <row r="243">
      <c r="B243" s="44" t="n"/>
      <c r="C243" s="46" t="n"/>
      <c r="F243" s="45" t="n"/>
    </row>
    <row r="244">
      <c r="B244" s="44" t="n"/>
      <c r="C244" s="46" t="n"/>
      <c r="F244" s="45" t="n"/>
    </row>
    <row r="245">
      <c r="B245" s="44" t="n"/>
      <c r="C245" s="46" t="n"/>
      <c r="F245" s="45" t="n"/>
    </row>
    <row r="246">
      <c r="B246" s="44" t="n"/>
      <c r="C246" s="46" t="n"/>
      <c r="F246" s="45" t="n"/>
    </row>
    <row r="247">
      <c r="B247" s="44" t="n"/>
      <c r="C247" s="46" t="n"/>
      <c r="F247" s="45" t="n"/>
    </row>
    <row r="248">
      <c r="B248" s="44" t="n"/>
      <c r="C248" s="46" t="n"/>
      <c r="F248" s="45" t="n"/>
    </row>
    <row r="249">
      <c r="B249" s="44" t="n"/>
      <c r="C249" s="46" t="n"/>
      <c r="F249" s="45" t="n"/>
    </row>
    <row r="250">
      <c r="B250" s="44" t="n"/>
      <c r="C250" s="46" t="n"/>
      <c r="F250" s="45" t="n"/>
    </row>
    <row r="251">
      <c r="B251" s="44" t="n"/>
      <c r="C251" s="46" t="n"/>
      <c r="F251" s="45" t="n"/>
    </row>
    <row r="252">
      <c r="B252" s="44" t="n"/>
      <c r="C252" s="46" t="n"/>
      <c r="F252" s="45" t="n"/>
    </row>
    <row r="253">
      <c r="B253" s="44" t="n"/>
      <c r="C253" s="46" t="n"/>
      <c r="F253" s="45" t="n"/>
    </row>
    <row r="254">
      <c r="B254" s="44" t="n"/>
      <c r="C254" s="46" t="n"/>
      <c r="F254" s="45" t="n"/>
    </row>
    <row r="255">
      <c r="B255" s="44" t="n"/>
      <c r="C255" s="46" t="n"/>
      <c r="F255" s="45" t="n"/>
    </row>
    <row r="256">
      <c r="B256" s="44" t="n"/>
      <c r="C256" s="46" t="n"/>
      <c r="F256" s="45" t="n"/>
    </row>
    <row r="257">
      <c r="B257" s="44" t="n"/>
      <c r="C257" s="46" t="n"/>
      <c r="F257" s="45" t="n"/>
    </row>
    <row r="258">
      <c r="B258" s="44" t="n"/>
      <c r="C258" s="46" t="n"/>
      <c r="F258" s="45" t="n"/>
    </row>
    <row r="259">
      <c r="B259" s="44" t="n"/>
      <c r="C259" s="46" t="n"/>
      <c r="F259" s="45" t="n"/>
    </row>
    <row r="260">
      <c r="B260" s="44" t="n"/>
      <c r="C260" s="46" t="n"/>
      <c r="F260" s="45" t="n"/>
    </row>
    <row r="261">
      <c r="B261" s="44" t="n"/>
      <c r="C261" s="46" t="n"/>
      <c r="F261" s="45" t="n"/>
    </row>
    <row r="262">
      <c r="B262" s="44" t="n"/>
      <c r="C262" s="46" t="n"/>
      <c r="F262" s="45" t="n"/>
    </row>
    <row r="263">
      <c r="B263" s="44" t="n"/>
      <c r="C263" s="46" t="n"/>
      <c r="F263" s="45" t="n"/>
    </row>
    <row r="264">
      <c r="B264" s="44" t="n"/>
      <c r="C264" s="46" t="n"/>
      <c r="F264" s="45" t="n"/>
    </row>
    <row r="265">
      <c r="B265" s="44" t="n"/>
      <c r="C265" s="46" t="n"/>
      <c r="F265" s="45" t="n"/>
    </row>
    <row r="266">
      <c r="B266" s="44" t="n"/>
      <c r="C266" s="46" t="n"/>
      <c r="F266" s="45" t="n"/>
    </row>
    <row r="267">
      <c r="B267" s="44" t="n"/>
      <c r="C267" s="46" t="n"/>
      <c r="F267" s="45" t="n"/>
    </row>
    <row r="268">
      <c r="B268" s="44" t="n"/>
      <c r="C268" s="46" t="n"/>
      <c r="F268" s="45" t="n"/>
    </row>
    <row r="269">
      <c r="B269" s="44" t="n"/>
      <c r="C269" s="46" t="n"/>
      <c r="F269" s="45" t="n"/>
    </row>
    <row r="270">
      <c r="B270" s="44" t="n"/>
      <c r="C270" s="46" t="n"/>
      <c r="F270" s="45" t="n"/>
    </row>
    <row r="271">
      <c r="B271" s="44" t="n"/>
      <c r="C271" s="46" t="n"/>
      <c r="F271" s="45" t="n"/>
    </row>
    <row r="272">
      <c r="B272" s="44" t="n"/>
      <c r="C272" s="46" t="n"/>
      <c r="F272" s="45" t="n"/>
    </row>
    <row r="273">
      <c r="B273" s="44" t="n"/>
      <c r="C273" s="46" t="n"/>
      <c r="F273" s="45" t="n"/>
    </row>
    <row r="274">
      <c r="B274" s="44" t="n"/>
      <c r="C274" s="46" t="n"/>
      <c r="F274" s="45" t="n"/>
    </row>
    <row r="275">
      <c r="B275" s="44" t="n"/>
      <c r="C275" s="46" t="n"/>
      <c r="F275" s="45" t="n"/>
    </row>
    <row r="276">
      <c r="B276" s="44" t="n"/>
      <c r="C276" s="46" t="n"/>
      <c r="F276" s="45" t="n"/>
    </row>
    <row r="277">
      <c r="B277" s="44" t="n"/>
      <c r="C277" s="46" t="n"/>
      <c r="F277" s="45" t="n"/>
    </row>
    <row r="278">
      <c r="B278" s="44" t="n"/>
      <c r="C278" s="46" t="n"/>
      <c r="F278" s="45" t="n"/>
    </row>
    <row r="279">
      <c r="B279" s="44" t="n"/>
      <c r="C279" s="46" t="n"/>
      <c r="F279" s="45" t="n"/>
    </row>
    <row r="280">
      <c r="B280" s="44" t="n"/>
      <c r="C280" s="46" t="n"/>
      <c r="F280" s="45" t="n"/>
    </row>
    <row r="281">
      <c r="B281" s="44" t="n"/>
      <c r="C281" s="46" t="n"/>
      <c r="F281" s="45" t="n"/>
    </row>
    <row r="282">
      <c r="B282" s="44" t="n"/>
      <c r="C282" s="46" t="n"/>
      <c r="F282" s="45" t="n"/>
    </row>
    <row r="283">
      <c r="B283" s="44" t="n"/>
      <c r="C283" s="46" t="n"/>
      <c r="F283" s="45" t="n"/>
    </row>
    <row r="284">
      <c r="B284" s="44" t="n"/>
      <c r="C284" s="46" t="n"/>
      <c r="F284" s="45" t="n"/>
    </row>
    <row r="285">
      <c r="B285" s="44" t="n"/>
      <c r="C285" s="46" t="n"/>
      <c r="F285" s="45" t="n"/>
    </row>
    <row r="286">
      <c r="B286" s="44" t="n"/>
      <c r="C286" s="46" t="n"/>
      <c r="F286" s="45" t="n"/>
    </row>
    <row r="287">
      <c r="B287" s="44" t="n"/>
      <c r="C287" s="46" t="n"/>
      <c r="F287" s="45" t="n"/>
    </row>
    <row r="288">
      <c r="B288" s="44" t="n"/>
      <c r="C288" s="46" t="n"/>
      <c r="F288" s="45" t="n"/>
    </row>
    <row r="289">
      <c r="B289" s="44" t="n"/>
      <c r="C289" s="46" t="n"/>
      <c r="F289" s="45" t="n"/>
    </row>
    <row r="290">
      <c r="B290" s="44" t="n"/>
      <c r="C290" s="46" t="n"/>
      <c r="F290" s="45" t="n"/>
    </row>
    <row r="291">
      <c r="B291" s="44" t="n"/>
      <c r="C291" s="46" t="n"/>
      <c r="F291" s="45" t="n"/>
    </row>
    <row r="292">
      <c r="B292" s="44" t="n"/>
      <c r="C292" s="46" t="n"/>
      <c r="F292" s="45" t="n"/>
    </row>
    <row r="293">
      <c r="B293" s="44" t="n"/>
      <c r="C293" s="46" t="n"/>
      <c r="F293" s="45" t="n"/>
    </row>
    <row r="294">
      <c r="B294" s="44" t="n"/>
      <c r="C294" s="46" t="n"/>
      <c r="F294" s="45" t="n"/>
    </row>
    <row r="295">
      <c r="B295" s="44" t="n"/>
      <c r="C295" s="46" t="n"/>
      <c r="F295" s="45" t="n"/>
    </row>
    <row r="296">
      <c r="B296" s="44" t="n"/>
      <c r="C296" s="46" t="n"/>
      <c r="F296" s="45" t="n"/>
    </row>
    <row r="297">
      <c r="B297" s="44" t="n"/>
      <c r="C297" s="46" t="n"/>
      <c r="F297" s="45" t="n"/>
    </row>
    <row r="298">
      <c r="B298" s="44" t="n"/>
      <c r="C298" s="46" t="n"/>
      <c r="F298" s="45" t="n"/>
    </row>
    <row r="299">
      <c r="B299" s="44" t="n"/>
      <c r="C299" s="46" t="n"/>
      <c r="F299" s="45" t="n"/>
    </row>
    <row r="300">
      <c r="B300" s="44" t="n"/>
      <c r="C300" s="46" t="n"/>
      <c r="F300" s="45" t="n"/>
    </row>
    <row r="301">
      <c r="B301" s="44" t="n"/>
      <c r="C301" s="46" t="n"/>
      <c r="F301" s="45" t="n"/>
    </row>
    <row r="302">
      <c r="B302" s="44" t="n"/>
      <c r="C302" s="46" t="n"/>
      <c r="F302" s="45" t="n"/>
    </row>
  </sheetData>
  <conditionalFormatting sqref="N22">
    <cfRule type="cellIs" priority="1" operator="lessThan" dxfId="0">
      <formula>0</formula>
    </cfRule>
  </conditionalFormatting>
  <conditionalFormatting sqref="N24">
    <cfRule type="cellIs" priority="2" operator="lessThan" dxfId="0">
      <formula>0</formula>
    </cfRule>
    <cfRule type="cellIs" priority="3" operator="greaterThan" dxfId="1">
      <formula>0</formula>
    </cfRule>
  </conditionalFormatting>
  <conditionalFormatting sqref="N30">
    <cfRule type="expression" priority="4" dxfId="0">
      <formula>AND($N$3&gt;0,N30&lt;0)</formula>
    </cfRule>
    <cfRule type="expression" priority="5" dxfId="1">
      <formula>AND($N$3&gt;0,N30&gt;=0)</formula>
    </cfRule>
  </conditionalFormatting>
  <conditionalFormatting sqref="N32">
    <cfRule type="expression" priority="6" dxfId="0">
      <formula>AND($N$3&gt;0,N32&lt;0)</formula>
    </cfRule>
    <cfRule type="expression" priority="7" dxfId="1">
      <formula>AND($N$3&gt;0,N32&gt;=0)</formula>
    </cfRule>
  </conditionalFormatting>
  <dataValidations count="2">
    <dataValidation sqref="E3:E302" showDropDown="0" showInputMessage="0" showErrorMessage="0" allowBlank="1" type="list">
      <formula1>'選択肢マスター'!$K$2:$K$12</formula1>
    </dataValidation>
    <dataValidation sqref="H3:H302" showDropDown="0" showInputMessage="0" showErrorMessage="0" allowBlank="1" type="list">
      <formula1>'選択肢マスター'!$J$2:$J$3</formula1>
    </dataValidation>
  </dataValidations>
  <pageMargins left="0.75" right="0.75" top="1" bottom="1" header="0.5" footer="0.5"/>
</worksheet>
</file>

<file path=xl/worksheets/sheet26.xml><?xml version="1.0" encoding="utf-8"?>
<worksheet xmlns="http://schemas.openxmlformats.org/spreadsheetml/2006/main">
  <sheetPr>
    <tabColor rgb="00C55A11"/>
    <outlinePr summaryBelow="1" summaryRight="1"/>
    <pageSetUpPr/>
  </sheetPr>
  <dimension ref="A1:R302"/>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8" customWidth="1" min="3" max="3"/>
    <col width="26" customWidth="1" min="4" max="4"/>
    <col width="18" customWidth="1" min="5" max="5"/>
    <col width="12" customWidth="1" min="6" max="6"/>
    <col width="26" customWidth="1" min="7" max="7"/>
    <col width="11" customWidth="1" min="8" max="8"/>
    <col width="26" customWidth="1" min="13" max="13"/>
    <col width="15" customWidth="1" min="14" max="14"/>
    <col width="52" customWidth="1" min="15" max="15"/>
    <col width="20" customWidth="1" min="17" max="17"/>
    <col width="14" customWidth="1" min="18" max="18"/>
  </cols>
  <sheetData>
    <row r="1">
      <c r="A1" s="8" t="inlineStr">
        <is>
          <t>◆ 12月の経費入力。3行目から下へ足していってよい。右の月次P/Lは行が動かないので壊れない</t>
        </is>
      </c>
      <c r="M1" s="11" t="inlineStr">
        <is>
          <t>▼ 月次P/L（この位置は固定。左の経費表を何行足してもずれません）</t>
        </is>
      </c>
    </row>
    <row r="2" ht="30" customHeight="1">
      <c r="A2" s="3" t="inlineStr">
        <is>
          <t>No.</t>
        </is>
      </c>
      <c r="B2" s="3" t="inlineStr">
        <is>
          <t>日付</t>
        </is>
      </c>
      <c r="C2" s="3" t="inlineStr">
        <is>
          <t>時刻</t>
        </is>
      </c>
      <c r="D2" s="3" t="inlineStr">
        <is>
          <t>品目</t>
        </is>
      </c>
      <c r="E2" s="3" t="inlineStr">
        <is>
          <t>科目</t>
        </is>
      </c>
      <c r="F2" s="3" t="inlineStr">
        <is>
          <t>金額</t>
        </is>
      </c>
      <c r="G2" s="3" t="inlineStr">
        <is>
          <t>備考</t>
        </is>
      </c>
      <c r="H2" s="3" t="inlineStr">
        <is>
          <t>現金立替え</t>
        </is>
      </c>
      <c r="M2" s="3" t="inlineStr">
        <is>
          <t>項目</t>
        </is>
      </c>
      <c r="N2" s="3" t="inlineStr">
        <is>
          <t>金額</t>
        </is>
      </c>
      <c r="O2" s="3" t="inlineStr">
        <is>
          <t>計算の中身</t>
        </is>
      </c>
      <c r="Q2" s="11" t="inlineStr">
        <is>
          <t>▼ 科目別 集計</t>
        </is>
      </c>
    </row>
    <row r="3" ht="30" customHeight="1">
      <c r="B3" s="44" t="n"/>
      <c r="C3" s="46" t="n"/>
      <c r="F3" s="45" t="n"/>
      <c r="M3" s="47" t="inlineStr">
        <is>
          <t>売上</t>
        </is>
      </c>
      <c r="N3" s="48">
        <f>'12月_売上顧客'!$L$4</f>
        <v/>
      </c>
      <c r="O3" s="2" t="inlineStr">
        <is>
          <t>12月_売上顧客 の合計売上</t>
        </is>
      </c>
      <c r="Q3" s="3" t="inlineStr">
        <is>
          <t>科目</t>
        </is>
      </c>
      <c r="R3" s="3" t="inlineStr">
        <is>
          <t>金額</t>
        </is>
      </c>
    </row>
    <row r="4">
      <c r="B4" s="44" t="n"/>
      <c r="C4" s="46" t="n"/>
      <c r="F4" s="45" t="n"/>
      <c r="M4" s="49" t="inlineStr">
        <is>
          <t>エアコン台数(参考)</t>
        </is>
      </c>
      <c r="N4" s="50">
        <f>COUNTIFS('12月_売上顧客'!$M$5:$M$504,"エアコン(ノーマル)")+COUNTIFS('12月_売上顧客'!$M$5:$M$504,"エアコン(ロボ)")+COUNTIFS('12月_売上顧客'!$M$5:$M$504,"天カセ")+COUNTIFS('12月_売上顧客'!$M$5:$M$504,"業務用エアコン1方向")</f>
        <v/>
      </c>
      <c r="O4" s="2" t="inlineStr">
        <is>
          <t>エアコン(ノーマル/ロボ)・天カセ・業務用1方向</t>
        </is>
      </c>
      <c r="Q4" s="51" t="inlineStr">
        <is>
          <t>交通費</t>
        </is>
      </c>
      <c r="R4" s="52">
        <f>SUMIFS($F$3:$F$302,$E$3:$E$302,"交通費")</f>
        <v/>
      </c>
    </row>
    <row r="5">
      <c r="B5" s="44" t="n"/>
      <c r="C5" s="46" t="n"/>
      <c r="F5" s="45" t="n"/>
      <c r="M5" s="49" t="inlineStr">
        <is>
          <t>換気扇台数(参考)</t>
        </is>
      </c>
      <c r="N5" s="50">
        <f>COUNTIFS('12月_売上顧客'!$M$5:$M$504,"換気扇")</f>
        <v/>
      </c>
      <c r="O5" s="2" t="inlineStr">
        <is>
          <t>実施メニュー＝換気扇</t>
        </is>
      </c>
      <c r="Q5" s="51" t="inlineStr">
        <is>
          <t>保険料</t>
        </is>
      </c>
      <c r="R5" s="52">
        <f>SUMIFS($F$3:$F$302,$E$3:$E$302,"保険料")</f>
        <v/>
      </c>
    </row>
    <row r="6">
      <c r="B6" s="44" t="n"/>
      <c r="C6" s="46" t="n"/>
      <c r="F6" s="45" t="n"/>
      <c r="M6" s="49" t="inlineStr">
        <is>
          <t>浴室台数(参考)</t>
        </is>
      </c>
      <c r="N6" s="50">
        <f>COUNTIFS('12月_売上顧客'!$M$5:$M$504,"浴室")</f>
        <v/>
      </c>
      <c r="O6" s="2" t="inlineStr">
        <is>
          <t>実施メニュー＝浴室</t>
        </is>
      </c>
      <c r="Q6" s="51" t="inlineStr">
        <is>
          <t>通信費</t>
        </is>
      </c>
      <c r="R6" s="52">
        <f>SUMIFS($F$3:$F$302,$E$3:$E$302,"通信費")</f>
        <v/>
      </c>
    </row>
    <row r="7">
      <c r="B7" s="44" t="n"/>
      <c r="C7" s="46" t="n"/>
      <c r="F7" s="45" t="n"/>
      <c r="M7" s="49" t="inlineStr">
        <is>
          <t>資材費</t>
        </is>
      </c>
      <c r="N7" s="53">
        <f>N4*373+N5*176+N6*149</f>
        <v/>
      </c>
      <c r="O7" s="2" t="inlineStr">
        <is>
          <t>エアコン373 + 換気扇176 + 浴室149</t>
        </is>
      </c>
      <c r="Q7" s="51" t="inlineStr">
        <is>
          <t>広告費</t>
        </is>
      </c>
      <c r="R7" s="52">
        <f>SUMIFS($F$3:$F$302,$E$3:$E$302,"広告費")</f>
        <v/>
      </c>
    </row>
    <row r="8">
      <c r="B8" s="44" t="n"/>
      <c r="C8" s="46" t="n"/>
      <c r="F8" s="45" t="n"/>
      <c r="M8" s="49" t="inlineStr">
        <is>
          <t>外注費（協力業者）</t>
        </is>
      </c>
      <c r="N8" s="53">
        <f>SUMIFS($F$3:$F$302,$E$3:$E$302,"外注費")</f>
        <v/>
      </c>
      <c r="O8" s="2" t="inlineStr">
        <is>
          <t>経費表の科目＝外注費。★2027年から原価として独立</t>
        </is>
      </c>
      <c r="Q8" s="51" t="inlineStr">
        <is>
          <t>耐久品</t>
        </is>
      </c>
      <c r="R8" s="52">
        <f>SUMIFS($F$3:$F$302,$E$3:$E$302,"耐久品")</f>
        <v/>
      </c>
    </row>
    <row r="9">
      <c r="B9" s="44" t="n"/>
      <c r="C9" s="46" t="n"/>
      <c r="F9" s="45" t="n"/>
      <c r="M9" s="49" t="inlineStr">
        <is>
          <t>現場人件費（原価）</t>
        </is>
      </c>
      <c r="N9" s="53">
        <f>SUMIFS($F$3:$F$302,$E$3:$E$302,"現場人件費(原価)")</f>
        <v/>
      </c>
      <c r="O9" s="2" t="inlineStr">
        <is>
          <t>経費表の科目＝現場人件費(原価)</t>
        </is>
      </c>
      <c r="Q9" s="51" t="inlineStr">
        <is>
          <t>備品</t>
        </is>
      </c>
      <c r="R9" s="52">
        <f>SUMIFS($F$3:$F$302,$E$3:$E$302,"備品")</f>
        <v/>
      </c>
    </row>
    <row r="10">
      <c r="B10" s="44" t="n"/>
      <c r="C10" s="46" t="n"/>
      <c r="F10" s="45" t="n"/>
      <c r="M10" s="47" t="inlineStr">
        <is>
          <t>原価合計</t>
        </is>
      </c>
      <c r="N10" s="48">
        <f>N7+N8+N9</f>
        <v/>
      </c>
      <c r="O10" s="2" t="inlineStr">
        <is>
          <t>資材費＋外注費＋現場人件費</t>
        </is>
      </c>
      <c r="Q10" s="51" t="inlineStr">
        <is>
          <t>個別ロイ</t>
        </is>
      </c>
      <c r="R10" s="52">
        <f>SUMIFS($F$3:$F$302,$E$3:$E$302,"個別ロイ")</f>
        <v/>
      </c>
    </row>
    <row r="11">
      <c r="B11" s="44" t="n"/>
      <c r="C11" s="46" t="n"/>
      <c r="F11" s="45" t="n"/>
      <c r="M11" s="47" t="inlineStr">
        <is>
          <t>売上総利益</t>
        </is>
      </c>
      <c r="N11" s="48">
        <f>N3-N10</f>
        <v/>
      </c>
      <c r="O11" s="2" t="inlineStr">
        <is>
          <t>売上 − 原価合計</t>
        </is>
      </c>
      <c r="Q11" s="51" t="inlineStr">
        <is>
          <t>現場人件費(原価)</t>
        </is>
      </c>
      <c r="R11" s="52">
        <f>SUMIFS($F$3:$F$302,$E$3:$E$302,"現場人件費(原価)")</f>
        <v/>
      </c>
    </row>
    <row r="12">
      <c r="B12" s="44" t="n"/>
      <c r="C12" s="46" t="n"/>
      <c r="F12" s="45" t="n"/>
      <c r="Q12" s="51" t="inlineStr">
        <is>
          <t>固定給(販管費)</t>
        </is>
      </c>
      <c r="R12" s="52">
        <f>SUMIFS($F$3:$F$302,$E$3:$E$302,"固定給(販管費)")</f>
        <v/>
      </c>
    </row>
    <row r="13">
      <c r="B13" s="44" t="n"/>
      <c r="C13" s="46" t="n"/>
      <c r="F13" s="45" t="n"/>
      <c r="M13" s="49" t="inlineStr">
        <is>
          <t>経費合計（左の表）</t>
        </is>
      </c>
      <c r="N13" s="53">
        <f>SUM($F$3:$F$302)</f>
        <v/>
      </c>
      <c r="O13" s="2" t="inlineStr">
        <is>
          <t>左の経費入力表の金額合計</t>
        </is>
      </c>
      <c r="Q13" s="51" t="inlineStr">
        <is>
          <t>外注費</t>
        </is>
      </c>
      <c r="R13" s="52">
        <f>SUMIFS($F$3:$F$302,$E$3:$E$302,"外注費")</f>
        <v/>
      </c>
    </row>
    <row r="14">
      <c r="B14" s="44" t="n"/>
      <c r="C14" s="46" t="n"/>
      <c r="F14" s="45" t="n"/>
      <c r="M14" s="49" t="inlineStr">
        <is>
          <t>− 原価へ回した分</t>
        </is>
      </c>
      <c r="N14" s="53">
        <f>-(N8+N9)</f>
        <v/>
      </c>
      <c r="O14" s="2" t="inlineStr">
        <is>
          <t>外注費・現場人件費は原価で数えたので戻す</t>
        </is>
      </c>
      <c r="Q14" s="51" t="inlineStr">
        <is>
          <t>その他(備考へ)</t>
        </is>
      </c>
      <c r="R14" s="52">
        <f>SUMIFS($F$3:$F$302,$E$3:$E$302,"その他(備考へ)")</f>
        <v/>
      </c>
    </row>
    <row r="15">
      <c r="B15" s="44" t="n"/>
      <c r="C15" s="46" t="n"/>
      <c r="F15" s="45" t="n"/>
      <c r="M15" s="49" t="inlineStr">
        <is>
          <t>− 個別ロイ（下で計上）</t>
        </is>
      </c>
      <c r="N15" s="53">
        <f>-SUMIFS($F$3:$F$302,$E$3:$E$302,"個別ロイ")</f>
        <v/>
      </c>
      <c r="O15" s="2" t="inlineStr">
        <is>
          <t>★二重計上を防ぐため、ここで一度引く</t>
        </is>
      </c>
      <c r="Q15" s="13" t="inlineStr">
        <is>
          <t>合計</t>
        </is>
      </c>
      <c r="R15" s="54">
        <f>SUM(R4:R14)</f>
        <v/>
      </c>
    </row>
    <row r="16">
      <c r="B16" s="44" t="n"/>
      <c r="C16" s="46" t="n"/>
      <c r="F16" s="45" t="n"/>
      <c r="M16" s="49" t="inlineStr">
        <is>
          <t>ロイヤリティ 固定分</t>
        </is>
      </c>
      <c r="N16" s="53">
        <f>IF($N$3+$N$13=0,0,50050)</f>
        <v/>
      </c>
      <c r="O16" s="2" t="inlineStr">
        <is>
          <t>★50,050円。左の経費表には入力しないこと（まだ動いていない月は0）</t>
        </is>
      </c>
    </row>
    <row r="17">
      <c r="B17" s="44" t="n"/>
      <c r="C17" s="46" t="n"/>
      <c r="F17" s="45" t="n"/>
      <c r="M17" s="49" t="inlineStr">
        <is>
          <t>ロイヤリティ 38%分</t>
        </is>
      </c>
      <c r="N17" s="53">
        <f>SUMIFS('12月_売上顧客'!$L$5:$L$504,'12月_売上顧客'!$V$5:$V$504,"38%")*0.38</f>
        <v/>
      </c>
      <c r="O17" s="2" t="inlineStr">
        <is>
          <t>本舗ロイ区分＝38% の売上 × 38%</t>
        </is>
      </c>
    </row>
    <row r="18">
      <c r="B18" s="44" t="n"/>
      <c r="C18" s="46" t="n"/>
      <c r="F18" s="45" t="n"/>
      <c r="M18" s="49" t="inlineStr">
        <is>
          <t>ロイヤリティ 10%分</t>
        </is>
      </c>
      <c r="N18" s="53">
        <f>SUMIFS('12月_売上顧客'!$L$5:$L$504,'12月_売上顧客'!$V$5:$V$504,"10%")*0.1</f>
        <v/>
      </c>
      <c r="O18" s="2" t="inlineStr">
        <is>
          <t>本舗ロイ区分＝10% の売上 × 10%</t>
        </is>
      </c>
    </row>
    <row r="19">
      <c r="B19" s="44" t="n"/>
      <c r="C19" s="46" t="n"/>
      <c r="F19" s="45" t="n"/>
      <c r="M19" s="49" t="inlineStr">
        <is>
          <t>ロイヤリティ 個別実額</t>
        </is>
      </c>
      <c r="N19" s="53">
        <f>SUMIFS($F$3:$F$302,$E$3:$E$302,"個別ロイ")</f>
        <v/>
      </c>
      <c r="O19" s="2" t="inlineStr">
        <is>
          <t>経費表の科目＝個別ロイ（toB・楽ラクーン等）</t>
        </is>
      </c>
    </row>
    <row r="20">
      <c r="B20" s="44" t="n"/>
      <c r="C20" s="46" t="n"/>
      <c r="F20" s="45" t="n"/>
      <c r="M20" s="47" t="inlineStr">
        <is>
          <t>ロイヤリティ 合計</t>
        </is>
      </c>
      <c r="N20" s="48">
        <f>N16+N17+N18+N19</f>
        <v/>
      </c>
      <c r="O20" s="2" t="inlineStr">
        <is>
          <t>固定＋38%＋10%＋個別</t>
        </is>
      </c>
    </row>
    <row r="21">
      <c r="B21" s="44" t="n"/>
      <c r="C21" s="46" t="n"/>
      <c r="F21" s="45" t="n"/>
      <c r="M21" s="47" t="inlineStr">
        <is>
          <t>販売管理費</t>
        </is>
      </c>
      <c r="N21" s="48">
        <f>N13+N14+N15+N20</f>
        <v/>
      </c>
      <c r="O21" s="2" t="inlineStr">
        <is>
          <t>経費合計 − 原価分 − 個別ロイ ＋ ロイヤリティ合計</t>
        </is>
      </c>
    </row>
    <row r="22">
      <c r="B22" s="44" t="n"/>
      <c r="C22" s="46" t="n"/>
      <c r="F22" s="45" t="n"/>
      <c r="M22" s="47" t="inlineStr">
        <is>
          <t>営業利益</t>
        </is>
      </c>
      <c r="N22" s="48">
        <f>N11-N21</f>
        <v/>
      </c>
      <c r="O22" s="2" t="inlineStr">
        <is>
          <t>売上総利益 − 販売管理費</t>
        </is>
      </c>
    </row>
    <row r="23">
      <c r="B23" s="44" t="n"/>
      <c r="C23" s="46" t="n"/>
      <c r="F23" s="45" t="n"/>
      <c r="M23" s="49" t="inlineStr">
        <is>
          <t>融資返済</t>
        </is>
      </c>
      <c r="N23" s="53">
        <f>IF($N$3+$N$13=0,0,38059)</f>
        <v/>
      </c>
      <c r="O23" s="2" t="inlineStr">
        <is>
          <t>固定 38,059円（まだ動いていない月は0）</t>
        </is>
      </c>
    </row>
    <row r="24">
      <c r="B24" s="44" t="n"/>
      <c r="C24" s="46" t="n"/>
      <c r="F24" s="45" t="n"/>
      <c r="M24" s="47" t="inlineStr">
        <is>
          <t>経常利益</t>
        </is>
      </c>
      <c r="N24" s="48">
        <f>N22-N23</f>
        <v/>
      </c>
      <c r="O24" s="2" t="inlineStr">
        <is>
          <t>営業利益 − 融資返済</t>
        </is>
      </c>
    </row>
    <row r="25">
      <c r="B25" s="44" t="n"/>
      <c r="C25" s="46" t="n"/>
      <c r="F25" s="45" t="n"/>
    </row>
    <row r="26">
      <c r="B26" s="44" t="n"/>
      <c r="C26" s="46" t="n"/>
      <c r="F26" s="45" t="n"/>
      <c r="M26" s="49" t="inlineStr">
        <is>
          <t>経常利益率</t>
        </is>
      </c>
      <c r="N26" s="55">
        <f>IFERROR(N24/N3,0)</f>
        <v/>
      </c>
      <c r="O26" s="2" t="inlineStr">
        <is>
          <t>経常利益 ÷ 売上</t>
        </is>
      </c>
    </row>
    <row r="27">
      <c r="B27" s="44" t="n"/>
      <c r="C27" s="46" t="n"/>
      <c r="F27" s="45" t="n"/>
    </row>
    <row r="28">
      <c r="B28" s="44" t="n"/>
      <c r="C28" s="46" t="n"/>
      <c r="F28" s="45" t="n"/>
      <c r="M28" s="11" t="inlineStr">
        <is>
          <t>▼ 計画（中立）との比較</t>
        </is>
      </c>
    </row>
    <row r="29">
      <c r="B29" s="44" t="n"/>
      <c r="C29" s="46" t="n"/>
      <c r="F29" s="45" t="n"/>
      <c r="M29" s="51" t="inlineStr">
        <is>
          <t>計画 売上</t>
        </is>
      </c>
      <c r="N29" s="45" t="n">
        <v>1940000</v>
      </c>
      <c r="O29" s="2" t="inlineStr"/>
    </row>
    <row r="30">
      <c r="B30" s="44" t="n"/>
      <c r="C30" s="46" t="n"/>
      <c r="F30" s="45" t="n"/>
      <c r="M30" s="51" t="inlineStr">
        <is>
          <t>実績 − 計画（売上）</t>
        </is>
      </c>
      <c r="N30" s="45">
        <f>N3-N29</f>
        <v/>
      </c>
      <c r="O30" s="2" t="inlineStr">
        <is>
          <t>マイナスなら赤</t>
        </is>
      </c>
    </row>
    <row r="31">
      <c r="B31" s="44" t="n"/>
      <c r="C31" s="46" t="n"/>
      <c r="F31" s="45" t="n"/>
      <c r="M31" s="51" t="inlineStr">
        <is>
          <t>計画 経常利益</t>
        </is>
      </c>
      <c r="N31" s="45" t="n">
        <v>188439</v>
      </c>
      <c r="O31" s="2" t="inlineStr"/>
    </row>
    <row r="32">
      <c r="B32" s="44" t="n"/>
      <c r="C32" s="46" t="n"/>
      <c r="F32" s="45" t="n"/>
      <c r="M32" s="51" t="inlineStr">
        <is>
          <t>実績 − 計画（経常）</t>
        </is>
      </c>
      <c r="N32" s="45">
        <f>N24-N31</f>
        <v/>
      </c>
      <c r="O32" s="2" t="inlineStr">
        <is>
          <t>マイナスなら赤</t>
        </is>
      </c>
    </row>
    <row r="33">
      <c r="B33" s="44" t="n"/>
      <c r="C33" s="46" t="n"/>
      <c r="F33" s="45" t="n"/>
      <c r="M33" s="51" t="inlineStr">
        <is>
          <t>計画 件数</t>
        </is>
      </c>
      <c r="N33" s="56" t="n">
        <v>45</v>
      </c>
      <c r="O33" s="2" t="inlineStr"/>
    </row>
    <row r="34">
      <c r="B34" s="44" t="n"/>
      <c r="C34" s="46" t="n"/>
      <c r="F34" s="45" t="n"/>
      <c r="M34" s="51" t="inlineStr">
        <is>
          <t>実績 件数</t>
        </is>
      </c>
      <c r="N34" s="56">
        <f>'12月_売上顧客'!$E$4</f>
        <v/>
      </c>
      <c r="O34" s="2" t="inlineStr"/>
    </row>
    <row r="35">
      <c r="B35" s="44" t="n"/>
      <c r="C35" s="46" t="n"/>
      <c r="F35" s="45" t="n"/>
    </row>
    <row r="36">
      <c r="B36" s="44" t="n"/>
      <c r="C36" s="46" t="n"/>
      <c r="F36" s="45" t="n"/>
      <c r="M36" s="8" t="inlineStr">
        <is>
          <t>【ロイヤリティはこのP/Lだけで数えます】</t>
        </is>
      </c>
    </row>
    <row r="37">
      <c r="B37" s="44" t="n"/>
      <c r="C37" s="46" t="n"/>
      <c r="F37" s="45" t="n"/>
      <c r="M37" s="2" t="inlineStr">
        <is>
          <t xml:space="preserve">  ・固定分 50,050円は左の経費表に入力しないこと（2026年版はここが二重計上の疑いだった）</t>
        </is>
      </c>
    </row>
    <row r="38">
      <c r="B38" s="44" t="n"/>
      <c r="C38" s="46" t="n"/>
      <c r="F38" s="45" t="n"/>
      <c r="M38" s="2" t="inlineStr">
        <is>
          <t xml:space="preserve">  ・個別ロイは左の経費表に科目「個別ロイ」で入力する。P/Lは15行目で引いて19行目で足すので、数えるのは1回だけ</t>
        </is>
      </c>
    </row>
    <row r="39">
      <c r="B39" s="44" t="n"/>
      <c r="C39" s="46" t="n"/>
      <c r="F39" s="45" t="n"/>
      <c r="M39" s="8" t="inlineStr">
        <is>
          <t>【人件費は2つに分けます】</t>
        </is>
      </c>
    </row>
    <row r="40">
      <c r="B40" s="44" t="n"/>
      <c r="C40" s="46" t="n"/>
      <c r="F40" s="45" t="n"/>
      <c r="M40" s="2" t="inlineStr">
        <is>
          <t xml:space="preserve">  ・現場人件費(原価) … 現場に出た分。原価に入る</t>
        </is>
      </c>
    </row>
    <row r="41">
      <c r="B41" s="44" t="n"/>
      <c r="C41" s="46" t="n"/>
      <c r="F41" s="45" t="n"/>
      <c r="M41" s="2" t="inlineStr">
        <is>
          <t xml:space="preserve">  ・固定給(販管費) … 和真さんの固定給40万＋プール10万、新人の給与。販管費に入る</t>
        </is>
      </c>
    </row>
    <row r="42">
      <c r="B42" s="44" t="n"/>
      <c r="C42" s="46" t="n"/>
      <c r="F42" s="45" t="n"/>
      <c r="M42" s="2" t="inlineStr">
        <is>
          <t xml:space="preserve">  ・歩合（経常利益×45%）の行は2027年から使いません</t>
        </is>
      </c>
    </row>
    <row r="43">
      <c r="B43" s="44" t="n"/>
      <c r="C43" s="46" t="n"/>
      <c r="F43" s="45" t="n"/>
      <c r="M43" s="8" t="inlineStr">
        <is>
          <t>【保険料・通信費は「その他」に入れないこと】</t>
        </is>
      </c>
    </row>
    <row r="44">
      <c r="B44" s="44" t="n"/>
      <c r="C44" s="46" t="n"/>
      <c r="F44" s="45" t="n"/>
      <c r="M44" s="2" t="inlineStr">
        <is>
          <t xml:space="preserve">  ・賠償保険 43,760／通信費 8,470／日新火災 18,050 ＝ 月70,280円。科目を独立させました</t>
        </is>
      </c>
    </row>
    <row r="45">
      <c r="B45" s="44" t="n"/>
      <c r="C45" s="46" t="n"/>
      <c r="F45" s="45" t="n"/>
    </row>
    <row r="46">
      <c r="B46" s="44" t="n"/>
      <c r="C46" s="46" t="n"/>
      <c r="F46" s="45" t="n"/>
    </row>
    <row r="47">
      <c r="B47" s="44" t="n"/>
      <c r="C47" s="46" t="n"/>
      <c r="F47" s="45" t="n"/>
    </row>
    <row r="48">
      <c r="B48" s="44" t="n"/>
      <c r="C48" s="46" t="n"/>
      <c r="F48" s="45" t="n"/>
    </row>
    <row r="49">
      <c r="B49" s="44" t="n"/>
      <c r="C49" s="46" t="n"/>
      <c r="F49" s="45" t="n"/>
    </row>
    <row r="50">
      <c r="B50" s="44" t="n"/>
      <c r="C50" s="46" t="n"/>
      <c r="F50" s="45" t="n"/>
    </row>
    <row r="51">
      <c r="B51" s="44" t="n"/>
      <c r="C51" s="46" t="n"/>
      <c r="F51" s="45" t="n"/>
    </row>
    <row r="52">
      <c r="B52" s="44" t="n"/>
      <c r="C52" s="46" t="n"/>
      <c r="F52" s="45" t="n"/>
    </row>
    <row r="53">
      <c r="B53" s="44" t="n"/>
      <c r="C53" s="46" t="n"/>
      <c r="F53" s="45" t="n"/>
    </row>
    <row r="54">
      <c r="B54" s="44" t="n"/>
      <c r="C54" s="46" t="n"/>
      <c r="F54" s="45" t="n"/>
    </row>
    <row r="55">
      <c r="B55" s="44" t="n"/>
      <c r="C55" s="46" t="n"/>
      <c r="F55" s="45" t="n"/>
    </row>
    <row r="56">
      <c r="B56" s="44" t="n"/>
      <c r="C56" s="46" t="n"/>
      <c r="F56" s="45" t="n"/>
    </row>
    <row r="57">
      <c r="B57" s="44" t="n"/>
      <c r="C57" s="46" t="n"/>
      <c r="F57" s="45" t="n"/>
    </row>
    <row r="58">
      <c r="B58" s="44" t="n"/>
      <c r="C58" s="46" t="n"/>
      <c r="F58" s="45" t="n"/>
    </row>
    <row r="59">
      <c r="B59" s="44" t="n"/>
      <c r="C59" s="46" t="n"/>
      <c r="F59" s="45" t="n"/>
    </row>
    <row r="60">
      <c r="B60" s="44" t="n"/>
      <c r="C60" s="46" t="n"/>
      <c r="F60" s="45" t="n"/>
    </row>
    <row r="61">
      <c r="B61" s="44" t="n"/>
      <c r="C61" s="46" t="n"/>
      <c r="F61" s="45" t="n"/>
    </row>
    <row r="62">
      <c r="B62" s="44" t="n"/>
      <c r="C62" s="46" t="n"/>
      <c r="F62" s="45" t="n"/>
    </row>
    <row r="63">
      <c r="B63" s="44" t="n"/>
      <c r="C63" s="46" t="n"/>
      <c r="F63" s="45" t="n"/>
    </row>
    <row r="64">
      <c r="B64" s="44" t="n"/>
      <c r="C64" s="46" t="n"/>
      <c r="F64" s="45" t="n"/>
    </row>
    <row r="65">
      <c r="B65" s="44" t="n"/>
      <c r="C65" s="46" t="n"/>
      <c r="F65" s="45" t="n"/>
    </row>
    <row r="66">
      <c r="B66" s="44" t="n"/>
      <c r="C66" s="46" t="n"/>
      <c r="F66" s="45" t="n"/>
    </row>
    <row r="67">
      <c r="B67" s="44" t="n"/>
      <c r="C67" s="46" t="n"/>
      <c r="F67" s="45" t="n"/>
    </row>
    <row r="68">
      <c r="B68" s="44" t="n"/>
      <c r="C68" s="46" t="n"/>
      <c r="F68" s="45" t="n"/>
    </row>
    <row r="69">
      <c r="B69" s="44" t="n"/>
      <c r="C69" s="46" t="n"/>
      <c r="F69" s="45" t="n"/>
    </row>
    <row r="70">
      <c r="B70" s="44" t="n"/>
      <c r="C70" s="46" t="n"/>
      <c r="F70" s="45" t="n"/>
    </row>
    <row r="71">
      <c r="B71" s="44" t="n"/>
      <c r="C71" s="46" t="n"/>
      <c r="F71" s="45" t="n"/>
    </row>
    <row r="72">
      <c r="B72" s="44" t="n"/>
      <c r="C72" s="46" t="n"/>
      <c r="F72" s="45" t="n"/>
    </row>
    <row r="73">
      <c r="B73" s="44" t="n"/>
      <c r="C73" s="46" t="n"/>
      <c r="F73" s="45" t="n"/>
    </row>
    <row r="74">
      <c r="B74" s="44" t="n"/>
      <c r="C74" s="46" t="n"/>
      <c r="F74" s="45" t="n"/>
    </row>
    <row r="75">
      <c r="B75" s="44" t="n"/>
      <c r="C75" s="46" t="n"/>
      <c r="F75" s="45" t="n"/>
    </row>
    <row r="76">
      <c r="B76" s="44" t="n"/>
      <c r="C76" s="46" t="n"/>
      <c r="F76" s="45" t="n"/>
    </row>
    <row r="77">
      <c r="B77" s="44" t="n"/>
      <c r="C77" s="46" t="n"/>
      <c r="F77" s="45" t="n"/>
    </row>
    <row r="78">
      <c r="B78" s="44" t="n"/>
      <c r="C78" s="46" t="n"/>
      <c r="F78" s="45" t="n"/>
    </row>
    <row r="79">
      <c r="B79" s="44" t="n"/>
      <c r="C79" s="46" t="n"/>
      <c r="F79" s="45" t="n"/>
    </row>
    <row r="80">
      <c r="B80" s="44" t="n"/>
      <c r="C80" s="46" t="n"/>
      <c r="F80" s="45" t="n"/>
    </row>
    <row r="81">
      <c r="B81" s="44" t="n"/>
      <c r="C81" s="46" t="n"/>
      <c r="F81" s="45" t="n"/>
    </row>
    <row r="82">
      <c r="B82" s="44" t="n"/>
      <c r="C82" s="46" t="n"/>
      <c r="F82" s="45" t="n"/>
    </row>
    <row r="83">
      <c r="B83" s="44" t="n"/>
      <c r="C83" s="46" t="n"/>
      <c r="F83" s="45" t="n"/>
    </row>
    <row r="84">
      <c r="B84" s="44" t="n"/>
      <c r="C84" s="46" t="n"/>
      <c r="F84" s="45" t="n"/>
    </row>
    <row r="85">
      <c r="B85" s="44" t="n"/>
      <c r="C85" s="46" t="n"/>
      <c r="F85" s="45" t="n"/>
    </row>
    <row r="86">
      <c r="B86" s="44" t="n"/>
      <c r="C86" s="46" t="n"/>
      <c r="F86" s="45" t="n"/>
    </row>
    <row r="87">
      <c r="B87" s="44" t="n"/>
      <c r="C87" s="46" t="n"/>
      <c r="F87" s="45" t="n"/>
    </row>
    <row r="88">
      <c r="B88" s="44" t="n"/>
      <c r="C88" s="46" t="n"/>
      <c r="F88" s="45" t="n"/>
    </row>
    <row r="89">
      <c r="B89" s="44" t="n"/>
      <c r="C89" s="46" t="n"/>
      <c r="F89" s="45" t="n"/>
    </row>
    <row r="90">
      <c r="B90" s="44" t="n"/>
      <c r="C90" s="46" t="n"/>
      <c r="F90" s="45" t="n"/>
    </row>
    <row r="91">
      <c r="B91" s="44" t="n"/>
      <c r="C91" s="46" t="n"/>
      <c r="F91" s="45" t="n"/>
    </row>
    <row r="92">
      <c r="B92" s="44" t="n"/>
      <c r="C92" s="46" t="n"/>
      <c r="F92" s="45" t="n"/>
    </row>
    <row r="93">
      <c r="B93" s="44" t="n"/>
      <c r="C93" s="46" t="n"/>
      <c r="F93" s="45" t="n"/>
    </row>
    <row r="94">
      <c r="B94" s="44" t="n"/>
      <c r="C94" s="46" t="n"/>
      <c r="F94" s="45" t="n"/>
    </row>
    <row r="95">
      <c r="B95" s="44" t="n"/>
      <c r="C95" s="46" t="n"/>
      <c r="F95" s="45" t="n"/>
    </row>
    <row r="96">
      <c r="B96" s="44" t="n"/>
      <c r="C96" s="46" t="n"/>
      <c r="F96" s="45" t="n"/>
    </row>
    <row r="97">
      <c r="B97" s="44" t="n"/>
      <c r="C97" s="46" t="n"/>
      <c r="F97" s="45" t="n"/>
    </row>
    <row r="98">
      <c r="B98" s="44" t="n"/>
      <c r="C98" s="46" t="n"/>
      <c r="F98" s="45" t="n"/>
    </row>
    <row r="99">
      <c r="B99" s="44" t="n"/>
      <c r="C99" s="46" t="n"/>
      <c r="F99" s="45" t="n"/>
    </row>
    <row r="100">
      <c r="B100" s="44" t="n"/>
      <c r="C100" s="46" t="n"/>
      <c r="F100" s="45" t="n"/>
    </row>
    <row r="101">
      <c r="B101" s="44" t="n"/>
      <c r="C101" s="46" t="n"/>
      <c r="F101" s="45" t="n"/>
    </row>
    <row r="102">
      <c r="B102" s="44" t="n"/>
      <c r="C102" s="46" t="n"/>
      <c r="F102" s="45" t="n"/>
    </row>
    <row r="103">
      <c r="B103" s="44" t="n"/>
      <c r="C103" s="46" t="n"/>
      <c r="F103" s="45" t="n"/>
    </row>
    <row r="104">
      <c r="B104" s="44" t="n"/>
      <c r="C104" s="46" t="n"/>
      <c r="F104" s="45" t="n"/>
    </row>
    <row r="105">
      <c r="B105" s="44" t="n"/>
      <c r="C105" s="46" t="n"/>
      <c r="F105" s="45" t="n"/>
    </row>
    <row r="106">
      <c r="B106" s="44" t="n"/>
      <c r="C106" s="46" t="n"/>
      <c r="F106" s="45" t="n"/>
    </row>
    <row r="107">
      <c r="B107" s="44" t="n"/>
      <c r="C107" s="46" t="n"/>
      <c r="F107" s="45" t="n"/>
    </row>
    <row r="108">
      <c r="B108" s="44" t="n"/>
      <c r="C108" s="46" t="n"/>
      <c r="F108" s="45" t="n"/>
    </row>
    <row r="109">
      <c r="B109" s="44" t="n"/>
      <c r="C109" s="46" t="n"/>
      <c r="F109" s="45" t="n"/>
    </row>
    <row r="110">
      <c r="B110" s="44" t="n"/>
      <c r="C110" s="46" t="n"/>
      <c r="F110" s="45" t="n"/>
    </row>
    <row r="111">
      <c r="B111" s="44" t="n"/>
      <c r="C111" s="46" t="n"/>
      <c r="F111" s="45" t="n"/>
    </row>
    <row r="112">
      <c r="B112" s="44" t="n"/>
      <c r="C112" s="46" t="n"/>
      <c r="F112" s="45" t="n"/>
    </row>
    <row r="113">
      <c r="B113" s="44" t="n"/>
      <c r="C113" s="46" t="n"/>
      <c r="F113" s="45" t="n"/>
    </row>
    <row r="114">
      <c r="B114" s="44" t="n"/>
      <c r="C114" s="46" t="n"/>
      <c r="F114" s="45" t="n"/>
    </row>
    <row r="115">
      <c r="B115" s="44" t="n"/>
      <c r="C115" s="46" t="n"/>
      <c r="F115" s="45" t="n"/>
    </row>
    <row r="116">
      <c r="B116" s="44" t="n"/>
      <c r="C116" s="46" t="n"/>
      <c r="F116" s="45" t="n"/>
    </row>
    <row r="117">
      <c r="B117" s="44" t="n"/>
      <c r="C117" s="46" t="n"/>
      <c r="F117" s="45" t="n"/>
    </row>
    <row r="118">
      <c r="B118" s="44" t="n"/>
      <c r="C118" s="46" t="n"/>
      <c r="F118" s="45" t="n"/>
    </row>
    <row r="119">
      <c r="B119" s="44" t="n"/>
      <c r="C119" s="46" t="n"/>
      <c r="F119" s="45" t="n"/>
    </row>
    <row r="120">
      <c r="B120" s="44" t="n"/>
      <c r="C120" s="46" t="n"/>
      <c r="F120" s="45" t="n"/>
    </row>
    <row r="121">
      <c r="B121" s="44" t="n"/>
      <c r="C121" s="46" t="n"/>
      <c r="F121" s="45" t="n"/>
    </row>
    <row r="122">
      <c r="B122" s="44" t="n"/>
      <c r="C122" s="46" t="n"/>
      <c r="F122" s="45" t="n"/>
    </row>
    <row r="123">
      <c r="B123" s="44" t="n"/>
      <c r="C123" s="46" t="n"/>
      <c r="F123" s="45" t="n"/>
    </row>
    <row r="124">
      <c r="B124" s="44" t="n"/>
      <c r="C124" s="46" t="n"/>
      <c r="F124" s="45" t="n"/>
    </row>
    <row r="125">
      <c r="B125" s="44" t="n"/>
      <c r="C125" s="46" t="n"/>
      <c r="F125" s="45" t="n"/>
    </row>
    <row r="126">
      <c r="B126" s="44" t="n"/>
      <c r="C126" s="46" t="n"/>
      <c r="F126" s="45" t="n"/>
    </row>
    <row r="127">
      <c r="B127" s="44" t="n"/>
      <c r="C127" s="46" t="n"/>
      <c r="F127" s="45" t="n"/>
    </row>
    <row r="128">
      <c r="B128" s="44" t="n"/>
      <c r="C128" s="46" t="n"/>
      <c r="F128" s="45" t="n"/>
    </row>
    <row r="129">
      <c r="B129" s="44" t="n"/>
      <c r="C129" s="46" t="n"/>
      <c r="F129" s="45" t="n"/>
    </row>
    <row r="130">
      <c r="B130" s="44" t="n"/>
      <c r="C130" s="46" t="n"/>
      <c r="F130" s="45" t="n"/>
    </row>
    <row r="131">
      <c r="B131" s="44" t="n"/>
      <c r="C131" s="46" t="n"/>
      <c r="F131" s="45" t="n"/>
    </row>
    <row r="132">
      <c r="B132" s="44" t="n"/>
      <c r="C132" s="46" t="n"/>
      <c r="F132" s="45" t="n"/>
    </row>
    <row r="133">
      <c r="B133" s="44" t="n"/>
      <c r="C133" s="46" t="n"/>
      <c r="F133" s="45" t="n"/>
    </row>
    <row r="134">
      <c r="B134" s="44" t="n"/>
      <c r="C134" s="46" t="n"/>
      <c r="F134" s="45" t="n"/>
    </row>
    <row r="135">
      <c r="B135" s="44" t="n"/>
      <c r="C135" s="46" t="n"/>
      <c r="F135" s="45" t="n"/>
    </row>
    <row r="136">
      <c r="B136" s="44" t="n"/>
      <c r="C136" s="46" t="n"/>
      <c r="F136" s="45" t="n"/>
    </row>
    <row r="137">
      <c r="B137" s="44" t="n"/>
      <c r="C137" s="46" t="n"/>
      <c r="F137" s="45" t="n"/>
    </row>
    <row r="138">
      <c r="B138" s="44" t="n"/>
      <c r="C138" s="46" t="n"/>
      <c r="F138" s="45" t="n"/>
    </row>
    <row r="139">
      <c r="B139" s="44" t="n"/>
      <c r="C139" s="46" t="n"/>
      <c r="F139" s="45" t="n"/>
    </row>
    <row r="140">
      <c r="B140" s="44" t="n"/>
      <c r="C140" s="46" t="n"/>
      <c r="F140" s="45" t="n"/>
    </row>
    <row r="141">
      <c r="B141" s="44" t="n"/>
      <c r="C141" s="46" t="n"/>
      <c r="F141" s="45" t="n"/>
    </row>
    <row r="142">
      <c r="B142" s="44" t="n"/>
      <c r="C142" s="46" t="n"/>
      <c r="F142" s="45" t="n"/>
    </row>
    <row r="143">
      <c r="B143" s="44" t="n"/>
      <c r="C143" s="46" t="n"/>
      <c r="F143" s="45" t="n"/>
    </row>
    <row r="144">
      <c r="B144" s="44" t="n"/>
      <c r="C144" s="46" t="n"/>
      <c r="F144" s="45" t="n"/>
    </row>
    <row r="145">
      <c r="B145" s="44" t="n"/>
      <c r="C145" s="46" t="n"/>
      <c r="F145" s="45" t="n"/>
    </row>
    <row r="146">
      <c r="B146" s="44" t="n"/>
      <c r="C146" s="46" t="n"/>
      <c r="F146" s="45" t="n"/>
    </row>
    <row r="147">
      <c r="B147" s="44" t="n"/>
      <c r="C147" s="46" t="n"/>
      <c r="F147" s="45" t="n"/>
    </row>
    <row r="148">
      <c r="B148" s="44" t="n"/>
      <c r="C148" s="46" t="n"/>
      <c r="F148" s="45" t="n"/>
    </row>
    <row r="149">
      <c r="B149" s="44" t="n"/>
      <c r="C149" s="46" t="n"/>
      <c r="F149" s="45" t="n"/>
    </row>
    <row r="150">
      <c r="B150" s="44" t="n"/>
      <c r="C150" s="46" t="n"/>
      <c r="F150" s="45" t="n"/>
    </row>
    <row r="151">
      <c r="B151" s="44" t="n"/>
      <c r="C151" s="46" t="n"/>
      <c r="F151" s="45" t="n"/>
    </row>
    <row r="152">
      <c r="B152" s="44" t="n"/>
      <c r="C152" s="46" t="n"/>
      <c r="F152" s="45" t="n"/>
    </row>
    <row r="153">
      <c r="B153" s="44" t="n"/>
      <c r="C153" s="46" t="n"/>
      <c r="F153" s="45" t="n"/>
    </row>
    <row r="154">
      <c r="B154" s="44" t="n"/>
      <c r="C154" s="46" t="n"/>
      <c r="F154" s="45" t="n"/>
    </row>
    <row r="155">
      <c r="B155" s="44" t="n"/>
      <c r="C155" s="46" t="n"/>
      <c r="F155" s="45" t="n"/>
    </row>
    <row r="156">
      <c r="B156" s="44" t="n"/>
      <c r="C156" s="46" t="n"/>
      <c r="F156" s="45" t="n"/>
    </row>
    <row r="157">
      <c r="B157" s="44" t="n"/>
      <c r="C157" s="46" t="n"/>
      <c r="F157" s="45" t="n"/>
    </row>
    <row r="158">
      <c r="B158" s="44" t="n"/>
      <c r="C158" s="46" t="n"/>
      <c r="F158" s="45" t="n"/>
    </row>
    <row r="159">
      <c r="B159" s="44" t="n"/>
      <c r="C159" s="46" t="n"/>
      <c r="F159" s="45" t="n"/>
    </row>
    <row r="160">
      <c r="B160" s="44" t="n"/>
      <c r="C160" s="46" t="n"/>
      <c r="F160" s="45" t="n"/>
    </row>
    <row r="161">
      <c r="B161" s="44" t="n"/>
      <c r="C161" s="46" t="n"/>
      <c r="F161" s="45" t="n"/>
    </row>
    <row r="162">
      <c r="B162" s="44" t="n"/>
      <c r="C162" s="46" t="n"/>
      <c r="F162" s="45" t="n"/>
    </row>
    <row r="163">
      <c r="B163" s="44" t="n"/>
      <c r="C163" s="46" t="n"/>
      <c r="F163" s="45" t="n"/>
    </row>
    <row r="164">
      <c r="B164" s="44" t="n"/>
      <c r="C164" s="46" t="n"/>
      <c r="F164" s="45" t="n"/>
    </row>
    <row r="165">
      <c r="B165" s="44" t="n"/>
      <c r="C165" s="46" t="n"/>
      <c r="F165" s="45" t="n"/>
    </row>
    <row r="166">
      <c r="B166" s="44" t="n"/>
      <c r="C166" s="46" t="n"/>
      <c r="F166" s="45" t="n"/>
    </row>
    <row r="167">
      <c r="B167" s="44" t="n"/>
      <c r="C167" s="46" t="n"/>
      <c r="F167" s="45" t="n"/>
    </row>
    <row r="168">
      <c r="B168" s="44" t="n"/>
      <c r="C168" s="46" t="n"/>
      <c r="F168" s="45" t="n"/>
    </row>
    <row r="169">
      <c r="B169" s="44" t="n"/>
      <c r="C169" s="46" t="n"/>
      <c r="F169" s="45" t="n"/>
    </row>
    <row r="170">
      <c r="B170" s="44" t="n"/>
      <c r="C170" s="46" t="n"/>
      <c r="F170" s="45" t="n"/>
    </row>
    <row r="171">
      <c r="B171" s="44" t="n"/>
      <c r="C171" s="46" t="n"/>
      <c r="F171" s="45" t="n"/>
    </row>
    <row r="172">
      <c r="B172" s="44" t="n"/>
      <c r="C172" s="46" t="n"/>
      <c r="F172" s="45" t="n"/>
    </row>
    <row r="173">
      <c r="B173" s="44" t="n"/>
      <c r="C173" s="46" t="n"/>
      <c r="F173" s="45" t="n"/>
    </row>
    <row r="174">
      <c r="B174" s="44" t="n"/>
      <c r="C174" s="46" t="n"/>
      <c r="F174" s="45" t="n"/>
    </row>
    <row r="175">
      <c r="B175" s="44" t="n"/>
      <c r="C175" s="46" t="n"/>
      <c r="F175" s="45" t="n"/>
    </row>
    <row r="176">
      <c r="B176" s="44" t="n"/>
      <c r="C176" s="46" t="n"/>
      <c r="F176" s="45" t="n"/>
    </row>
    <row r="177">
      <c r="B177" s="44" t="n"/>
      <c r="C177" s="46" t="n"/>
      <c r="F177" s="45" t="n"/>
    </row>
    <row r="178">
      <c r="B178" s="44" t="n"/>
      <c r="C178" s="46" t="n"/>
      <c r="F178" s="45" t="n"/>
    </row>
    <row r="179">
      <c r="B179" s="44" t="n"/>
      <c r="C179" s="46" t="n"/>
      <c r="F179" s="45" t="n"/>
    </row>
    <row r="180">
      <c r="B180" s="44" t="n"/>
      <c r="C180" s="46" t="n"/>
      <c r="F180" s="45" t="n"/>
    </row>
    <row r="181">
      <c r="B181" s="44" t="n"/>
      <c r="C181" s="46" t="n"/>
      <c r="F181" s="45" t="n"/>
    </row>
    <row r="182">
      <c r="B182" s="44" t="n"/>
      <c r="C182" s="46" t="n"/>
      <c r="F182" s="45" t="n"/>
    </row>
    <row r="183">
      <c r="B183" s="44" t="n"/>
      <c r="C183" s="46" t="n"/>
      <c r="F183" s="45" t="n"/>
    </row>
    <row r="184">
      <c r="B184" s="44" t="n"/>
      <c r="C184" s="46" t="n"/>
      <c r="F184" s="45" t="n"/>
    </row>
    <row r="185">
      <c r="B185" s="44" t="n"/>
      <c r="C185" s="46" t="n"/>
      <c r="F185" s="45" t="n"/>
    </row>
    <row r="186">
      <c r="B186" s="44" t="n"/>
      <c r="C186" s="46" t="n"/>
      <c r="F186" s="45" t="n"/>
    </row>
    <row r="187">
      <c r="B187" s="44" t="n"/>
      <c r="C187" s="46" t="n"/>
      <c r="F187" s="45" t="n"/>
    </row>
    <row r="188">
      <c r="B188" s="44" t="n"/>
      <c r="C188" s="46" t="n"/>
      <c r="F188" s="45" t="n"/>
    </row>
    <row r="189">
      <c r="B189" s="44" t="n"/>
      <c r="C189" s="46" t="n"/>
      <c r="F189" s="45" t="n"/>
    </row>
    <row r="190">
      <c r="B190" s="44" t="n"/>
      <c r="C190" s="46" t="n"/>
      <c r="F190" s="45" t="n"/>
    </row>
    <row r="191">
      <c r="B191" s="44" t="n"/>
      <c r="C191" s="46" t="n"/>
      <c r="F191" s="45" t="n"/>
    </row>
    <row r="192">
      <c r="B192" s="44" t="n"/>
      <c r="C192" s="46" t="n"/>
      <c r="F192" s="45" t="n"/>
    </row>
    <row r="193">
      <c r="B193" s="44" t="n"/>
      <c r="C193" s="46" t="n"/>
      <c r="F193" s="45" t="n"/>
    </row>
    <row r="194">
      <c r="B194" s="44" t="n"/>
      <c r="C194" s="46" t="n"/>
      <c r="F194" s="45" t="n"/>
    </row>
    <row r="195">
      <c r="B195" s="44" t="n"/>
      <c r="C195" s="46" t="n"/>
      <c r="F195" s="45" t="n"/>
    </row>
    <row r="196">
      <c r="B196" s="44" t="n"/>
      <c r="C196" s="46" t="n"/>
      <c r="F196" s="45" t="n"/>
    </row>
    <row r="197">
      <c r="B197" s="44" t="n"/>
      <c r="C197" s="46" t="n"/>
      <c r="F197" s="45" t="n"/>
    </row>
    <row r="198">
      <c r="B198" s="44" t="n"/>
      <c r="C198" s="46" t="n"/>
      <c r="F198" s="45" t="n"/>
    </row>
    <row r="199">
      <c r="B199" s="44" t="n"/>
      <c r="C199" s="46" t="n"/>
      <c r="F199" s="45" t="n"/>
    </row>
    <row r="200">
      <c r="B200" s="44" t="n"/>
      <c r="C200" s="46" t="n"/>
      <c r="F200" s="45" t="n"/>
    </row>
    <row r="201">
      <c r="B201" s="44" t="n"/>
      <c r="C201" s="46" t="n"/>
      <c r="F201" s="45" t="n"/>
    </row>
    <row r="202">
      <c r="B202" s="44" t="n"/>
      <c r="C202" s="46" t="n"/>
      <c r="F202" s="45" t="n"/>
    </row>
    <row r="203">
      <c r="B203" s="44" t="n"/>
      <c r="C203" s="46" t="n"/>
      <c r="F203" s="45" t="n"/>
    </row>
    <row r="204">
      <c r="B204" s="44" t="n"/>
      <c r="C204" s="46" t="n"/>
      <c r="F204" s="45" t="n"/>
    </row>
    <row r="205">
      <c r="B205" s="44" t="n"/>
      <c r="C205" s="46" t="n"/>
      <c r="F205" s="45" t="n"/>
    </row>
    <row r="206">
      <c r="B206" s="44" t="n"/>
      <c r="C206" s="46" t="n"/>
      <c r="F206" s="45" t="n"/>
    </row>
    <row r="207">
      <c r="B207" s="44" t="n"/>
      <c r="C207" s="46" t="n"/>
      <c r="F207" s="45" t="n"/>
    </row>
    <row r="208">
      <c r="B208" s="44" t="n"/>
      <c r="C208" s="46" t="n"/>
      <c r="F208" s="45" t="n"/>
    </row>
    <row r="209">
      <c r="B209" s="44" t="n"/>
      <c r="C209" s="46" t="n"/>
      <c r="F209" s="45" t="n"/>
    </row>
    <row r="210">
      <c r="B210" s="44" t="n"/>
      <c r="C210" s="46" t="n"/>
      <c r="F210" s="45" t="n"/>
    </row>
    <row r="211">
      <c r="B211" s="44" t="n"/>
      <c r="C211" s="46" t="n"/>
      <c r="F211" s="45" t="n"/>
    </row>
    <row r="212">
      <c r="B212" s="44" t="n"/>
      <c r="C212" s="46" t="n"/>
      <c r="F212" s="45" t="n"/>
    </row>
    <row r="213">
      <c r="B213" s="44" t="n"/>
      <c r="C213" s="46" t="n"/>
      <c r="F213" s="45" t="n"/>
    </row>
    <row r="214">
      <c r="B214" s="44" t="n"/>
      <c r="C214" s="46" t="n"/>
      <c r="F214" s="45" t="n"/>
    </row>
    <row r="215">
      <c r="B215" s="44" t="n"/>
      <c r="C215" s="46" t="n"/>
      <c r="F215" s="45" t="n"/>
    </row>
    <row r="216">
      <c r="B216" s="44" t="n"/>
      <c r="C216" s="46" t="n"/>
      <c r="F216" s="45" t="n"/>
    </row>
    <row r="217">
      <c r="B217" s="44" t="n"/>
      <c r="C217" s="46" t="n"/>
      <c r="F217" s="45" t="n"/>
    </row>
    <row r="218">
      <c r="B218" s="44" t="n"/>
      <c r="C218" s="46" t="n"/>
      <c r="F218" s="45" t="n"/>
    </row>
    <row r="219">
      <c r="B219" s="44" t="n"/>
      <c r="C219" s="46" t="n"/>
      <c r="F219" s="45" t="n"/>
    </row>
    <row r="220">
      <c r="B220" s="44" t="n"/>
      <c r="C220" s="46" t="n"/>
      <c r="F220" s="45" t="n"/>
    </row>
    <row r="221">
      <c r="B221" s="44" t="n"/>
      <c r="C221" s="46" t="n"/>
      <c r="F221" s="45" t="n"/>
    </row>
    <row r="222">
      <c r="B222" s="44" t="n"/>
      <c r="C222" s="46" t="n"/>
      <c r="F222" s="45" t="n"/>
    </row>
    <row r="223">
      <c r="B223" s="44" t="n"/>
      <c r="C223" s="46" t="n"/>
      <c r="F223" s="45" t="n"/>
    </row>
    <row r="224">
      <c r="B224" s="44" t="n"/>
      <c r="C224" s="46" t="n"/>
      <c r="F224" s="45" t="n"/>
    </row>
    <row r="225">
      <c r="B225" s="44" t="n"/>
      <c r="C225" s="46" t="n"/>
      <c r="F225" s="45" t="n"/>
    </row>
    <row r="226">
      <c r="B226" s="44" t="n"/>
      <c r="C226" s="46" t="n"/>
      <c r="F226" s="45" t="n"/>
    </row>
    <row r="227">
      <c r="B227" s="44" t="n"/>
      <c r="C227" s="46" t="n"/>
      <c r="F227" s="45" t="n"/>
    </row>
    <row r="228">
      <c r="B228" s="44" t="n"/>
      <c r="C228" s="46" t="n"/>
      <c r="F228" s="45" t="n"/>
    </row>
    <row r="229">
      <c r="B229" s="44" t="n"/>
      <c r="C229" s="46" t="n"/>
      <c r="F229" s="45" t="n"/>
    </row>
    <row r="230">
      <c r="B230" s="44" t="n"/>
      <c r="C230" s="46" t="n"/>
      <c r="F230" s="45" t="n"/>
    </row>
    <row r="231">
      <c r="B231" s="44" t="n"/>
      <c r="C231" s="46" t="n"/>
      <c r="F231" s="45" t="n"/>
    </row>
    <row r="232">
      <c r="B232" s="44" t="n"/>
      <c r="C232" s="46" t="n"/>
      <c r="F232" s="45" t="n"/>
    </row>
    <row r="233">
      <c r="B233" s="44" t="n"/>
      <c r="C233" s="46" t="n"/>
      <c r="F233" s="45" t="n"/>
    </row>
    <row r="234">
      <c r="B234" s="44" t="n"/>
      <c r="C234" s="46" t="n"/>
      <c r="F234" s="45" t="n"/>
    </row>
    <row r="235">
      <c r="B235" s="44" t="n"/>
      <c r="C235" s="46" t="n"/>
      <c r="F235" s="45" t="n"/>
    </row>
    <row r="236">
      <c r="B236" s="44" t="n"/>
      <c r="C236" s="46" t="n"/>
      <c r="F236" s="45" t="n"/>
    </row>
    <row r="237">
      <c r="B237" s="44" t="n"/>
      <c r="C237" s="46" t="n"/>
      <c r="F237" s="45" t="n"/>
    </row>
    <row r="238">
      <c r="B238" s="44" t="n"/>
      <c r="C238" s="46" t="n"/>
      <c r="F238" s="45" t="n"/>
    </row>
    <row r="239">
      <c r="B239" s="44" t="n"/>
      <c r="C239" s="46" t="n"/>
      <c r="F239" s="45" t="n"/>
    </row>
    <row r="240">
      <c r="B240" s="44" t="n"/>
      <c r="C240" s="46" t="n"/>
      <c r="F240" s="45" t="n"/>
    </row>
    <row r="241">
      <c r="B241" s="44" t="n"/>
      <c r="C241" s="46" t="n"/>
      <c r="F241" s="45" t="n"/>
    </row>
    <row r="242">
      <c r="B242" s="44" t="n"/>
      <c r="C242" s="46" t="n"/>
      <c r="F242" s="45" t="n"/>
    </row>
    <row r="243">
      <c r="B243" s="44" t="n"/>
      <c r="C243" s="46" t="n"/>
      <c r="F243" s="45" t="n"/>
    </row>
    <row r="244">
      <c r="B244" s="44" t="n"/>
      <c r="C244" s="46" t="n"/>
      <c r="F244" s="45" t="n"/>
    </row>
    <row r="245">
      <c r="B245" s="44" t="n"/>
      <c r="C245" s="46" t="n"/>
      <c r="F245" s="45" t="n"/>
    </row>
    <row r="246">
      <c r="B246" s="44" t="n"/>
      <c r="C246" s="46" t="n"/>
      <c r="F246" s="45" t="n"/>
    </row>
    <row r="247">
      <c r="B247" s="44" t="n"/>
      <c r="C247" s="46" t="n"/>
      <c r="F247" s="45" t="n"/>
    </row>
    <row r="248">
      <c r="B248" s="44" t="n"/>
      <c r="C248" s="46" t="n"/>
      <c r="F248" s="45" t="n"/>
    </row>
    <row r="249">
      <c r="B249" s="44" t="n"/>
      <c r="C249" s="46" t="n"/>
      <c r="F249" s="45" t="n"/>
    </row>
    <row r="250">
      <c r="B250" s="44" t="n"/>
      <c r="C250" s="46" t="n"/>
      <c r="F250" s="45" t="n"/>
    </row>
    <row r="251">
      <c r="B251" s="44" t="n"/>
      <c r="C251" s="46" t="n"/>
      <c r="F251" s="45" t="n"/>
    </row>
    <row r="252">
      <c r="B252" s="44" t="n"/>
      <c r="C252" s="46" t="n"/>
      <c r="F252" s="45" t="n"/>
    </row>
    <row r="253">
      <c r="B253" s="44" t="n"/>
      <c r="C253" s="46" t="n"/>
      <c r="F253" s="45" t="n"/>
    </row>
    <row r="254">
      <c r="B254" s="44" t="n"/>
      <c r="C254" s="46" t="n"/>
      <c r="F254" s="45" t="n"/>
    </row>
    <row r="255">
      <c r="B255" s="44" t="n"/>
      <c r="C255" s="46" t="n"/>
      <c r="F255" s="45" t="n"/>
    </row>
    <row r="256">
      <c r="B256" s="44" t="n"/>
      <c r="C256" s="46" t="n"/>
      <c r="F256" s="45" t="n"/>
    </row>
    <row r="257">
      <c r="B257" s="44" t="n"/>
      <c r="C257" s="46" t="n"/>
      <c r="F257" s="45" t="n"/>
    </row>
    <row r="258">
      <c r="B258" s="44" t="n"/>
      <c r="C258" s="46" t="n"/>
      <c r="F258" s="45" t="n"/>
    </row>
    <row r="259">
      <c r="B259" s="44" t="n"/>
      <c r="C259" s="46" t="n"/>
      <c r="F259" s="45" t="n"/>
    </row>
    <row r="260">
      <c r="B260" s="44" t="n"/>
      <c r="C260" s="46" t="n"/>
      <c r="F260" s="45" t="n"/>
    </row>
    <row r="261">
      <c r="B261" s="44" t="n"/>
      <c r="C261" s="46" t="n"/>
      <c r="F261" s="45" t="n"/>
    </row>
    <row r="262">
      <c r="B262" s="44" t="n"/>
      <c r="C262" s="46" t="n"/>
      <c r="F262" s="45" t="n"/>
    </row>
    <row r="263">
      <c r="B263" s="44" t="n"/>
      <c r="C263" s="46" t="n"/>
      <c r="F263" s="45" t="n"/>
    </row>
    <row r="264">
      <c r="B264" s="44" t="n"/>
      <c r="C264" s="46" t="n"/>
      <c r="F264" s="45" t="n"/>
    </row>
    <row r="265">
      <c r="B265" s="44" t="n"/>
      <c r="C265" s="46" t="n"/>
      <c r="F265" s="45" t="n"/>
    </row>
    <row r="266">
      <c r="B266" s="44" t="n"/>
      <c r="C266" s="46" t="n"/>
      <c r="F266" s="45" t="n"/>
    </row>
    <row r="267">
      <c r="B267" s="44" t="n"/>
      <c r="C267" s="46" t="n"/>
      <c r="F267" s="45" t="n"/>
    </row>
    <row r="268">
      <c r="B268" s="44" t="n"/>
      <c r="C268" s="46" t="n"/>
      <c r="F268" s="45" t="n"/>
    </row>
    <row r="269">
      <c r="B269" s="44" t="n"/>
      <c r="C269" s="46" t="n"/>
      <c r="F269" s="45" t="n"/>
    </row>
    <row r="270">
      <c r="B270" s="44" t="n"/>
      <c r="C270" s="46" t="n"/>
      <c r="F270" s="45" t="n"/>
    </row>
    <row r="271">
      <c r="B271" s="44" t="n"/>
      <c r="C271" s="46" t="n"/>
      <c r="F271" s="45" t="n"/>
    </row>
    <row r="272">
      <c r="B272" s="44" t="n"/>
      <c r="C272" s="46" t="n"/>
      <c r="F272" s="45" t="n"/>
    </row>
    <row r="273">
      <c r="B273" s="44" t="n"/>
      <c r="C273" s="46" t="n"/>
      <c r="F273" s="45" t="n"/>
    </row>
    <row r="274">
      <c r="B274" s="44" t="n"/>
      <c r="C274" s="46" t="n"/>
      <c r="F274" s="45" t="n"/>
    </row>
    <row r="275">
      <c r="B275" s="44" t="n"/>
      <c r="C275" s="46" t="n"/>
      <c r="F275" s="45" t="n"/>
    </row>
    <row r="276">
      <c r="B276" s="44" t="n"/>
      <c r="C276" s="46" t="n"/>
      <c r="F276" s="45" t="n"/>
    </row>
    <row r="277">
      <c r="B277" s="44" t="n"/>
      <c r="C277" s="46" t="n"/>
      <c r="F277" s="45" t="n"/>
    </row>
    <row r="278">
      <c r="B278" s="44" t="n"/>
      <c r="C278" s="46" t="n"/>
      <c r="F278" s="45" t="n"/>
    </row>
    <row r="279">
      <c r="B279" s="44" t="n"/>
      <c r="C279" s="46" t="n"/>
      <c r="F279" s="45" t="n"/>
    </row>
    <row r="280">
      <c r="B280" s="44" t="n"/>
      <c r="C280" s="46" t="n"/>
      <c r="F280" s="45" t="n"/>
    </row>
    <row r="281">
      <c r="B281" s="44" t="n"/>
      <c r="C281" s="46" t="n"/>
      <c r="F281" s="45" t="n"/>
    </row>
    <row r="282">
      <c r="B282" s="44" t="n"/>
      <c r="C282" s="46" t="n"/>
      <c r="F282" s="45" t="n"/>
    </row>
    <row r="283">
      <c r="B283" s="44" t="n"/>
      <c r="C283" s="46" t="n"/>
      <c r="F283" s="45" t="n"/>
    </row>
    <row r="284">
      <c r="B284" s="44" t="n"/>
      <c r="C284" s="46" t="n"/>
      <c r="F284" s="45" t="n"/>
    </row>
    <row r="285">
      <c r="B285" s="44" t="n"/>
      <c r="C285" s="46" t="n"/>
      <c r="F285" s="45" t="n"/>
    </row>
    <row r="286">
      <c r="B286" s="44" t="n"/>
      <c r="C286" s="46" t="n"/>
      <c r="F286" s="45" t="n"/>
    </row>
    <row r="287">
      <c r="B287" s="44" t="n"/>
      <c r="C287" s="46" t="n"/>
      <c r="F287" s="45" t="n"/>
    </row>
    <row r="288">
      <c r="B288" s="44" t="n"/>
      <c r="C288" s="46" t="n"/>
      <c r="F288" s="45" t="n"/>
    </row>
    <row r="289">
      <c r="B289" s="44" t="n"/>
      <c r="C289" s="46" t="n"/>
      <c r="F289" s="45" t="n"/>
    </row>
    <row r="290">
      <c r="B290" s="44" t="n"/>
      <c r="C290" s="46" t="n"/>
      <c r="F290" s="45" t="n"/>
    </row>
    <row r="291">
      <c r="B291" s="44" t="n"/>
      <c r="C291" s="46" t="n"/>
      <c r="F291" s="45" t="n"/>
    </row>
    <row r="292">
      <c r="B292" s="44" t="n"/>
      <c r="C292" s="46" t="n"/>
      <c r="F292" s="45" t="n"/>
    </row>
    <row r="293">
      <c r="B293" s="44" t="n"/>
      <c r="C293" s="46" t="n"/>
      <c r="F293" s="45" t="n"/>
    </row>
    <row r="294">
      <c r="B294" s="44" t="n"/>
      <c r="C294" s="46" t="n"/>
      <c r="F294" s="45" t="n"/>
    </row>
    <row r="295">
      <c r="B295" s="44" t="n"/>
      <c r="C295" s="46" t="n"/>
      <c r="F295" s="45" t="n"/>
    </row>
    <row r="296">
      <c r="B296" s="44" t="n"/>
      <c r="C296" s="46" t="n"/>
      <c r="F296" s="45" t="n"/>
    </row>
    <row r="297">
      <c r="B297" s="44" t="n"/>
      <c r="C297" s="46" t="n"/>
      <c r="F297" s="45" t="n"/>
    </row>
    <row r="298">
      <c r="B298" s="44" t="n"/>
      <c r="C298" s="46" t="n"/>
      <c r="F298" s="45" t="n"/>
    </row>
    <row r="299">
      <c r="B299" s="44" t="n"/>
      <c r="C299" s="46" t="n"/>
      <c r="F299" s="45" t="n"/>
    </row>
    <row r="300">
      <c r="B300" s="44" t="n"/>
      <c r="C300" s="46" t="n"/>
      <c r="F300" s="45" t="n"/>
    </row>
    <row r="301">
      <c r="B301" s="44" t="n"/>
      <c r="C301" s="46" t="n"/>
      <c r="F301" s="45" t="n"/>
    </row>
    <row r="302">
      <c r="B302" s="44" t="n"/>
      <c r="C302" s="46" t="n"/>
      <c r="F302" s="45" t="n"/>
    </row>
  </sheetData>
  <conditionalFormatting sqref="N22">
    <cfRule type="cellIs" priority="1" operator="lessThan" dxfId="0">
      <formula>0</formula>
    </cfRule>
  </conditionalFormatting>
  <conditionalFormatting sqref="N24">
    <cfRule type="cellIs" priority="2" operator="lessThan" dxfId="0">
      <formula>0</formula>
    </cfRule>
    <cfRule type="cellIs" priority="3" operator="greaterThan" dxfId="1">
      <formula>0</formula>
    </cfRule>
  </conditionalFormatting>
  <conditionalFormatting sqref="N30">
    <cfRule type="expression" priority="4" dxfId="0">
      <formula>AND($N$3&gt;0,N30&lt;0)</formula>
    </cfRule>
    <cfRule type="expression" priority="5" dxfId="1">
      <formula>AND($N$3&gt;0,N30&gt;=0)</formula>
    </cfRule>
  </conditionalFormatting>
  <conditionalFormatting sqref="N32">
    <cfRule type="expression" priority="6" dxfId="0">
      <formula>AND($N$3&gt;0,N32&lt;0)</formula>
    </cfRule>
    <cfRule type="expression" priority="7" dxfId="1">
      <formula>AND($N$3&gt;0,N32&gt;=0)</formula>
    </cfRule>
  </conditionalFormatting>
  <dataValidations count="2">
    <dataValidation sqref="E3:E302" showDropDown="0" showInputMessage="0" showErrorMessage="0" allowBlank="1" type="list">
      <formula1>'選択肢マスター'!$K$2:$K$12</formula1>
    </dataValidation>
    <dataValidation sqref="H3:H302" showDropDown="0" showInputMessage="0" showErrorMessage="0" allowBlank="1" type="list">
      <formula1>'選択肢マスター'!$J$2:$J$3</formula1>
    </dataValidation>
  </dataValidations>
  <pageMargins left="0.75" right="0.75" top="1" bottom="1" header="0.5" footer="0.5"/>
</worksheet>
</file>

<file path=xl/worksheets/sheet27.xml><?xml version="1.0" encoding="utf-8"?>
<worksheet xmlns="http://schemas.openxmlformats.org/spreadsheetml/2006/main">
  <sheetPr>
    <tabColor rgb="007030A0"/>
    <outlinePr summaryBelow="1" summaryRight="1"/>
    <pageSetUpPr/>
  </sheetPr>
  <dimension ref="A1:N42"/>
  <sheetViews>
    <sheetView workbookViewId="0">
      <selection activeCell="A1" sqref="A1"/>
    </sheetView>
  </sheetViews>
  <sheetFormatPr baseColWidth="8" defaultRowHeight="15"/>
  <cols>
    <col width="14" customWidth="1" min="1" max="1"/>
    <col width="14" customWidth="1" min="2" max="2"/>
    <col width="10" customWidth="1" min="3" max="3"/>
    <col width="12" customWidth="1" min="4" max="4"/>
    <col width="14" customWidth="1" min="5" max="5"/>
    <col width="12" customWidth="1" min="6" max="6"/>
    <col width="18" customWidth="1" min="7" max="7"/>
    <col width="40" customWidth="1" min="8" max="8"/>
    <col width="12" customWidth="1" min="9" max="9"/>
    <col width="12" customWidth="1" min="10" max="10"/>
    <col width="12" customWidth="1" min="11" max="11"/>
    <col width="12" customWidth="1" min="12" max="12"/>
    <col width="12" customWidth="1" min="13" max="13"/>
    <col width="14" customWidth="1" min="14" max="14"/>
  </cols>
  <sheetData>
    <row r="1" ht="22" customHeight="1">
      <c r="A1" s="1" t="inlineStr">
        <is>
          <t>2027年 計画（正式目標＝中立）</t>
        </is>
      </c>
    </row>
    <row r="2">
      <c r="A2" s="2" t="inlineStr">
        <is>
          <t>tools/plan2027.py --json の値をそのまま。ここは実績で書き換えないこと。</t>
        </is>
      </c>
    </row>
    <row r="4" ht="30" customHeight="1">
      <c r="A4" s="3" t="inlineStr">
        <is>
          <t>項目</t>
        </is>
      </c>
      <c r="B4" s="3" t="inlineStr">
        <is>
          <t>1月</t>
        </is>
      </c>
      <c r="C4" s="3" t="inlineStr">
        <is>
          <t>2月</t>
        </is>
      </c>
      <c r="D4" s="3" t="inlineStr">
        <is>
          <t>3月</t>
        </is>
      </c>
      <c r="E4" s="3" t="inlineStr">
        <is>
          <t>4月</t>
        </is>
      </c>
      <c r="F4" s="3" t="inlineStr">
        <is>
          <t>5月</t>
        </is>
      </c>
      <c r="G4" s="3" t="inlineStr">
        <is>
          <t>6月</t>
        </is>
      </c>
      <c r="H4" s="3" t="inlineStr">
        <is>
          <t>7月</t>
        </is>
      </c>
      <c r="I4" s="3" t="inlineStr">
        <is>
          <t>8月</t>
        </is>
      </c>
      <c r="J4" s="3" t="inlineStr">
        <is>
          <t>9月</t>
        </is>
      </c>
      <c r="K4" s="3" t="inlineStr">
        <is>
          <t>10月</t>
        </is>
      </c>
      <c r="L4" s="3" t="inlineStr">
        <is>
          <t>11月</t>
        </is>
      </c>
      <c r="M4" s="3" t="inlineStr">
        <is>
          <t>12月</t>
        </is>
      </c>
      <c r="N4" s="3" t="inlineStr">
        <is>
          <t>年計</t>
        </is>
      </c>
    </row>
    <row r="5">
      <c r="A5" s="13" t="inlineStr">
        <is>
          <t>売上</t>
        </is>
      </c>
      <c r="B5" s="14" t="n">
        <v>1440000</v>
      </c>
      <c r="C5" s="14" t="n">
        <v>1280000</v>
      </c>
      <c r="D5" s="14" t="n">
        <v>1850000</v>
      </c>
      <c r="E5" s="14" t="n">
        <v>2260000</v>
      </c>
      <c r="F5" s="14" t="n">
        <v>2890000</v>
      </c>
      <c r="G5" s="14" t="n">
        <v>3400000</v>
      </c>
      <c r="H5" s="14" t="n">
        <v>2740000</v>
      </c>
      <c r="I5" s="14" t="n">
        <v>1600000</v>
      </c>
      <c r="J5" s="14" t="n">
        <v>1800000</v>
      </c>
      <c r="K5" s="14" t="n">
        <v>2320000</v>
      </c>
      <c r="L5" s="14" t="n">
        <v>2480000</v>
      </c>
      <c r="M5" s="14" t="n">
        <v>1940000</v>
      </c>
      <c r="N5" s="54" t="n">
        <v>26000000</v>
      </c>
    </row>
    <row r="6">
      <c r="A6" s="13" t="inlineStr">
        <is>
          <t>件数</t>
        </is>
      </c>
      <c r="B6" s="21" t="n">
        <v>37</v>
      </c>
      <c r="C6" s="21" t="n">
        <v>32</v>
      </c>
      <c r="D6" s="21" t="n">
        <v>46</v>
      </c>
      <c r="E6" s="21" t="n">
        <v>57</v>
      </c>
      <c r="F6" s="21" t="n">
        <v>70</v>
      </c>
      <c r="G6" s="21" t="n">
        <v>82</v>
      </c>
      <c r="H6" s="21" t="n">
        <v>68</v>
      </c>
      <c r="I6" s="21" t="n">
        <v>42</v>
      </c>
      <c r="J6" s="21" t="n">
        <v>46</v>
      </c>
      <c r="K6" s="21" t="n">
        <v>60</v>
      </c>
      <c r="L6" s="21" t="n">
        <v>64</v>
      </c>
      <c r="M6" s="21" t="n">
        <v>45</v>
      </c>
      <c r="N6" s="57" t="n">
        <v>649</v>
      </c>
    </row>
    <row r="7">
      <c r="A7" s="51" t="inlineStr">
        <is>
          <t>平均単価</t>
        </is>
      </c>
      <c r="B7" s="14" t="n">
        <v>38919</v>
      </c>
      <c r="C7" s="14" t="n">
        <v>40000</v>
      </c>
      <c r="D7" s="14" t="n">
        <v>40217</v>
      </c>
      <c r="E7" s="14" t="n">
        <v>39649</v>
      </c>
      <c r="F7" s="14" t="n">
        <v>41286</v>
      </c>
      <c r="G7" s="14" t="n">
        <v>41463</v>
      </c>
      <c r="H7" s="14" t="n">
        <v>40294</v>
      </c>
      <c r="I7" s="14" t="n">
        <v>38095</v>
      </c>
      <c r="J7" s="14" t="n">
        <v>39130</v>
      </c>
      <c r="K7" s="14" t="n">
        <v>38667</v>
      </c>
      <c r="L7" s="14" t="n">
        <v>38750</v>
      </c>
      <c r="M7" s="14" t="n">
        <v>43111</v>
      </c>
      <c r="N7" s="54" t="n">
        <v>40062</v>
      </c>
    </row>
    <row r="8">
      <c r="A8" s="51" t="inlineStr">
        <is>
          <t>本舗売上</t>
        </is>
      </c>
      <c r="B8" s="14" t="n">
        <v>215446</v>
      </c>
      <c r="C8" s="14" t="n">
        <v>191508</v>
      </c>
      <c r="D8" s="14" t="n">
        <v>276788</v>
      </c>
      <c r="E8" s="14" t="n">
        <v>338131</v>
      </c>
      <c r="F8" s="14" t="n">
        <v>432388</v>
      </c>
      <c r="G8" s="14" t="n">
        <v>508692</v>
      </c>
      <c r="H8" s="14" t="n">
        <v>409946</v>
      </c>
      <c r="I8" s="14" t="n">
        <v>239385</v>
      </c>
      <c r="J8" s="14" t="n">
        <v>269308</v>
      </c>
      <c r="K8" s="14" t="n">
        <v>347108</v>
      </c>
      <c r="L8" s="14" t="n">
        <v>371046</v>
      </c>
      <c r="M8" s="14" t="n">
        <v>290254</v>
      </c>
      <c r="N8" s="54" t="n">
        <v>3890000</v>
      </c>
    </row>
    <row r="9">
      <c r="A9" s="51" t="inlineStr">
        <is>
          <t>原価_資材費</t>
        </is>
      </c>
      <c r="B9" s="14" t="n">
        <v>8325</v>
      </c>
      <c r="C9" s="14" t="n">
        <v>7200</v>
      </c>
      <c r="D9" s="14" t="n">
        <v>10350</v>
      </c>
      <c r="E9" s="14" t="n">
        <v>12825</v>
      </c>
      <c r="F9" s="14" t="n">
        <v>15750</v>
      </c>
      <c r="G9" s="14" t="n">
        <v>18450</v>
      </c>
      <c r="H9" s="14" t="n">
        <v>15300</v>
      </c>
      <c r="I9" s="14" t="n">
        <v>9450</v>
      </c>
      <c r="J9" s="14" t="n">
        <v>10350</v>
      </c>
      <c r="K9" s="14" t="n">
        <v>13500</v>
      </c>
      <c r="L9" s="14" t="n">
        <v>14400</v>
      </c>
      <c r="M9" s="14" t="n">
        <v>10125</v>
      </c>
      <c r="N9" s="54" t="n">
        <v>146025</v>
      </c>
    </row>
    <row r="10">
      <c r="A10" s="51" t="inlineStr">
        <is>
          <t>原価_外注費</t>
        </is>
      </c>
      <c r="B10" s="14" t="n">
        <v>0</v>
      </c>
      <c r="C10" s="14" t="n">
        <v>0</v>
      </c>
      <c r="D10" s="14" t="n">
        <v>130000</v>
      </c>
      <c r="E10" s="14" t="n">
        <v>208000</v>
      </c>
      <c r="F10" s="14" t="n">
        <v>364000</v>
      </c>
      <c r="G10" s="14" t="n">
        <v>468000</v>
      </c>
      <c r="H10" s="14" t="n">
        <v>312000</v>
      </c>
      <c r="I10" s="14" t="n">
        <v>130000</v>
      </c>
      <c r="J10" s="14" t="n">
        <v>130000</v>
      </c>
      <c r="K10" s="14" t="n">
        <v>260000</v>
      </c>
      <c r="L10" s="14" t="n">
        <v>312000</v>
      </c>
      <c r="M10" s="14" t="n">
        <v>286000</v>
      </c>
      <c r="N10" s="54" t="n">
        <v>2600000</v>
      </c>
    </row>
    <row r="11">
      <c r="A11" s="51" t="inlineStr">
        <is>
          <t>原価_補助人件費</t>
        </is>
      </c>
      <c r="B11" s="14" t="n">
        <v>20000</v>
      </c>
      <c r="C11" s="14" t="n">
        <v>20000</v>
      </c>
      <c r="D11" s="14" t="n">
        <v>20000</v>
      </c>
      <c r="E11" s="14" t="n">
        <v>30000</v>
      </c>
      <c r="F11" s="14" t="n">
        <v>40000</v>
      </c>
      <c r="G11" s="14" t="n">
        <v>40000</v>
      </c>
      <c r="H11" s="14" t="n">
        <v>40000</v>
      </c>
      <c r="I11" s="14" t="n">
        <v>20000</v>
      </c>
      <c r="J11" s="14" t="n">
        <v>20000</v>
      </c>
      <c r="K11" s="14" t="n">
        <v>30000</v>
      </c>
      <c r="L11" s="14" t="n">
        <v>40000</v>
      </c>
      <c r="M11" s="14" t="n">
        <v>40000</v>
      </c>
      <c r="N11" s="54" t="n">
        <v>360000</v>
      </c>
    </row>
    <row r="12">
      <c r="A12" s="51" t="inlineStr">
        <is>
          <t>原価_計</t>
        </is>
      </c>
      <c r="B12" s="14" t="n">
        <v>28325</v>
      </c>
      <c r="C12" s="14" t="n">
        <v>27200</v>
      </c>
      <c r="D12" s="14" t="n">
        <v>160350</v>
      </c>
      <c r="E12" s="14" t="n">
        <v>250825</v>
      </c>
      <c r="F12" s="14" t="n">
        <v>419750</v>
      </c>
      <c r="G12" s="14" t="n">
        <v>526450</v>
      </c>
      <c r="H12" s="14" t="n">
        <v>367300</v>
      </c>
      <c r="I12" s="14" t="n">
        <v>159450</v>
      </c>
      <c r="J12" s="14" t="n">
        <v>160350</v>
      </c>
      <c r="K12" s="14" t="n">
        <v>303500</v>
      </c>
      <c r="L12" s="14" t="n">
        <v>366400</v>
      </c>
      <c r="M12" s="14" t="n">
        <v>336125</v>
      </c>
      <c r="N12" s="54" t="n">
        <v>3106025</v>
      </c>
    </row>
    <row r="13">
      <c r="A13" s="51" t="inlineStr">
        <is>
          <t>売上総利益</t>
        </is>
      </c>
      <c r="B13" s="14" t="n">
        <v>1411675</v>
      </c>
      <c r="C13" s="14" t="n">
        <v>1252800</v>
      </c>
      <c r="D13" s="14" t="n">
        <v>1689650</v>
      </c>
      <c r="E13" s="14" t="n">
        <v>2009175</v>
      </c>
      <c r="F13" s="14" t="n">
        <v>2470250</v>
      </c>
      <c r="G13" s="14" t="n">
        <v>2873550</v>
      </c>
      <c r="H13" s="14" t="n">
        <v>2372700</v>
      </c>
      <c r="I13" s="14" t="n">
        <v>1440550</v>
      </c>
      <c r="J13" s="14" t="n">
        <v>1639650</v>
      </c>
      <c r="K13" s="14" t="n">
        <v>2016500</v>
      </c>
      <c r="L13" s="14" t="n">
        <v>2113600</v>
      </c>
      <c r="M13" s="14" t="n">
        <v>1603875</v>
      </c>
      <c r="N13" s="54" t="n">
        <v>22893975</v>
      </c>
    </row>
    <row r="14">
      <c r="A14" s="51" t="inlineStr">
        <is>
          <t>販管_固定経費</t>
        </is>
      </c>
      <c r="B14" s="14" t="n">
        <v>159708</v>
      </c>
      <c r="C14" s="14" t="n">
        <v>159708</v>
      </c>
      <c r="D14" s="14" t="n">
        <v>159708</v>
      </c>
      <c r="E14" s="14" t="n">
        <v>159708</v>
      </c>
      <c r="F14" s="14" t="n">
        <v>159708</v>
      </c>
      <c r="G14" s="14" t="n">
        <v>159708</v>
      </c>
      <c r="H14" s="14" t="n">
        <v>159708</v>
      </c>
      <c r="I14" s="14" t="n">
        <v>159708</v>
      </c>
      <c r="J14" s="14" t="n">
        <v>159708</v>
      </c>
      <c r="K14" s="14" t="n">
        <v>159708</v>
      </c>
      <c r="L14" s="14" t="n">
        <v>159708</v>
      </c>
      <c r="M14" s="14" t="n">
        <v>159708</v>
      </c>
      <c r="N14" s="54" t="n">
        <v>1916496</v>
      </c>
    </row>
    <row r="15">
      <c r="A15" s="51" t="inlineStr">
        <is>
          <t>販管_ロイヤリティ固定</t>
        </is>
      </c>
      <c r="B15" s="14" t="n">
        <v>50050</v>
      </c>
      <c r="C15" s="14" t="n">
        <v>50050</v>
      </c>
      <c r="D15" s="14" t="n">
        <v>50050</v>
      </c>
      <c r="E15" s="14" t="n">
        <v>50050</v>
      </c>
      <c r="F15" s="14" t="n">
        <v>50050</v>
      </c>
      <c r="G15" s="14" t="n">
        <v>50050</v>
      </c>
      <c r="H15" s="14" t="n">
        <v>50050</v>
      </c>
      <c r="I15" s="14" t="n">
        <v>50050</v>
      </c>
      <c r="J15" s="14" t="n">
        <v>50050</v>
      </c>
      <c r="K15" s="14" t="n">
        <v>50050</v>
      </c>
      <c r="L15" s="14" t="n">
        <v>50050</v>
      </c>
      <c r="M15" s="14" t="n">
        <v>50050</v>
      </c>
      <c r="N15" s="54" t="n">
        <v>600600</v>
      </c>
    </row>
    <row r="16">
      <c r="A16" s="51" t="inlineStr">
        <is>
          <t>販管_ロイヤリティ</t>
        </is>
      </c>
      <c r="B16" s="14" t="n">
        <v>84024</v>
      </c>
      <c r="C16" s="14" t="n">
        <v>74688</v>
      </c>
      <c r="D16" s="14" t="n">
        <v>107947</v>
      </c>
      <c r="E16" s="14" t="n">
        <v>131871</v>
      </c>
      <c r="F16" s="14" t="n">
        <v>168631</v>
      </c>
      <c r="G16" s="14" t="n">
        <v>198390</v>
      </c>
      <c r="H16" s="14" t="n">
        <v>159879</v>
      </c>
      <c r="I16" s="14" t="n">
        <v>93360</v>
      </c>
      <c r="J16" s="14" t="n">
        <v>105030</v>
      </c>
      <c r="K16" s="14" t="n">
        <v>135372</v>
      </c>
      <c r="L16" s="14" t="n">
        <v>144708</v>
      </c>
      <c r="M16" s="14" t="n">
        <v>113199</v>
      </c>
      <c r="N16" s="54" t="n">
        <v>1517099</v>
      </c>
    </row>
    <row r="17">
      <c r="A17" s="51" t="inlineStr">
        <is>
          <t>販管_広告費</t>
        </is>
      </c>
      <c r="B17" s="14" t="n">
        <v>50000</v>
      </c>
      <c r="C17" s="14" t="n">
        <v>50000</v>
      </c>
      <c r="D17" s="14" t="n">
        <v>60000</v>
      </c>
      <c r="E17" s="14" t="n">
        <v>60000</v>
      </c>
      <c r="F17" s="14" t="n">
        <v>120000</v>
      </c>
      <c r="G17" s="14" t="n">
        <v>120000</v>
      </c>
      <c r="H17" s="14" t="n">
        <v>120000</v>
      </c>
      <c r="I17" s="14" t="n">
        <v>30000</v>
      </c>
      <c r="J17" s="14" t="n">
        <v>30000</v>
      </c>
      <c r="K17" s="14" t="n">
        <v>70000</v>
      </c>
      <c r="L17" s="14" t="n">
        <v>70000</v>
      </c>
      <c r="M17" s="14" t="n">
        <v>20000</v>
      </c>
      <c r="N17" s="54" t="n">
        <v>800000</v>
      </c>
    </row>
    <row r="18">
      <c r="A18" s="51" t="inlineStr">
        <is>
          <t>販管_人件費_和真</t>
        </is>
      </c>
      <c r="B18" s="14" t="n">
        <v>500000</v>
      </c>
      <c r="C18" s="14" t="n">
        <v>500000</v>
      </c>
      <c r="D18" s="14" t="n">
        <v>500000</v>
      </c>
      <c r="E18" s="14" t="n">
        <v>500000</v>
      </c>
      <c r="F18" s="14" t="n">
        <v>500000</v>
      </c>
      <c r="G18" s="14" t="n">
        <v>500000</v>
      </c>
      <c r="H18" s="14" t="n">
        <v>500000</v>
      </c>
      <c r="I18" s="14" t="n">
        <v>500000</v>
      </c>
      <c r="J18" s="14" t="n">
        <v>500000</v>
      </c>
      <c r="K18" s="14" t="n">
        <v>500000</v>
      </c>
      <c r="L18" s="14" t="n">
        <v>500000</v>
      </c>
      <c r="M18" s="14" t="n">
        <v>500000</v>
      </c>
      <c r="N18" s="54" t="n">
        <v>6000000</v>
      </c>
    </row>
    <row r="19">
      <c r="A19" s="51" t="inlineStr">
        <is>
          <t>販管_人件費_新人</t>
        </is>
      </c>
      <c r="B19" s="14" t="n">
        <v>0</v>
      </c>
      <c r="C19" s="14" t="n">
        <v>0</v>
      </c>
      <c r="D19" s="14" t="n">
        <v>345000</v>
      </c>
      <c r="E19" s="14" t="n">
        <v>345000</v>
      </c>
      <c r="F19" s="14" t="n">
        <v>345000</v>
      </c>
      <c r="G19" s="14" t="n">
        <v>345000</v>
      </c>
      <c r="H19" s="14" t="n">
        <v>345000</v>
      </c>
      <c r="I19" s="14" t="n">
        <v>345000</v>
      </c>
      <c r="J19" s="14" t="n">
        <v>402500</v>
      </c>
      <c r="K19" s="14" t="n">
        <v>402500</v>
      </c>
      <c r="L19" s="14" t="n">
        <v>402500</v>
      </c>
      <c r="M19" s="14" t="n">
        <v>402500</v>
      </c>
      <c r="N19" s="54" t="n">
        <v>3680000</v>
      </c>
    </row>
    <row r="20">
      <c r="A20" s="51" t="inlineStr">
        <is>
          <t>販管_採用費装備</t>
        </is>
      </c>
      <c r="B20" s="14" t="n">
        <v>200000</v>
      </c>
      <c r="C20" s="14" t="n">
        <v>300000</v>
      </c>
      <c r="D20" s="14" t="n">
        <v>0</v>
      </c>
      <c r="E20" s="14" t="n">
        <v>0</v>
      </c>
      <c r="F20" s="14" t="n">
        <v>0</v>
      </c>
      <c r="G20" s="14" t="n">
        <v>0</v>
      </c>
      <c r="H20" s="14" t="n">
        <v>0</v>
      </c>
      <c r="I20" s="14" t="n">
        <v>0</v>
      </c>
      <c r="J20" s="14" t="n">
        <v>0</v>
      </c>
      <c r="K20" s="14" t="n">
        <v>0</v>
      </c>
      <c r="L20" s="14" t="n">
        <v>0</v>
      </c>
      <c r="M20" s="14" t="n">
        <v>0</v>
      </c>
      <c r="N20" s="54" t="n">
        <v>500000</v>
      </c>
    </row>
    <row r="21">
      <c r="A21" s="51" t="inlineStr">
        <is>
          <t>販管_その他変動費</t>
        </is>
      </c>
      <c r="B21" s="14" t="n">
        <v>97920</v>
      </c>
      <c r="C21" s="14" t="n">
        <v>87040</v>
      </c>
      <c r="D21" s="14" t="n">
        <v>125800</v>
      </c>
      <c r="E21" s="14" t="n">
        <v>153680</v>
      </c>
      <c r="F21" s="14" t="n">
        <v>196520</v>
      </c>
      <c r="G21" s="14" t="n">
        <v>231200</v>
      </c>
      <c r="H21" s="14" t="n">
        <v>186320</v>
      </c>
      <c r="I21" s="14" t="n">
        <v>108800</v>
      </c>
      <c r="J21" s="14" t="n">
        <v>122400</v>
      </c>
      <c r="K21" s="14" t="n">
        <v>157760</v>
      </c>
      <c r="L21" s="14" t="n">
        <v>168640</v>
      </c>
      <c r="M21" s="14" t="n">
        <v>131920</v>
      </c>
      <c r="N21" s="54" t="n">
        <v>1768000</v>
      </c>
    </row>
    <row r="22">
      <c r="A22" s="51" t="inlineStr">
        <is>
          <t>販管_計</t>
        </is>
      </c>
      <c r="B22" s="14" t="n">
        <v>1141702</v>
      </c>
      <c r="C22" s="14" t="n">
        <v>1221486</v>
      </c>
      <c r="D22" s="14" t="n">
        <v>1348505</v>
      </c>
      <c r="E22" s="14" t="n">
        <v>1400309</v>
      </c>
      <c r="F22" s="14" t="n">
        <v>1539909</v>
      </c>
      <c r="G22" s="14" t="n">
        <v>1604348</v>
      </c>
      <c r="H22" s="14" t="n">
        <v>1520957</v>
      </c>
      <c r="I22" s="14" t="n">
        <v>1286918</v>
      </c>
      <c r="J22" s="14" t="n">
        <v>1369688</v>
      </c>
      <c r="K22" s="14" t="n">
        <v>1475390</v>
      </c>
      <c r="L22" s="14" t="n">
        <v>1495606</v>
      </c>
      <c r="M22" s="14" t="n">
        <v>1377377</v>
      </c>
      <c r="N22" s="54" t="n">
        <v>16782195</v>
      </c>
    </row>
    <row r="23">
      <c r="A23" s="51" t="inlineStr">
        <is>
          <t>営業利益</t>
        </is>
      </c>
      <c r="B23" s="14" t="n">
        <v>269973</v>
      </c>
      <c r="C23" s="14" t="n">
        <v>31314</v>
      </c>
      <c r="D23" s="14" t="n">
        <v>341145</v>
      </c>
      <c r="E23" s="14" t="n">
        <v>608866</v>
      </c>
      <c r="F23" s="14" t="n">
        <v>930341</v>
      </c>
      <c r="G23" s="14" t="n">
        <v>1269202</v>
      </c>
      <c r="H23" s="14" t="n">
        <v>851743</v>
      </c>
      <c r="I23" s="14" t="n">
        <v>153632</v>
      </c>
      <c r="J23" s="14" t="n">
        <v>269962</v>
      </c>
      <c r="K23" s="14" t="n">
        <v>541110</v>
      </c>
      <c r="L23" s="14" t="n">
        <v>617994</v>
      </c>
      <c r="M23" s="14" t="n">
        <v>226498</v>
      </c>
      <c r="N23" s="54" t="n">
        <v>6111780</v>
      </c>
    </row>
    <row r="24">
      <c r="A24" s="51" t="inlineStr">
        <is>
          <t>融資返済</t>
        </is>
      </c>
      <c r="B24" s="14" t="n">
        <v>38059</v>
      </c>
      <c r="C24" s="14" t="n">
        <v>38059</v>
      </c>
      <c r="D24" s="14" t="n">
        <v>38059</v>
      </c>
      <c r="E24" s="14" t="n">
        <v>38059</v>
      </c>
      <c r="F24" s="14" t="n">
        <v>38059</v>
      </c>
      <c r="G24" s="14" t="n">
        <v>38059</v>
      </c>
      <c r="H24" s="14" t="n">
        <v>38059</v>
      </c>
      <c r="I24" s="14" t="n">
        <v>38059</v>
      </c>
      <c r="J24" s="14" t="n">
        <v>38059</v>
      </c>
      <c r="K24" s="14" t="n">
        <v>38059</v>
      </c>
      <c r="L24" s="14" t="n">
        <v>38059</v>
      </c>
      <c r="M24" s="14" t="n">
        <v>38059</v>
      </c>
      <c r="N24" s="54" t="n">
        <v>456708</v>
      </c>
    </row>
    <row r="25">
      <c r="A25" s="13" t="inlineStr">
        <is>
          <t>経常利益</t>
        </is>
      </c>
      <c r="B25" s="14" t="n">
        <v>231914</v>
      </c>
      <c r="C25" s="14" t="n">
        <v>-6745</v>
      </c>
      <c r="D25" s="14" t="n">
        <v>303086</v>
      </c>
      <c r="E25" s="14" t="n">
        <v>570807</v>
      </c>
      <c r="F25" s="14" t="n">
        <v>892282</v>
      </c>
      <c r="G25" s="14" t="n">
        <v>1231143</v>
      </c>
      <c r="H25" s="14" t="n">
        <v>813684</v>
      </c>
      <c r="I25" s="14" t="n">
        <v>115573</v>
      </c>
      <c r="J25" s="14" t="n">
        <v>231903</v>
      </c>
      <c r="K25" s="14" t="n">
        <v>503051</v>
      </c>
      <c r="L25" s="14" t="n">
        <v>579935</v>
      </c>
      <c r="M25" s="14" t="n">
        <v>188439</v>
      </c>
      <c r="N25" s="54" t="n">
        <v>5655072</v>
      </c>
    </row>
    <row r="26">
      <c r="A26" s="51" t="inlineStr">
        <is>
          <t>外注件数</t>
        </is>
      </c>
      <c r="B26" s="21" t="n">
        <v>0</v>
      </c>
      <c r="C26" s="21" t="n">
        <v>0</v>
      </c>
      <c r="D26" s="21" t="n">
        <v>5</v>
      </c>
      <c r="E26" s="21" t="n">
        <v>8</v>
      </c>
      <c r="F26" s="21" t="n">
        <v>14</v>
      </c>
      <c r="G26" s="21" t="n">
        <v>18</v>
      </c>
      <c r="H26" s="21" t="n">
        <v>12</v>
      </c>
      <c r="I26" s="21" t="n">
        <v>5</v>
      </c>
      <c r="J26" s="21" t="n">
        <v>5</v>
      </c>
      <c r="K26" s="21" t="n">
        <v>10</v>
      </c>
      <c r="L26" s="21" t="n">
        <v>12</v>
      </c>
      <c r="M26" s="21" t="n">
        <v>11</v>
      </c>
      <c r="N26" s="57" t="n">
        <v>100</v>
      </c>
    </row>
    <row r="29">
      <c r="A29" s="8" t="inlineStr">
        <is>
          <t>▼ 3パターンの年計（参考）</t>
        </is>
      </c>
    </row>
    <row r="30" ht="30" customHeight="1">
      <c r="A30" s="3" t="inlineStr">
        <is>
          <t>シナリオ</t>
        </is>
      </c>
      <c r="B30" s="3" t="inlineStr">
        <is>
          <t>売上</t>
        </is>
      </c>
      <c r="C30" s="3" t="inlineStr">
        <is>
          <t>件数</t>
        </is>
      </c>
      <c r="D30" s="3" t="inlineStr">
        <is>
          <t>平均単価</t>
        </is>
      </c>
      <c r="E30" s="3" t="inlineStr">
        <is>
          <t>経常利益</t>
        </is>
      </c>
      <c r="F30" s="3" t="inlineStr">
        <is>
          <t>広告費(年)</t>
        </is>
      </c>
      <c r="G30" s="3" t="inlineStr">
        <is>
          <t>④自社ネット新規(年)</t>
        </is>
      </c>
      <c r="H30" s="3" t="inlineStr">
        <is>
          <t>備考</t>
        </is>
      </c>
    </row>
    <row r="31">
      <c r="A31" s="23" t="inlineStr">
        <is>
          <t>保守</t>
        </is>
      </c>
      <c r="B31" s="14" t="n">
        <v>20000000</v>
      </c>
      <c r="C31" s="23" t="n">
        <v>513</v>
      </c>
      <c r="D31" s="14" t="n">
        <v>38986</v>
      </c>
      <c r="E31" s="14" t="n">
        <v>2113670</v>
      </c>
      <c r="F31" s="23" t="inlineStr">
        <is>
          <t>25万</t>
        </is>
      </c>
      <c r="G31" s="23" t="n">
        <v>61</v>
      </c>
      <c r="H31" s="23" t="inlineStr">
        <is>
          <t>テストして伸びなかった形</t>
        </is>
      </c>
    </row>
    <row r="32">
      <c r="A32" s="58" t="inlineStr">
        <is>
          <t>中立</t>
        </is>
      </c>
      <c r="B32" s="59" t="n">
        <v>26000000</v>
      </c>
      <c r="C32" s="58" t="n">
        <v>649</v>
      </c>
      <c r="D32" s="59" t="n">
        <v>40062</v>
      </c>
      <c r="E32" s="59" t="n">
        <v>5655072</v>
      </c>
      <c r="F32" s="58" t="inlineStr">
        <is>
          <t>80万</t>
        </is>
      </c>
      <c r="G32" s="58" t="n">
        <v>143</v>
      </c>
      <c r="H32" s="58" t="inlineStr">
        <is>
          <t>★正式目標。段2まで上がった形</t>
        </is>
      </c>
    </row>
    <row r="33">
      <c r="A33" s="23" t="inlineStr">
        <is>
          <t>攻め</t>
        </is>
      </c>
      <c r="B33" s="14" t="n">
        <v>32000000</v>
      </c>
      <c r="C33" s="23" t="n">
        <v>774</v>
      </c>
      <c r="D33" s="14" t="n">
        <v>41344</v>
      </c>
      <c r="E33" s="14" t="n">
        <v>8818945</v>
      </c>
      <c r="F33" s="23" t="inlineStr">
        <is>
          <t>100万</t>
        </is>
      </c>
      <c r="G33" s="23" t="n">
        <v>192</v>
      </c>
      <c r="H33" s="23" t="inlineStr">
        <is>
          <t>段3まで上がった形</t>
        </is>
      </c>
    </row>
    <row r="35">
      <c r="A35" s="8" t="inlineStr">
        <is>
          <t>【判定ゲート】</t>
        </is>
      </c>
    </row>
    <row r="36">
      <c r="A36" s="2" t="inlineStr">
        <is>
          <t xml:space="preserve">  3月末 … Q1累計が 380万に届いているか（保守290万／攻め465万）。届かなければ保守の組み方へ切り替え</t>
        </is>
      </c>
    </row>
    <row r="37">
      <c r="A37" s="2" t="inlineStr">
        <is>
          <t xml:space="preserve">  6月末 … 上期累計が中立比85%以上か。下回れば広告の段を落とし、協力業者の稼働を縮小</t>
        </is>
      </c>
    </row>
    <row r="38">
      <c r="A38" s="2" t="inlineStr">
        <is>
          <t xml:space="preserve">  9月末 … Q3累計が中立比85%以上か。年末商戦の打ち手を前倒し。10月1日のLP公開は死守</t>
        </is>
      </c>
    </row>
    <row r="39">
      <c r="A39" s="2" t="inlineStr">
        <is>
          <t xml:space="preserve">  12月末 … 通年着地を2028年の人員計画へ</t>
        </is>
      </c>
    </row>
    <row r="40">
      <c r="A40" s="2" t="inlineStr"/>
    </row>
    <row r="41">
      <c r="A41" s="8" t="inlineStr">
        <is>
          <t>【前提】正社員1名を3月入社／協力業者3社を1〜2月に契約し3月から稼働（オーナー指示 2026-09-13）</t>
        </is>
      </c>
    </row>
    <row r="42">
      <c r="A42" s="8" t="inlineStr">
        <is>
          <t>【出典】docs/2027-数値目標.md ／ tools/plan2027.py</t>
        </is>
      </c>
    </row>
  </sheetData>
  <pageMargins left="0.75" right="0.75" top="1" bottom="1" header="0.5" footer="0.5"/>
</worksheet>
</file>

<file path=xl/worksheets/sheet28.xml><?xml version="1.0" encoding="utf-8"?>
<worksheet xmlns="http://schemas.openxmlformats.org/spreadsheetml/2006/main">
  <sheetPr>
    <tabColor rgb="001F3864"/>
    <outlinePr summaryBelow="1" summaryRight="1"/>
    <pageSetUpPr/>
  </sheetPr>
  <dimension ref="A1:O58"/>
  <sheetViews>
    <sheetView workbookViewId="0">
      <pane xSplit="1" ySplit="17" topLeftCell="B18"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44" customWidth="1" min="15" max="15"/>
  </cols>
  <sheetData>
    <row r="1" ht="22" customHeight="1">
      <c r="A1" s="1" t="inlineStr">
        <is>
          <t>2027年 年間成績（予算対実績・月別P/L）</t>
        </is>
      </c>
    </row>
    <row r="2">
      <c r="A2" s="2" t="inlineStr">
        <is>
          <t>青い数字は計画。白い数字は各月タブから自動で入ります。手入力するのは「2026年 売上」の行だけです。</t>
        </is>
      </c>
    </row>
    <row r="4">
      <c r="A4" s="60" t="inlineStr">
        <is>
          <t>年間 計画売上</t>
        </is>
      </c>
      <c r="B4" s="61">
        <f>$N$18</f>
        <v/>
      </c>
      <c r="D4" s="2" t="inlineStr">
        <is>
          <t>★ ここだけ見れば「計画に乗っているか」が分かります。詳しくはダッシュボード。</t>
        </is>
      </c>
    </row>
    <row r="5">
      <c r="A5" s="60" t="inlineStr">
        <is>
          <t>売上 実績累計</t>
        </is>
      </c>
      <c r="B5" s="61">
        <f>$N$20</f>
        <v/>
      </c>
    </row>
    <row r="6">
      <c r="A6" s="60" t="inlineStr">
        <is>
          <t>対計画 差額</t>
        </is>
      </c>
      <c r="B6" s="61">
        <f>B5-B4</f>
        <v/>
      </c>
    </row>
    <row r="7">
      <c r="A7" s="60" t="inlineStr">
        <is>
          <t>達成率</t>
        </is>
      </c>
      <c r="B7" s="18">
        <f>IFERROR(B5/B4,0)</f>
        <v/>
      </c>
    </row>
    <row r="9">
      <c r="A9" s="60" t="inlineStr">
        <is>
          <t>年間 計画 経常利益</t>
        </is>
      </c>
      <c r="B9" s="61" t="n">
        <v>5655072</v>
      </c>
    </row>
    <row r="10">
      <c r="A10" s="60" t="inlineStr">
        <is>
          <t>経常利益 実績累計</t>
        </is>
      </c>
      <c r="B10" s="61">
        <f>$N$43</f>
        <v/>
      </c>
    </row>
    <row r="12">
      <c r="A12" s="60" t="inlineStr">
        <is>
          <t>④自社ネット新規 年間目標</t>
        </is>
      </c>
      <c r="B12" s="62">
        <f>$N$29</f>
        <v/>
      </c>
    </row>
    <row r="13">
      <c r="A13" s="60" t="inlineStr">
        <is>
          <t>④自社ネット新規 実績</t>
        </is>
      </c>
      <c r="B13" s="62">
        <f>$N$30</f>
        <v/>
      </c>
    </row>
    <row r="14">
      <c r="A14" s="60" t="inlineStr">
        <is>
          <t>経常利益がマイナスの月数</t>
        </is>
      </c>
      <c r="B14" s="63">
        <f>COUNTIF($B$43:$M$43,"&lt;0")</f>
        <v/>
      </c>
    </row>
    <row r="17" ht="30" customHeight="1">
      <c r="A17" s="3" t="inlineStr">
        <is>
          <t>項目</t>
        </is>
      </c>
      <c r="B17" s="3" t="inlineStr">
        <is>
          <t>1月</t>
        </is>
      </c>
      <c r="C17" s="3" t="inlineStr">
        <is>
          <t>2月</t>
        </is>
      </c>
      <c r="D17" s="3" t="inlineStr">
        <is>
          <t>3月</t>
        </is>
      </c>
      <c r="E17" s="3" t="inlineStr">
        <is>
          <t>4月</t>
        </is>
      </c>
      <c r="F17" s="3" t="inlineStr">
        <is>
          <t>5月</t>
        </is>
      </c>
      <c r="G17" s="3" t="inlineStr">
        <is>
          <t>6月</t>
        </is>
      </c>
      <c r="H17" s="3" t="inlineStr">
        <is>
          <t>7月</t>
        </is>
      </c>
      <c r="I17" s="3" t="inlineStr">
        <is>
          <t>8月</t>
        </is>
      </c>
      <c r="J17" s="3" t="inlineStr">
        <is>
          <t>9月</t>
        </is>
      </c>
      <c r="K17" s="3" t="inlineStr">
        <is>
          <t>10月</t>
        </is>
      </c>
      <c r="L17" s="3" t="inlineStr">
        <is>
          <t>11月</t>
        </is>
      </c>
      <c r="M17" s="3" t="inlineStr">
        <is>
          <t>12月</t>
        </is>
      </c>
      <c r="N17" s="3" t="inlineStr">
        <is>
          <t>年計</t>
        </is>
      </c>
      <c r="O17" s="3" t="inlineStr">
        <is>
          <t>説明</t>
        </is>
      </c>
    </row>
    <row r="18">
      <c r="A18" s="58" t="inlineStr">
        <is>
          <t>予算（計画売上）</t>
        </is>
      </c>
      <c r="B18" s="59" t="n">
        <v>1440000</v>
      </c>
      <c r="C18" s="59" t="n">
        <v>1280000</v>
      </c>
      <c r="D18" s="59" t="n">
        <v>1850000</v>
      </c>
      <c r="E18" s="59" t="n">
        <v>2260000</v>
      </c>
      <c r="F18" s="59" t="n">
        <v>2890000</v>
      </c>
      <c r="G18" s="59" t="n">
        <v>3400000</v>
      </c>
      <c r="H18" s="59" t="n">
        <v>2740000</v>
      </c>
      <c r="I18" s="59" t="n">
        <v>1600000</v>
      </c>
      <c r="J18" s="59" t="n">
        <v>1800000</v>
      </c>
      <c r="K18" s="59" t="n">
        <v>2320000</v>
      </c>
      <c r="L18" s="59" t="n">
        <v>2480000</v>
      </c>
      <c r="M18" s="59" t="n">
        <v>1940000</v>
      </c>
      <c r="N18" s="15">
        <f>SUM(B18:M18)</f>
        <v/>
      </c>
      <c r="O18" s="2" t="inlineStr">
        <is>
          <t>tools/plan2027.py の中立</t>
        </is>
      </c>
    </row>
    <row r="19">
      <c r="A19" s="49" t="inlineStr">
        <is>
          <t>年間割合</t>
        </is>
      </c>
      <c r="B19" s="64">
        <f>IFERROR(B18/$N$18,0)</f>
        <v/>
      </c>
      <c r="C19" s="64">
        <f>IFERROR(C18/$N$18,0)</f>
        <v/>
      </c>
      <c r="D19" s="64">
        <f>IFERROR(D18/$N$18,0)</f>
        <v/>
      </c>
      <c r="E19" s="64">
        <f>IFERROR(E18/$N$18,0)</f>
        <v/>
      </c>
      <c r="F19" s="64">
        <f>IFERROR(F18/$N$18,0)</f>
        <v/>
      </c>
      <c r="G19" s="64">
        <f>IFERROR(G18/$N$18,0)</f>
        <v/>
      </c>
      <c r="H19" s="64">
        <f>IFERROR(H18/$N$18,0)</f>
        <v/>
      </c>
      <c r="I19" s="64">
        <f>IFERROR(I18/$N$18,0)</f>
        <v/>
      </c>
      <c r="J19" s="64">
        <f>IFERROR(J18/$N$18,0)</f>
        <v/>
      </c>
      <c r="K19" s="64">
        <f>IFERROR(K18/$N$18,0)</f>
        <v/>
      </c>
      <c r="L19" s="64">
        <f>IFERROR(L18/$N$18,0)</f>
        <v/>
      </c>
      <c r="M19" s="64">
        <f>IFERROR(M18/$N$18,0)</f>
        <v/>
      </c>
      <c r="N19" s="65">
        <f>SUM(B19:M19)</f>
        <v/>
      </c>
      <c r="O19" s="2" t="inlineStr">
        <is>
          <t>その月が年間の何%か</t>
        </is>
      </c>
    </row>
    <row r="20">
      <c r="A20" s="47" t="inlineStr">
        <is>
          <t>売上実績</t>
        </is>
      </c>
      <c r="B20" s="15">
        <f>'1月_売上顧客'!$L$4</f>
        <v/>
      </c>
      <c r="C20" s="15">
        <f>'2月_売上顧客'!$L$4</f>
        <v/>
      </c>
      <c r="D20" s="15">
        <f>'3月_売上顧客'!$L$4</f>
        <v/>
      </c>
      <c r="E20" s="15">
        <f>'4月_売上顧客'!$L$4</f>
        <v/>
      </c>
      <c r="F20" s="15">
        <f>'5月_売上顧客'!$L$4</f>
        <v/>
      </c>
      <c r="G20" s="15">
        <f>'6月_売上顧客'!$L$4</f>
        <v/>
      </c>
      <c r="H20" s="15">
        <f>'7月_売上顧客'!$L$4</f>
        <v/>
      </c>
      <c r="I20" s="15">
        <f>'8月_売上顧客'!$L$4</f>
        <v/>
      </c>
      <c r="J20" s="15">
        <f>'9月_売上顧客'!$L$4</f>
        <v/>
      </c>
      <c r="K20" s="15">
        <f>'10月_売上顧客'!$L$4</f>
        <v/>
      </c>
      <c r="L20" s="15">
        <f>'11月_売上顧客'!$L$4</f>
        <v/>
      </c>
      <c r="M20" s="15">
        <f>'12月_売上顧客'!$L$4</f>
        <v/>
      </c>
      <c r="N20" s="15">
        <f>SUM(B20:M20)</f>
        <v/>
      </c>
      <c r="O20" s="2" t="inlineStr">
        <is>
          <t>各月タブの合計売上</t>
        </is>
      </c>
    </row>
    <row r="21">
      <c r="A21" s="49" t="inlineStr">
        <is>
          <t>売上累計</t>
        </is>
      </c>
      <c r="B21" s="14">
        <f>B20</f>
        <v/>
      </c>
      <c r="C21" s="14">
        <f>B21+C20</f>
        <v/>
      </c>
      <c r="D21" s="14">
        <f>C21+D20</f>
        <v/>
      </c>
      <c r="E21" s="14">
        <f>D21+E20</f>
        <v/>
      </c>
      <c r="F21" s="14">
        <f>E21+F20</f>
        <v/>
      </c>
      <c r="G21" s="14">
        <f>F21+G20</f>
        <v/>
      </c>
      <c r="H21" s="14">
        <f>G21+H20</f>
        <v/>
      </c>
      <c r="I21" s="14">
        <f>H21+I20</f>
        <v/>
      </c>
      <c r="J21" s="14">
        <f>I21+J20</f>
        <v/>
      </c>
      <c r="K21" s="14">
        <f>J21+K20</f>
        <v/>
      </c>
      <c r="L21" s="14">
        <f>K21+L20</f>
        <v/>
      </c>
      <c r="M21" s="14">
        <f>L21+M20</f>
        <v/>
      </c>
      <c r="N21" s="15">
        <f>M21</f>
        <v/>
      </c>
      <c r="O21" s="2" t="inlineStr">
        <is>
          <t>実績の積み上げ</t>
        </is>
      </c>
    </row>
    <row r="22">
      <c r="A22" s="49" t="inlineStr">
        <is>
          <t>予算累計</t>
        </is>
      </c>
      <c r="B22" s="14">
        <f>B18</f>
        <v/>
      </c>
      <c r="C22" s="14">
        <f>B22+C18</f>
        <v/>
      </c>
      <c r="D22" s="14">
        <f>C22+D18</f>
        <v/>
      </c>
      <c r="E22" s="14">
        <f>D22+E18</f>
        <v/>
      </c>
      <c r="F22" s="14">
        <f>E22+F18</f>
        <v/>
      </c>
      <c r="G22" s="14">
        <f>F22+G18</f>
        <v/>
      </c>
      <c r="H22" s="14">
        <f>G22+H18</f>
        <v/>
      </c>
      <c r="I22" s="14">
        <f>H22+I18</f>
        <v/>
      </c>
      <c r="J22" s="14">
        <f>I22+J18</f>
        <v/>
      </c>
      <c r="K22" s="14">
        <f>J22+K18</f>
        <v/>
      </c>
      <c r="L22" s="14">
        <f>K22+L18</f>
        <v/>
      </c>
      <c r="M22" s="14">
        <f>L22+M18</f>
        <v/>
      </c>
      <c r="N22" s="15">
        <f>M22</f>
        <v/>
      </c>
      <c r="O22" s="2" t="inlineStr">
        <is>
          <t>計画の積み上げ</t>
        </is>
      </c>
    </row>
    <row r="23">
      <c r="A23" s="47" t="inlineStr">
        <is>
          <t>★対計画の差額（当月）</t>
        </is>
      </c>
      <c r="B23" s="15">
        <f>B20-B18</f>
        <v/>
      </c>
      <c r="C23" s="15">
        <f>C20-C18</f>
        <v/>
      </c>
      <c r="D23" s="15">
        <f>D20-D18</f>
        <v/>
      </c>
      <c r="E23" s="15">
        <f>E20-E18</f>
        <v/>
      </c>
      <c r="F23" s="15">
        <f>F20-F18</f>
        <v/>
      </c>
      <c r="G23" s="15">
        <f>G20-G18</f>
        <v/>
      </c>
      <c r="H23" s="15">
        <f>H20-H18</f>
        <v/>
      </c>
      <c r="I23" s="15">
        <f>I20-I18</f>
        <v/>
      </c>
      <c r="J23" s="15">
        <f>J20-J18</f>
        <v/>
      </c>
      <c r="K23" s="15">
        <f>K20-K18</f>
        <v/>
      </c>
      <c r="L23" s="15">
        <f>L20-L18</f>
        <v/>
      </c>
      <c r="M23" s="15">
        <f>M20-M18</f>
        <v/>
      </c>
      <c r="N23" s="15">
        <f>SUM(B23:M23)</f>
        <v/>
      </c>
      <c r="O23" s="2" t="inlineStr">
        <is>
          <t>毎月いちばんに見る数字。マイナスなら赤</t>
        </is>
      </c>
    </row>
    <row r="24">
      <c r="A24" s="47" t="inlineStr">
        <is>
          <t>★累計の対計画の差額</t>
        </is>
      </c>
      <c r="B24" s="15">
        <f>B21-B22</f>
        <v/>
      </c>
      <c r="C24" s="15">
        <f>C21-C22</f>
        <v/>
      </c>
      <c r="D24" s="15">
        <f>D21-D22</f>
        <v/>
      </c>
      <c r="E24" s="15">
        <f>E21-E22</f>
        <v/>
      </c>
      <c r="F24" s="15">
        <f>F21-F22</f>
        <v/>
      </c>
      <c r="G24" s="15">
        <f>G21-G22</f>
        <v/>
      </c>
      <c r="H24" s="15">
        <f>H21-H22</f>
        <v/>
      </c>
      <c r="I24" s="15">
        <f>I21-I22</f>
        <v/>
      </c>
      <c r="J24" s="15">
        <f>J21-J22</f>
        <v/>
      </c>
      <c r="K24" s="15">
        <f>K21-K22</f>
        <v/>
      </c>
      <c r="L24" s="15">
        <f>L21-L22</f>
        <v/>
      </c>
      <c r="M24" s="15">
        <f>M21-M22</f>
        <v/>
      </c>
      <c r="N24" s="15">
        <f>M24</f>
        <v/>
      </c>
      <c r="O24" s="2" t="inlineStr">
        <is>
          <t>年の着地を決める数字。マイナスなら赤</t>
        </is>
      </c>
    </row>
    <row r="25">
      <c r="A25" s="49" t="inlineStr">
        <is>
          <t>達成率（当月）</t>
        </is>
      </c>
      <c r="B25" s="64">
        <f>IFERROR(B20/B18,0)</f>
        <v/>
      </c>
      <c r="C25" s="64">
        <f>IFERROR(C20/C18,0)</f>
        <v/>
      </c>
      <c r="D25" s="64">
        <f>IFERROR(D20/D18,0)</f>
        <v/>
      </c>
      <c r="E25" s="64">
        <f>IFERROR(E20/E18,0)</f>
        <v/>
      </c>
      <c r="F25" s="64">
        <f>IFERROR(F20/F18,0)</f>
        <v/>
      </c>
      <c r="G25" s="64">
        <f>IFERROR(G20/G18,0)</f>
        <v/>
      </c>
      <c r="H25" s="64">
        <f>IFERROR(H20/H18,0)</f>
        <v/>
      </c>
      <c r="I25" s="64">
        <f>IFERROR(I20/I18,0)</f>
        <v/>
      </c>
      <c r="J25" s="64">
        <f>IFERROR(J20/J18,0)</f>
        <v/>
      </c>
      <c r="K25" s="64">
        <f>IFERROR(K20/K18,0)</f>
        <v/>
      </c>
      <c r="L25" s="64">
        <f>IFERROR(L20/L18,0)</f>
        <v/>
      </c>
      <c r="M25" s="64">
        <f>IFERROR(M20/M18,0)</f>
        <v/>
      </c>
      <c r="N25" s="65">
        <f>IFERROR(AVERAGE(B25:M25),0)</f>
        <v/>
      </c>
      <c r="O25" s="2" t="inlineStr"/>
    </row>
    <row r="26">
      <c r="A26" s="49" t="inlineStr">
        <is>
          <t>達成率（累計）</t>
        </is>
      </c>
      <c r="B26" s="64">
        <f>IFERROR(B21/B22,0)</f>
        <v/>
      </c>
      <c r="C26" s="64">
        <f>IFERROR(C21/C22,0)</f>
        <v/>
      </c>
      <c r="D26" s="64">
        <f>IFERROR(D21/D22,0)</f>
        <v/>
      </c>
      <c r="E26" s="64">
        <f>IFERROR(E21/E22,0)</f>
        <v/>
      </c>
      <c r="F26" s="64">
        <f>IFERROR(F21/F22,0)</f>
        <v/>
      </c>
      <c r="G26" s="64">
        <f>IFERROR(G21/G22,0)</f>
        <v/>
      </c>
      <c r="H26" s="64">
        <f>IFERROR(H21/H22,0)</f>
        <v/>
      </c>
      <c r="I26" s="64">
        <f>IFERROR(I21/I22,0)</f>
        <v/>
      </c>
      <c r="J26" s="64">
        <f>IFERROR(J21/J22,0)</f>
        <v/>
      </c>
      <c r="K26" s="64">
        <f>IFERROR(K21/K22,0)</f>
        <v/>
      </c>
      <c r="L26" s="64">
        <f>IFERROR(L21/L22,0)</f>
        <v/>
      </c>
      <c r="M26" s="64">
        <f>IFERROR(M21/M22,0)</f>
        <v/>
      </c>
      <c r="N26" s="65">
        <f>M26</f>
        <v/>
      </c>
      <c r="O26" s="2" t="inlineStr"/>
    </row>
    <row r="27">
      <c r="A27" s="66" t="inlineStr">
        <is>
          <t>件数 計画</t>
        </is>
      </c>
      <c r="B27" s="67" t="n">
        <v>37</v>
      </c>
      <c r="C27" s="67" t="n">
        <v>32</v>
      </c>
      <c r="D27" s="67" t="n">
        <v>46</v>
      </c>
      <c r="E27" s="67" t="n">
        <v>57</v>
      </c>
      <c r="F27" s="67" t="n">
        <v>70</v>
      </c>
      <c r="G27" s="67" t="n">
        <v>82</v>
      </c>
      <c r="H27" s="67" t="n">
        <v>68</v>
      </c>
      <c r="I27" s="67" t="n">
        <v>42</v>
      </c>
      <c r="J27" s="67" t="n">
        <v>46</v>
      </c>
      <c r="K27" s="67" t="n">
        <v>60</v>
      </c>
      <c r="L27" s="67" t="n">
        <v>64</v>
      </c>
      <c r="M27" s="67" t="n">
        <v>45</v>
      </c>
      <c r="N27" s="68">
        <f>SUM(B27:M27)</f>
        <v/>
      </c>
      <c r="O27" s="2" t="inlineStr"/>
    </row>
    <row r="28">
      <c r="A28" s="49" t="inlineStr">
        <is>
          <t>件数 実績</t>
        </is>
      </c>
      <c r="B28" s="21">
        <f>'1月_売上顧客'!$E$4</f>
        <v/>
      </c>
      <c r="C28" s="21">
        <f>'2月_売上顧客'!$E$4</f>
        <v/>
      </c>
      <c r="D28" s="21">
        <f>'3月_売上顧客'!$E$4</f>
        <v/>
      </c>
      <c r="E28" s="21">
        <f>'4月_売上顧客'!$E$4</f>
        <v/>
      </c>
      <c r="F28" s="21">
        <f>'5月_売上顧客'!$E$4</f>
        <v/>
      </c>
      <c r="G28" s="21">
        <f>'6月_売上顧客'!$E$4</f>
        <v/>
      </c>
      <c r="H28" s="21">
        <f>'7月_売上顧客'!$E$4</f>
        <v/>
      </c>
      <c r="I28" s="21">
        <f>'8月_売上顧客'!$E$4</f>
        <v/>
      </c>
      <c r="J28" s="21">
        <f>'9月_売上顧客'!$E$4</f>
        <v/>
      </c>
      <c r="K28" s="21">
        <f>'10月_売上顧客'!$E$4</f>
        <v/>
      </c>
      <c r="L28" s="21">
        <f>'11月_売上顧客'!$E$4</f>
        <v/>
      </c>
      <c r="M28" s="21">
        <f>'12月_売上顧客'!$E$4</f>
        <v/>
      </c>
      <c r="N28" s="68">
        <f>SUM(B28:M28)</f>
        <v/>
      </c>
      <c r="O28" s="2" t="inlineStr"/>
    </row>
    <row r="29">
      <c r="A29" s="66" t="inlineStr">
        <is>
          <t>④自社ネット新規 計画</t>
        </is>
      </c>
      <c r="B29" s="67" t="n">
        <v>5</v>
      </c>
      <c r="C29" s="67" t="n">
        <v>5</v>
      </c>
      <c r="D29" s="67" t="n">
        <v>8</v>
      </c>
      <c r="E29" s="67" t="n">
        <v>10</v>
      </c>
      <c r="F29" s="67" t="n">
        <v>14</v>
      </c>
      <c r="G29" s="67" t="n">
        <v>17</v>
      </c>
      <c r="H29" s="67" t="n">
        <v>15</v>
      </c>
      <c r="I29" s="67" t="n">
        <v>10</v>
      </c>
      <c r="J29" s="67" t="n">
        <v>12</v>
      </c>
      <c r="K29" s="67" t="n">
        <v>16</v>
      </c>
      <c r="L29" s="67" t="n">
        <v>18</v>
      </c>
      <c r="M29" s="67" t="n">
        <v>13</v>
      </c>
      <c r="N29" s="68">
        <f>SUM(B29:M29)</f>
        <v/>
      </c>
      <c r="O29" s="2" t="inlineStr">
        <is>
          <t>年143件（中立）。HP/LP/SNS/GBP/公式LINE/アフィリ/LINE・SMS再販</t>
        </is>
      </c>
    </row>
    <row r="30">
      <c r="A30" s="47" t="inlineStr">
        <is>
          <t>★④自社ネット新規 実績</t>
        </is>
      </c>
      <c r="B30" s="68">
        <f>'1月_売上顧客'!$R$4</f>
        <v/>
      </c>
      <c r="C30" s="68">
        <f>'2月_売上顧客'!$R$4</f>
        <v/>
      </c>
      <c r="D30" s="68">
        <f>'3月_売上顧客'!$R$4</f>
        <v/>
      </c>
      <c r="E30" s="68">
        <f>'4月_売上顧客'!$R$4</f>
        <v/>
      </c>
      <c r="F30" s="68">
        <f>'5月_売上顧客'!$R$4</f>
        <v/>
      </c>
      <c r="G30" s="68">
        <f>'6月_売上顧客'!$R$4</f>
        <v/>
      </c>
      <c r="H30" s="68">
        <f>'7月_売上顧客'!$R$4</f>
        <v/>
      </c>
      <c r="I30" s="68">
        <f>'8月_売上顧客'!$R$4</f>
        <v/>
      </c>
      <c r="J30" s="68">
        <f>'9月_売上顧客'!$R$4</f>
        <v/>
      </c>
      <c r="K30" s="68">
        <f>'10月_売上顧客'!$R$4</f>
        <v/>
      </c>
      <c r="L30" s="68">
        <f>'11月_売上顧客'!$R$4</f>
        <v/>
      </c>
      <c r="M30" s="68">
        <f>'12月_売上顧客'!$R$4</f>
        <v/>
      </c>
      <c r="N30" s="68">
        <f>SUM(B30:M30)</f>
        <v/>
      </c>
      <c r="O30" s="2" t="inlineStr">
        <is>
          <t>2027年の最重要KPI。これが動かないと他は後追い</t>
        </is>
      </c>
    </row>
    <row r="31">
      <c r="A31" s="49" t="inlineStr">
        <is>
          <t>平均単価 実績</t>
        </is>
      </c>
      <c r="B31" s="14">
        <f>'1月_売上顧客'!$F$4</f>
        <v/>
      </c>
      <c r="C31" s="14">
        <f>'2月_売上顧客'!$F$4</f>
        <v/>
      </c>
      <c r="D31" s="14">
        <f>'3月_売上顧客'!$F$4</f>
        <v/>
      </c>
      <c r="E31" s="14">
        <f>'4月_売上顧客'!$F$4</f>
        <v/>
      </c>
      <c r="F31" s="14">
        <f>'5月_売上顧客'!$F$4</f>
        <v/>
      </c>
      <c r="G31" s="14">
        <f>'6月_売上顧客'!$F$4</f>
        <v/>
      </c>
      <c r="H31" s="14">
        <f>'7月_売上顧客'!$F$4</f>
        <v/>
      </c>
      <c r="I31" s="14">
        <f>'8月_売上顧客'!$F$4</f>
        <v/>
      </c>
      <c r="J31" s="14">
        <f>'9月_売上顧客'!$F$4</f>
        <v/>
      </c>
      <c r="K31" s="14">
        <f>'10月_売上顧客'!$F$4</f>
        <v/>
      </c>
      <c r="L31" s="14">
        <f>'11月_売上顧客'!$F$4</f>
        <v/>
      </c>
      <c r="M31" s="14">
        <f>'12月_売上顧客'!$F$4</f>
        <v/>
      </c>
      <c r="N31" s="15">
        <f>IFERROR(AVERAGE(B31:M31),0)</f>
        <v/>
      </c>
      <c r="O31" s="2" t="inlineStr"/>
    </row>
    <row r="32">
      <c r="A32" s="49" t="inlineStr">
        <is>
          <t>エアコン台数</t>
        </is>
      </c>
      <c r="B32" s="21">
        <f>'1月_支出成績'!$N$4</f>
        <v/>
      </c>
      <c r="C32" s="21">
        <f>'2月_支出成績'!$N$4</f>
        <v/>
      </c>
      <c r="D32" s="21">
        <f>'3月_支出成績'!$N$4</f>
        <v/>
      </c>
      <c r="E32" s="21">
        <f>'4月_支出成績'!$N$4</f>
        <v/>
      </c>
      <c r="F32" s="21">
        <f>'5月_支出成績'!$N$4</f>
        <v/>
      </c>
      <c r="G32" s="21">
        <f>'6月_支出成績'!$N$4</f>
        <v/>
      </c>
      <c r="H32" s="21">
        <f>'7月_支出成績'!$N$4</f>
        <v/>
      </c>
      <c r="I32" s="21">
        <f>'8月_支出成績'!$N$4</f>
        <v/>
      </c>
      <c r="J32" s="21">
        <f>'9月_支出成績'!$N$4</f>
        <v/>
      </c>
      <c r="K32" s="21">
        <f>'10月_支出成績'!$N$4</f>
        <v/>
      </c>
      <c r="L32" s="21">
        <f>'11月_支出成績'!$N$4</f>
        <v/>
      </c>
      <c r="M32" s="21">
        <f>'12月_支出成績'!$N$4</f>
        <v/>
      </c>
      <c r="N32" s="68">
        <f>SUM(B32:M32)</f>
        <v/>
      </c>
      <c r="O32" s="2" t="inlineStr"/>
    </row>
    <row r="33">
      <c r="A33" s="49" t="inlineStr">
        <is>
          <t>換気扇台数</t>
        </is>
      </c>
      <c r="B33" s="21">
        <f>'1月_支出成績'!$N$5</f>
        <v/>
      </c>
      <c r="C33" s="21">
        <f>'2月_支出成績'!$N$5</f>
        <v/>
      </c>
      <c r="D33" s="21">
        <f>'3月_支出成績'!$N$5</f>
        <v/>
      </c>
      <c r="E33" s="21">
        <f>'4月_支出成績'!$N$5</f>
        <v/>
      </c>
      <c r="F33" s="21">
        <f>'5月_支出成績'!$N$5</f>
        <v/>
      </c>
      <c r="G33" s="21">
        <f>'6月_支出成績'!$N$5</f>
        <v/>
      </c>
      <c r="H33" s="21">
        <f>'7月_支出成績'!$N$5</f>
        <v/>
      </c>
      <c r="I33" s="21">
        <f>'8月_支出成績'!$N$5</f>
        <v/>
      </c>
      <c r="J33" s="21">
        <f>'9月_支出成績'!$N$5</f>
        <v/>
      </c>
      <c r="K33" s="21">
        <f>'10月_支出成績'!$N$5</f>
        <v/>
      </c>
      <c r="L33" s="21">
        <f>'11月_支出成績'!$N$5</f>
        <v/>
      </c>
      <c r="M33" s="21">
        <f>'12月_支出成績'!$N$5</f>
        <v/>
      </c>
      <c r="N33" s="68">
        <f>SUM(B33:M33)</f>
        <v/>
      </c>
      <c r="O33" s="2" t="inlineStr"/>
    </row>
    <row r="34">
      <c r="A34" s="49" t="inlineStr">
        <is>
          <t>浴室台数</t>
        </is>
      </c>
      <c r="B34" s="21">
        <f>'1月_支出成績'!$N$6</f>
        <v/>
      </c>
      <c r="C34" s="21">
        <f>'2月_支出成績'!$N$6</f>
        <v/>
      </c>
      <c r="D34" s="21">
        <f>'3月_支出成績'!$N$6</f>
        <v/>
      </c>
      <c r="E34" s="21">
        <f>'4月_支出成績'!$N$6</f>
        <v/>
      </c>
      <c r="F34" s="21">
        <f>'5月_支出成績'!$N$6</f>
        <v/>
      </c>
      <c r="G34" s="21">
        <f>'6月_支出成績'!$N$6</f>
        <v/>
      </c>
      <c r="H34" s="21">
        <f>'7月_支出成績'!$N$6</f>
        <v/>
      </c>
      <c r="I34" s="21">
        <f>'8月_支出成績'!$N$6</f>
        <v/>
      </c>
      <c r="J34" s="21">
        <f>'9月_支出成績'!$N$6</f>
        <v/>
      </c>
      <c r="K34" s="21">
        <f>'10月_支出成績'!$N$6</f>
        <v/>
      </c>
      <c r="L34" s="21">
        <f>'11月_支出成績'!$N$6</f>
        <v/>
      </c>
      <c r="M34" s="21">
        <f>'12月_支出成績'!$N$6</f>
        <v/>
      </c>
      <c r="N34" s="68">
        <f>SUM(B34:M34)</f>
        <v/>
      </c>
      <c r="O34" s="2" t="inlineStr"/>
    </row>
    <row r="35">
      <c r="A35" s="49" t="inlineStr">
        <is>
          <t>資材費</t>
        </is>
      </c>
      <c r="B35" s="14">
        <f>'1月_支出成績'!$N$7</f>
        <v/>
      </c>
      <c r="C35" s="14">
        <f>'2月_支出成績'!$N$7</f>
        <v/>
      </c>
      <c r="D35" s="14">
        <f>'3月_支出成績'!$N$7</f>
        <v/>
      </c>
      <c r="E35" s="14">
        <f>'4月_支出成績'!$N$7</f>
        <v/>
      </c>
      <c r="F35" s="14">
        <f>'5月_支出成績'!$N$7</f>
        <v/>
      </c>
      <c r="G35" s="14">
        <f>'6月_支出成績'!$N$7</f>
        <v/>
      </c>
      <c r="H35" s="14">
        <f>'7月_支出成績'!$N$7</f>
        <v/>
      </c>
      <c r="I35" s="14">
        <f>'8月_支出成績'!$N$7</f>
        <v/>
      </c>
      <c r="J35" s="14">
        <f>'9月_支出成績'!$N$7</f>
        <v/>
      </c>
      <c r="K35" s="14">
        <f>'10月_支出成績'!$N$7</f>
        <v/>
      </c>
      <c r="L35" s="14">
        <f>'11月_支出成績'!$N$7</f>
        <v/>
      </c>
      <c r="M35" s="14">
        <f>'12月_支出成績'!$N$7</f>
        <v/>
      </c>
      <c r="N35" s="15">
        <f>SUM(B35:M35)</f>
        <v/>
      </c>
      <c r="O35" s="2" t="inlineStr"/>
    </row>
    <row r="36">
      <c r="A36" s="49" t="inlineStr">
        <is>
          <t>外注費</t>
        </is>
      </c>
      <c r="B36" s="14">
        <f>'1月_支出成績'!$N$8</f>
        <v/>
      </c>
      <c r="C36" s="14">
        <f>'2月_支出成績'!$N$8</f>
        <v/>
      </c>
      <c r="D36" s="14">
        <f>'3月_支出成績'!$N$8</f>
        <v/>
      </c>
      <c r="E36" s="14">
        <f>'4月_支出成績'!$N$8</f>
        <v/>
      </c>
      <c r="F36" s="14">
        <f>'5月_支出成績'!$N$8</f>
        <v/>
      </c>
      <c r="G36" s="14">
        <f>'6月_支出成績'!$N$8</f>
        <v/>
      </c>
      <c r="H36" s="14">
        <f>'7月_支出成績'!$N$8</f>
        <v/>
      </c>
      <c r="I36" s="14">
        <f>'8月_支出成績'!$N$8</f>
        <v/>
      </c>
      <c r="J36" s="14">
        <f>'9月_支出成績'!$N$8</f>
        <v/>
      </c>
      <c r="K36" s="14">
        <f>'10月_支出成績'!$N$8</f>
        <v/>
      </c>
      <c r="L36" s="14">
        <f>'11月_支出成績'!$N$8</f>
        <v/>
      </c>
      <c r="M36" s="14">
        <f>'12月_支出成績'!$N$8</f>
        <v/>
      </c>
      <c r="N36" s="15">
        <f>SUM(B36:M36)</f>
        <v/>
      </c>
      <c r="O36" s="2" t="inlineStr">
        <is>
          <t>協力業者3社へ回した分</t>
        </is>
      </c>
    </row>
    <row r="37">
      <c r="A37" s="49" t="inlineStr">
        <is>
          <t>現場人件費（原価）</t>
        </is>
      </c>
      <c r="B37" s="14">
        <f>'1月_支出成績'!$N$9</f>
        <v/>
      </c>
      <c r="C37" s="14">
        <f>'2月_支出成績'!$N$9</f>
        <v/>
      </c>
      <c r="D37" s="14">
        <f>'3月_支出成績'!$N$9</f>
        <v/>
      </c>
      <c r="E37" s="14">
        <f>'4月_支出成績'!$N$9</f>
        <v/>
      </c>
      <c r="F37" s="14">
        <f>'5月_支出成績'!$N$9</f>
        <v/>
      </c>
      <c r="G37" s="14">
        <f>'6月_支出成績'!$N$9</f>
        <v/>
      </c>
      <c r="H37" s="14">
        <f>'7月_支出成績'!$N$9</f>
        <v/>
      </c>
      <c r="I37" s="14">
        <f>'8月_支出成績'!$N$9</f>
        <v/>
      </c>
      <c r="J37" s="14">
        <f>'9月_支出成績'!$N$9</f>
        <v/>
      </c>
      <c r="K37" s="14">
        <f>'10月_支出成績'!$N$9</f>
        <v/>
      </c>
      <c r="L37" s="14">
        <f>'11月_支出成績'!$N$9</f>
        <v/>
      </c>
      <c r="M37" s="14">
        <f>'12月_支出成績'!$N$9</f>
        <v/>
      </c>
      <c r="N37" s="15">
        <f>SUM(B37:M37)</f>
        <v/>
      </c>
      <c r="O37" s="2" t="inlineStr"/>
    </row>
    <row r="38">
      <c r="A38" s="49" t="inlineStr">
        <is>
          <t>原価合計</t>
        </is>
      </c>
      <c r="B38" s="14">
        <f>'1月_支出成績'!$N$10</f>
        <v/>
      </c>
      <c r="C38" s="14">
        <f>'2月_支出成績'!$N$10</f>
        <v/>
      </c>
      <c r="D38" s="14">
        <f>'3月_支出成績'!$N$10</f>
        <v/>
      </c>
      <c r="E38" s="14">
        <f>'4月_支出成績'!$N$10</f>
        <v/>
      </c>
      <c r="F38" s="14">
        <f>'5月_支出成績'!$N$10</f>
        <v/>
      </c>
      <c r="G38" s="14">
        <f>'6月_支出成績'!$N$10</f>
        <v/>
      </c>
      <c r="H38" s="14">
        <f>'7月_支出成績'!$N$10</f>
        <v/>
      </c>
      <c r="I38" s="14">
        <f>'8月_支出成績'!$N$10</f>
        <v/>
      </c>
      <c r="J38" s="14">
        <f>'9月_支出成績'!$N$10</f>
        <v/>
      </c>
      <c r="K38" s="14">
        <f>'10月_支出成績'!$N$10</f>
        <v/>
      </c>
      <c r="L38" s="14">
        <f>'11月_支出成績'!$N$10</f>
        <v/>
      </c>
      <c r="M38" s="14">
        <f>'12月_支出成績'!$N$10</f>
        <v/>
      </c>
      <c r="N38" s="15">
        <f>SUM(B38:M38)</f>
        <v/>
      </c>
      <c r="O38" s="2" t="inlineStr"/>
    </row>
    <row r="39">
      <c r="A39" s="47" t="inlineStr">
        <is>
          <t>売上総利益</t>
        </is>
      </c>
      <c r="B39" s="15">
        <f>'1月_支出成績'!$N$11</f>
        <v/>
      </c>
      <c r="C39" s="15">
        <f>'2月_支出成績'!$N$11</f>
        <v/>
      </c>
      <c r="D39" s="15">
        <f>'3月_支出成績'!$N$11</f>
        <v/>
      </c>
      <c r="E39" s="15">
        <f>'4月_支出成績'!$N$11</f>
        <v/>
      </c>
      <c r="F39" s="15">
        <f>'5月_支出成績'!$N$11</f>
        <v/>
      </c>
      <c r="G39" s="15">
        <f>'6月_支出成績'!$N$11</f>
        <v/>
      </c>
      <c r="H39" s="15">
        <f>'7月_支出成績'!$N$11</f>
        <v/>
      </c>
      <c r="I39" s="15">
        <f>'8月_支出成績'!$N$11</f>
        <v/>
      </c>
      <c r="J39" s="15">
        <f>'9月_支出成績'!$N$11</f>
        <v/>
      </c>
      <c r="K39" s="15">
        <f>'10月_支出成績'!$N$11</f>
        <v/>
      </c>
      <c r="L39" s="15">
        <f>'11月_支出成績'!$N$11</f>
        <v/>
      </c>
      <c r="M39" s="15">
        <f>'12月_支出成績'!$N$11</f>
        <v/>
      </c>
      <c r="N39" s="15">
        <f>SUM(B39:M39)</f>
        <v/>
      </c>
      <c r="O39" s="2" t="inlineStr"/>
    </row>
    <row r="40">
      <c r="A40" s="49" t="inlineStr">
        <is>
          <t>販売管理費</t>
        </is>
      </c>
      <c r="B40" s="14">
        <f>'1月_支出成績'!$N$21</f>
        <v/>
      </c>
      <c r="C40" s="14">
        <f>'2月_支出成績'!$N$21</f>
        <v/>
      </c>
      <c r="D40" s="14">
        <f>'3月_支出成績'!$N$21</f>
        <v/>
      </c>
      <c r="E40" s="14">
        <f>'4月_支出成績'!$N$21</f>
        <v/>
      </c>
      <c r="F40" s="14">
        <f>'5月_支出成績'!$N$21</f>
        <v/>
      </c>
      <c r="G40" s="14">
        <f>'6月_支出成績'!$N$21</f>
        <v/>
      </c>
      <c r="H40" s="14">
        <f>'7月_支出成績'!$N$21</f>
        <v/>
      </c>
      <c r="I40" s="14">
        <f>'8月_支出成績'!$N$21</f>
        <v/>
      </c>
      <c r="J40" s="14">
        <f>'9月_支出成績'!$N$21</f>
        <v/>
      </c>
      <c r="K40" s="14">
        <f>'10月_支出成績'!$N$21</f>
        <v/>
      </c>
      <c r="L40" s="14">
        <f>'11月_支出成績'!$N$21</f>
        <v/>
      </c>
      <c r="M40" s="14">
        <f>'12月_支出成績'!$N$21</f>
        <v/>
      </c>
      <c r="N40" s="15">
        <f>SUM(B40:M40)</f>
        <v/>
      </c>
      <c r="O40" s="2" t="inlineStr">
        <is>
          <t>固定給・ロイヤリティ込み</t>
        </is>
      </c>
    </row>
    <row r="41">
      <c r="A41" s="47" t="inlineStr">
        <is>
          <t>営業利益</t>
        </is>
      </c>
      <c r="B41" s="15">
        <f>'1月_支出成績'!$N$22</f>
        <v/>
      </c>
      <c r="C41" s="15">
        <f>'2月_支出成績'!$N$22</f>
        <v/>
      </c>
      <c r="D41" s="15">
        <f>'3月_支出成績'!$N$22</f>
        <v/>
      </c>
      <c r="E41" s="15">
        <f>'4月_支出成績'!$N$22</f>
        <v/>
      </c>
      <c r="F41" s="15">
        <f>'5月_支出成績'!$N$22</f>
        <v/>
      </c>
      <c r="G41" s="15">
        <f>'6月_支出成績'!$N$22</f>
        <v/>
      </c>
      <c r="H41" s="15">
        <f>'7月_支出成績'!$N$22</f>
        <v/>
      </c>
      <c r="I41" s="15">
        <f>'8月_支出成績'!$N$22</f>
        <v/>
      </c>
      <c r="J41" s="15">
        <f>'9月_支出成績'!$N$22</f>
        <v/>
      </c>
      <c r="K41" s="15">
        <f>'10月_支出成績'!$N$22</f>
        <v/>
      </c>
      <c r="L41" s="15">
        <f>'11月_支出成績'!$N$22</f>
        <v/>
      </c>
      <c r="M41" s="15">
        <f>'12月_支出成績'!$N$22</f>
        <v/>
      </c>
      <c r="N41" s="15">
        <f>SUM(B41:M41)</f>
        <v/>
      </c>
      <c r="O41" s="2" t="inlineStr"/>
    </row>
    <row r="42">
      <c r="A42" s="49" t="inlineStr">
        <is>
          <t>融資返済</t>
        </is>
      </c>
      <c r="B42" s="14">
        <f>'1月_支出成績'!$N$23</f>
        <v/>
      </c>
      <c r="C42" s="14">
        <f>'2月_支出成績'!$N$23</f>
        <v/>
      </c>
      <c r="D42" s="14">
        <f>'3月_支出成績'!$N$23</f>
        <v/>
      </c>
      <c r="E42" s="14">
        <f>'4月_支出成績'!$N$23</f>
        <v/>
      </c>
      <c r="F42" s="14">
        <f>'5月_支出成績'!$N$23</f>
        <v/>
      </c>
      <c r="G42" s="14">
        <f>'6月_支出成績'!$N$23</f>
        <v/>
      </c>
      <c r="H42" s="14">
        <f>'7月_支出成績'!$N$23</f>
        <v/>
      </c>
      <c r="I42" s="14">
        <f>'8月_支出成績'!$N$23</f>
        <v/>
      </c>
      <c r="J42" s="14">
        <f>'9月_支出成績'!$N$23</f>
        <v/>
      </c>
      <c r="K42" s="14">
        <f>'10月_支出成績'!$N$23</f>
        <v/>
      </c>
      <c r="L42" s="14">
        <f>'11月_支出成績'!$N$23</f>
        <v/>
      </c>
      <c r="M42" s="14">
        <f>'12月_支出成績'!$N$23</f>
        <v/>
      </c>
      <c r="N42" s="15">
        <f>SUM(B42:M42)</f>
        <v/>
      </c>
      <c r="O42" s="2" t="inlineStr"/>
    </row>
    <row r="43">
      <c r="A43" s="47" t="inlineStr">
        <is>
          <t>経常利益</t>
        </is>
      </c>
      <c r="B43" s="15">
        <f>'1月_支出成績'!$N$24</f>
        <v/>
      </c>
      <c r="C43" s="15">
        <f>'2月_支出成績'!$N$24</f>
        <v/>
      </c>
      <c r="D43" s="15">
        <f>'3月_支出成績'!$N$24</f>
        <v/>
      </c>
      <c r="E43" s="15">
        <f>'4月_支出成績'!$N$24</f>
        <v/>
      </c>
      <c r="F43" s="15">
        <f>'5月_支出成績'!$N$24</f>
        <v/>
      </c>
      <c r="G43" s="15">
        <f>'6月_支出成績'!$N$24</f>
        <v/>
      </c>
      <c r="H43" s="15">
        <f>'7月_支出成績'!$N$24</f>
        <v/>
      </c>
      <c r="I43" s="15">
        <f>'8月_支出成績'!$N$24</f>
        <v/>
      </c>
      <c r="J43" s="15">
        <f>'9月_支出成績'!$N$24</f>
        <v/>
      </c>
      <c r="K43" s="15">
        <f>'10月_支出成績'!$N$24</f>
        <v/>
      </c>
      <c r="L43" s="15">
        <f>'11月_支出成績'!$N$24</f>
        <v/>
      </c>
      <c r="M43" s="15">
        <f>'12月_支出成績'!$N$24</f>
        <v/>
      </c>
      <c r="N43" s="15">
        <f>SUM(B43:M43)</f>
        <v/>
      </c>
      <c r="O43" s="2" t="inlineStr"/>
    </row>
    <row r="44">
      <c r="A44" s="49" t="inlineStr">
        <is>
          <t>経常利益 累計</t>
        </is>
      </c>
      <c r="B44" s="14">
        <f>B43</f>
        <v/>
      </c>
      <c r="C44" s="14">
        <f>B44+C43</f>
        <v/>
      </c>
      <c r="D44" s="14">
        <f>C44+D43</f>
        <v/>
      </c>
      <c r="E44" s="14">
        <f>D44+E43</f>
        <v/>
      </c>
      <c r="F44" s="14">
        <f>E44+F43</f>
        <v/>
      </c>
      <c r="G44" s="14">
        <f>F44+G43</f>
        <v/>
      </c>
      <c r="H44" s="14">
        <f>G44+H43</f>
        <v/>
      </c>
      <c r="I44" s="14">
        <f>H44+I43</f>
        <v/>
      </c>
      <c r="J44" s="14">
        <f>I44+J43</f>
        <v/>
      </c>
      <c r="K44" s="14">
        <f>J44+K43</f>
        <v/>
      </c>
      <c r="L44" s="14">
        <f>K44+L43</f>
        <v/>
      </c>
      <c r="M44" s="14">
        <f>L44+M43</f>
        <v/>
      </c>
      <c r="N44" s="15">
        <f>M44</f>
        <v/>
      </c>
      <c r="O44" s="2" t="inlineStr"/>
    </row>
    <row r="45">
      <c r="A45" s="69" t="inlineStr">
        <is>
          <t>2026年 売上（手入力）</t>
        </is>
      </c>
      <c r="B45" s="70" t="n"/>
      <c r="C45" s="70" t="n"/>
      <c r="D45" s="70" t="n"/>
      <c r="E45" s="70" t="n"/>
      <c r="F45" s="70" t="n"/>
      <c r="G45" s="70" t="n"/>
      <c r="H45" s="70" t="n"/>
      <c r="I45" s="70" t="n"/>
      <c r="J45" s="70" t="n"/>
      <c r="K45" s="70" t="n"/>
      <c r="L45" s="70" t="n"/>
      <c r="M45" s="70" t="n"/>
      <c r="N45" s="15">
        <f>SUM(B45:M45)</f>
        <v/>
      </c>
      <c r="O45" s="2" t="inlineStr">
        <is>
          <t>★年末に2026年の確定値を貼ってください。ここだけ手入力です</t>
        </is>
      </c>
    </row>
    <row r="46">
      <c r="A46" s="49" t="inlineStr">
        <is>
          <t>前年比</t>
        </is>
      </c>
      <c r="B46" s="64">
        <f>IFERROR(B20/B45,"")</f>
        <v/>
      </c>
      <c r="C46" s="64">
        <f>IFERROR(C20/C45,"")</f>
        <v/>
      </c>
      <c r="D46" s="64">
        <f>IFERROR(D20/D45,"")</f>
        <v/>
      </c>
      <c r="E46" s="64">
        <f>IFERROR(E20/E45,"")</f>
        <v/>
      </c>
      <c r="F46" s="64">
        <f>IFERROR(F20/F45,"")</f>
        <v/>
      </c>
      <c r="G46" s="64">
        <f>IFERROR(G20/G45,"")</f>
        <v/>
      </c>
      <c r="H46" s="64">
        <f>IFERROR(H20/H45,"")</f>
        <v/>
      </c>
      <c r="I46" s="64">
        <f>IFERROR(I20/I45,"")</f>
        <v/>
      </c>
      <c r="J46" s="64">
        <f>IFERROR(J20/J45,"")</f>
        <v/>
      </c>
      <c r="K46" s="64">
        <f>IFERROR(K20/K45,"")</f>
        <v/>
      </c>
      <c r="L46" s="64">
        <f>IFERROR(L20/L45,"")</f>
        <v/>
      </c>
      <c r="M46" s="64">
        <f>IFERROR(M20/M45,"")</f>
        <v/>
      </c>
      <c r="N46" s="65">
        <f>IFERROR(N20/N45,"")</f>
        <v/>
      </c>
      <c r="O46" s="2" t="inlineStr">
        <is>
          <t>2027 ÷ 2026</t>
        </is>
      </c>
    </row>
    <row r="48">
      <c r="A48" s="8" t="inlineStr">
        <is>
          <t>▼ ここから下はダッシュボード用の累計です（触らないでください）</t>
        </is>
      </c>
    </row>
    <row r="49">
      <c r="A49" s="49" t="inlineStr">
        <is>
          <t>④自社ネット新規 計画 累計</t>
        </is>
      </c>
      <c r="B49" s="21">
        <f>B29</f>
        <v/>
      </c>
      <c r="C49" s="21">
        <f>B49+C29</f>
        <v/>
      </c>
      <c r="D49" s="21">
        <f>C49+D29</f>
        <v/>
      </c>
      <c r="E49" s="21">
        <f>D49+E29</f>
        <v/>
      </c>
      <c r="F49" s="21">
        <f>E49+F29</f>
        <v/>
      </c>
      <c r="G49" s="21">
        <f>F49+G29</f>
        <v/>
      </c>
      <c r="H49" s="21">
        <f>G49+H29</f>
        <v/>
      </c>
      <c r="I49" s="21">
        <f>H49+I29</f>
        <v/>
      </c>
      <c r="J49" s="21">
        <f>I49+J29</f>
        <v/>
      </c>
      <c r="K49" s="21">
        <f>J49+K29</f>
        <v/>
      </c>
      <c r="L49" s="21">
        <f>K49+L29</f>
        <v/>
      </c>
      <c r="M49" s="21">
        <f>L49+M29</f>
        <v/>
      </c>
      <c r="N49" s="68">
        <f>M49</f>
        <v/>
      </c>
      <c r="O49" s="2" t="inlineStr">
        <is>
          <t>ダッシュボード用</t>
        </is>
      </c>
    </row>
    <row r="50">
      <c r="A50" s="49" t="inlineStr">
        <is>
          <t>④自社ネット新規 実績 累計</t>
        </is>
      </c>
      <c r="B50" s="21">
        <f>B30</f>
        <v/>
      </c>
      <c r="C50" s="21">
        <f>B50+C30</f>
        <v/>
      </c>
      <c r="D50" s="21">
        <f>C50+D30</f>
        <v/>
      </c>
      <c r="E50" s="21">
        <f>D50+E30</f>
        <v/>
      </c>
      <c r="F50" s="21">
        <f>E50+F30</f>
        <v/>
      </c>
      <c r="G50" s="21">
        <f>F50+G30</f>
        <v/>
      </c>
      <c r="H50" s="21">
        <f>G50+H30</f>
        <v/>
      </c>
      <c r="I50" s="21">
        <f>H50+I30</f>
        <v/>
      </c>
      <c r="J50" s="21">
        <f>I50+J30</f>
        <v/>
      </c>
      <c r="K50" s="21">
        <f>J50+K30</f>
        <v/>
      </c>
      <c r="L50" s="21">
        <f>K50+L30</f>
        <v/>
      </c>
      <c r="M50" s="21">
        <f>L50+M30</f>
        <v/>
      </c>
      <c r="N50" s="68">
        <f>M50</f>
        <v/>
      </c>
      <c r="O50" s="2" t="inlineStr">
        <is>
          <t>ダッシュボード用</t>
        </is>
      </c>
    </row>
    <row r="51">
      <c r="A51" s="66" t="inlineStr">
        <is>
          <t>経常利益 計画（月次）</t>
        </is>
      </c>
      <c r="B51" s="71" t="n">
        <v>231914</v>
      </c>
      <c r="C51" s="71" t="n">
        <v>-6745</v>
      </c>
      <c r="D51" s="71" t="n">
        <v>303086</v>
      </c>
      <c r="E51" s="71" t="n">
        <v>570807</v>
      </c>
      <c r="F51" s="71" t="n">
        <v>892282</v>
      </c>
      <c r="G51" s="71" t="n">
        <v>1231143</v>
      </c>
      <c r="H51" s="71" t="n">
        <v>813684</v>
      </c>
      <c r="I51" s="71" t="n">
        <v>115573</v>
      </c>
      <c r="J51" s="71" t="n">
        <v>231903</v>
      </c>
      <c r="K51" s="71" t="n">
        <v>503051</v>
      </c>
      <c r="L51" s="71" t="n">
        <v>579935</v>
      </c>
      <c r="M51" s="71" t="n">
        <v>188439</v>
      </c>
      <c r="N51" s="15">
        <f>SUM(B51:M51)</f>
        <v/>
      </c>
      <c r="O51" s="2" t="inlineStr">
        <is>
          <t>tools/plan2027.py の中立</t>
        </is>
      </c>
    </row>
    <row r="52">
      <c r="A52" s="49" t="inlineStr">
        <is>
          <t>経常利益 計画 累計</t>
        </is>
      </c>
      <c r="B52" s="14">
        <f>B51</f>
        <v/>
      </c>
      <c r="C52" s="14">
        <f>B52+C51</f>
        <v/>
      </c>
      <c r="D52" s="14">
        <f>C52+D51</f>
        <v/>
      </c>
      <c r="E52" s="14">
        <f>D52+E51</f>
        <v/>
      </c>
      <c r="F52" s="14">
        <f>E52+F51</f>
        <v/>
      </c>
      <c r="G52" s="14">
        <f>F52+G51</f>
        <v/>
      </c>
      <c r="H52" s="14">
        <f>G52+H51</f>
        <v/>
      </c>
      <c r="I52" s="14">
        <f>H52+I51</f>
        <v/>
      </c>
      <c r="J52" s="14">
        <f>I52+J51</f>
        <v/>
      </c>
      <c r="K52" s="14">
        <f>J52+K51</f>
        <v/>
      </c>
      <c r="L52" s="14">
        <f>K52+L51</f>
        <v/>
      </c>
      <c r="M52" s="14">
        <f>L52+M51</f>
        <v/>
      </c>
      <c r="N52" s="15">
        <f>M52</f>
        <v/>
      </c>
      <c r="O52" s="2" t="inlineStr">
        <is>
          <t>ダッシュボード用</t>
        </is>
      </c>
    </row>
    <row r="53">
      <c r="A53" s="49" t="inlineStr">
        <is>
          <t>売上 計画（月次・再掲）</t>
        </is>
      </c>
      <c r="B53" s="14">
        <f>B18</f>
        <v/>
      </c>
      <c r="C53" s="14">
        <f>C18</f>
        <v/>
      </c>
      <c r="D53" s="14">
        <f>D18</f>
        <v/>
      </c>
      <c r="E53" s="14">
        <f>E18</f>
        <v/>
      </c>
      <c r="F53" s="14">
        <f>F18</f>
        <v/>
      </c>
      <c r="G53" s="14">
        <f>G18</f>
        <v/>
      </c>
      <c r="H53" s="14">
        <f>H18</f>
        <v/>
      </c>
      <c r="I53" s="14">
        <f>I18</f>
        <v/>
      </c>
      <c r="J53" s="14">
        <f>J18</f>
        <v/>
      </c>
      <c r="K53" s="14">
        <f>K18</f>
        <v/>
      </c>
      <c r="L53" s="14">
        <f>L18</f>
        <v/>
      </c>
      <c r="M53" s="14">
        <f>M18</f>
        <v/>
      </c>
      <c r="N53" s="15">
        <f>SUM(B53:M53)</f>
        <v/>
      </c>
      <c r="O53" s="2" t="inlineStr">
        <is>
          <t>ダッシュボード用</t>
        </is>
      </c>
    </row>
    <row r="55">
      <c r="A55" s="8" t="inlineStr">
        <is>
          <t>▼ 自社／本舗（売上種類で見る）</t>
        </is>
      </c>
    </row>
    <row r="56">
      <c r="A56" s="47" t="inlineStr">
        <is>
          <t>自社（One Hitter）売上</t>
        </is>
      </c>
      <c r="B56" s="15">
        <f>'1月_売上顧客'!$J$4</f>
        <v/>
      </c>
      <c r="C56" s="15">
        <f>'2月_売上顧客'!$J$4</f>
        <v/>
      </c>
      <c r="D56" s="15">
        <f>'3月_売上顧客'!$J$4</f>
        <v/>
      </c>
      <c r="E56" s="15">
        <f>'4月_売上顧客'!$J$4</f>
        <v/>
      </c>
      <c r="F56" s="15">
        <f>'5月_売上顧客'!$J$4</f>
        <v/>
      </c>
      <c r="G56" s="15">
        <f>'6月_売上顧客'!$J$4</f>
        <v/>
      </c>
      <c r="H56" s="15">
        <f>'7月_売上顧客'!$J$4</f>
        <v/>
      </c>
      <c r="I56" s="15">
        <f>'8月_売上顧客'!$J$4</f>
        <v/>
      </c>
      <c r="J56" s="15">
        <f>'9月_売上顧客'!$J$4</f>
        <v/>
      </c>
      <c r="K56" s="15">
        <f>'10月_売上顧客'!$J$4</f>
        <v/>
      </c>
      <c r="L56" s="15">
        <f>'11月_売上顧客'!$J$4</f>
        <v/>
      </c>
      <c r="M56" s="15">
        <f>'12月_売上顧客'!$J$4</f>
        <v/>
      </c>
      <c r="N56" s="15">
        <f>SUM(B56:M56)</f>
        <v/>
      </c>
      <c r="O56" s="2" t="inlineStr">
        <is>
          <t>2026年は1〜9月で +26%。伸びているのはこちら</t>
        </is>
      </c>
    </row>
    <row r="57">
      <c r="A57" s="49" t="inlineStr">
        <is>
          <t>おそうじ本舗 売上</t>
        </is>
      </c>
      <c r="B57" s="14">
        <f>'1月_売上顧客'!$K$4</f>
        <v/>
      </c>
      <c r="C57" s="14">
        <f>'2月_売上顧客'!$K$4</f>
        <v/>
      </c>
      <c r="D57" s="14">
        <f>'3月_売上顧客'!$K$4</f>
        <v/>
      </c>
      <c r="E57" s="14">
        <f>'4月_売上顧客'!$K$4</f>
        <v/>
      </c>
      <c r="F57" s="14">
        <f>'5月_売上顧客'!$K$4</f>
        <v/>
      </c>
      <c r="G57" s="14">
        <f>'6月_売上顧客'!$K$4</f>
        <v/>
      </c>
      <c r="H57" s="14">
        <f>'7月_売上顧客'!$K$4</f>
        <v/>
      </c>
      <c r="I57" s="14">
        <f>'8月_売上顧客'!$K$4</f>
        <v/>
      </c>
      <c r="J57" s="14">
        <f>'9月_売上顧客'!$K$4</f>
        <v/>
      </c>
      <c r="K57" s="14">
        <f>'10月_売上顧客'!$K$4</f>
        <v/>
      </c>
      <c r="L57" s="14">
        <f>'11月_売上顧客'!$K$4</f>
        <v/>
      </c>
      <c r="M57" s="14">
        <f>'12月_売上顧客'!$K$4</f>
        <v/>
      </c>
      <c r="N57" s="15">
        <f>SUM(B57:M57)</f>
        <v/>
      </c>
      <c r="O57" s="2" t="inlineStr">
        <is>
          <t>2026年は1〜9月で −27%。楽ラクーン・スケジュールマッチング・入札はここ</t>
        </is>
      </c>
    </row>
    <row r="58">
      <c r="A58" s="49" t="inlineStr">
        <is>
          <t>自社の比率</t>
        </is>
      </c>
      <c r="B58" s="64">
        <f>IFERROR(B56/B20,"")</f>
        <v/>
      </c>
      <c r="C58" s="64">
        <f>IFERROR(C56/C20,"")</f>
        <v/>
      </c>
      <c r="D58" s="64">
        <f>IFERROR(D56/D20,"")</f>
        <v/>
      </c>
      <c r="E58" s="64">
        <f>IFERROR(E56/E20,"")</f>
        <v/>
      </c>
      <c r="F58" s="64">
        <f>IFERROR(F56/F20,"")</f>
        <v/>
      </c>
      <c r="G58" s="64">
        <f>IFERROR(G56/G20,"")</f>
        <v/>
      </c>
      <c r="H58" s="64">
        <f>IFERROR(H56/H20,"")</f>
        <v/>
      </c>
      <c r="I58" s="64">
        <f>IFERROR(I56/I20,"")</f>
        <v/>
      </c>
      <c r="J58" s="64">
        <f>IFERROR(J56/J20,"")</f>
        <v/>
      </c>
      <c r="K58" s="64">
        <f>IFERROR(K56/K20,"")</f>
        <v/>
      </c>
      <c r="L58" s="64">
        <f>IFERROR(L56/L20,"")</f>
        <v/>
      </c>
      <c r="M58" s="64">
        <f>IFERROR(M56/M20,"")</f>
        <v/>
      </c>
      <c r="N58" s="65">
        <f>IFERROR(N56/N20,"")</f>
        <v/>
      </c>
      <c r="O58" s="2" t="inlineStr">
        <is>
          <t>自社売上 ÷ 売上実績</t>
        </is>
      </c>
    </row>
  </sheetData>
  <conditionalFormatting sqref="B6">
    <cfRule type="cellIs" priority="1" operator="lessThan" dxfId="0">
      <formula>0</formula>
    </cfRule>
    <cfRule type="cellIs" priority="2" operator="greaterThanOrEqual" dxfId="1">
      <formula>0</formula>
    </cfRule>
  </conditionalFormatting>
  <conditionalFormatting sqref="B7">
    <cfRule type="cellIs" priority="3" operator="lessThan" dxfId="0">
      <formula>0.9</formula>
    </cfRule>
  </conditionalFormatting>
  <conditionalFormatting sqref="B14">
    <cfRule type="cellIs" priority="4" operator="greaterThan" dxfId="0">
      <formula>0</formula>
    </cfRule>
  </conditionalFormatting>
  <conditionalFormatting sqref="B23:N23">
    <cfRule type="expression" priority="5" dxfId="0">
      <formula>AND(B$20&gt;0,B23&lt;0)</formula>
    </cfRule>
    <cfRule type="expression" priority="6" dxfId="1">
      <formula>AND(B$20&gt;0,B23&gt;=0)</formula>
    </cfRule>
  </conditionalFormatting>
  <conditionalFormatting sqref="B24:N24">
    <cfRule type="expression" priority="7" dxfId="0">
      <formula>AND(B$21&gt;0,B24&lt;0)</formula>
    </cfRule>
    <cfRule type="expression" priority="8" dxfId="1">
      <formula>AND(B$21&gt;0,B24&gt;=0)</formula>
    </cfRule>
  </conditionalFormatting>
  <conditionalFormatting sqref="B43:N43">
    <cfRule type="expression" priority="9" dxfId="0">
      <formula>AND(B$20&gt;0,B43&lt;0)</formula>
    </cfRule>
  </conditionalFormatting>
  <conditionalFormatting sqref="B25:N25">
    <cfRule type="expression" priority="10" dxfId="0">
      <formula>AND(B$20&gt;0,B25&lt;0.9)</formula>
    </cfRule>
  </conditionalFormatting>
  <conditionalFormatting sqref="B26:N26">
    <cfRule type="expression" priority="11" dxfId="0">
      <formula>AND(B$21&gt;0,B26&lt;0.9)</formula>
    </cfRule>
  </conditionalFormatting>
  <conditionalFormatting sqref="B30:M30">
    <cfRule type="expression" priority="12" dxfId="0">
      <formula>AND(B$20&gt;0,B30&lt;B29)</formula>
    </cfRule>
  </conditionalFormatting>
  <pageMargins left="0.75" right="0.75" top="1" bottom="1" header="0.5" footer="0.5"/>
</worksheet>
</file>

<file path=xl/worksheets/sheet29.xml><?xml version="1.0" encoding="utf-8"?>
<worksheet xmlns="http://schemas.openxmlformats.org/spreadsheetml/2006/main">
  <sheetPr>
    <tabColor rgb="0000B050"/>
    <outlinePr summaryBelow="1" summaryRight="1"/>
    <pageSetUpPr/>
  </sheetPr>
  <dimension ref="A1:R56"/>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6" customWidth="1" min="3" max="3"/>
    <col width="10" customWidth="1" min="4" max="4"/>
    <col width="10" customWidth="1" min="5" max="5"/>
    <col width="10" customWidth="1" min="6" max="6"/>
    <col width="12" customWidth="1" min="7" max="7"/>
    <col width="14" customWidth="1" min="8" max="8"/>
    <col width="10" customWidth="1" min="9" max="9"/>
    <col width="12" customWidth="1" min="10" max="10"/>
    <col width="12" customWidth="1" min="11" max="11"/>
    <col width="46" customWidth="1" min="12" max="12"/>
    <col width="8" customWidth="1" min="14" max="14"/>
    <col width="16" customWidth="1" min="15" max="15"/>
    <col width="12" customWidth="1" min="16" max="16"/>
    <col width="12" customWidth="1" min="17" max="17"/>
    <col width="12" customWidth="1" min="18" max="18"/>
  </cols>
  <sheetData>
    <row r="1" ht="22" customHeight="1">
      <c r="A1" s="1" t="inlineStr">
        <is>
          <t>ネット流入 週次（★2027年の最重要）</t>
        </is>
      </c>
    </row>
    <row r="2">
      <c r="A2" s="2" t="inlineStr">
        <is>
          <t>毎週金曜に埋める。CPAは自動計算。9,500円を超えたセルは赤くなります＝その月は広告を止める合図。</t>
        </is>
      </c>
    </row>
    <row r="3">
      <c r="A3" s="9" t="inlineStr">
        <is>
          <t>週あたりの目安</t>
        </is>
      </c>
      <c r="D3" s="9" t="n">
        <v>5</v>
      </c>
      <c r="E3" s="9" t="n">
        <v>1</v>
      </c>
      <c r="F3" s="9" t="n">
        <v>2</v>
      </c>
      <c r="G3" s="9" t="inlineStr">
        <is>
          <t>全件</t>
        </is>
      </c>
      <c r="K3" s="72" t="n">
        <v>9500</v>
      </c>
      <c r="L3" s="2" t="inlineStr">
        <is>
          <t>SNS週5本・ブログ週1本・GBP週2本・クチコミは全件返信。CPA上限9,500円（docs/流入経路の分析.md §4）</t>
        </is>
      </c>
      <c r="N3" s="11" t="inlineStr">
        <is>
          <t>▼ 月別ロールアップ（自動）</t>
        </is>
      </c>
    </row>
    <row r="4" ht="30" customHeight="1">
      <c r="A4" s="3" t="inlineStr">
        <is>
          <t>週</t>
        </is>
      </c>
      <c r="B4" s="3" t="inlineStr">
        <is>
          <t>週の開始日(月)</t>
        </is>
      </c>
      <c r="C4" s="3" t="inlineStr">
        <is>
          <t>月</t>
        </is>
      </c>
      <c r="D4" s="3" t="inlineStr">
        <is>
          <t>SNS投稿数</t>
        </is>
      </c>
      <c r="E4" s="3" t="inlineStr">
        <is>
          <t>ブログ本数</t>
        </is>
      </c>
      <c r="F4" s="3" t="inlineStr">
        <is>
          <t>GBP投稿数</t>
        </is>
      </c>
      <c r="G4" s="3" t="inlineStr">
        <is>
          <t>クチコミ返信数</t>
        </is>
      </c>
      <c r="H4" s="3" t="inlineStr">
        <is>
          <t>予約フォーム到達数</t>
        </is>
      </c>
      <c r="I4" s="3" t="inlineStr">
        <is>
          <t>受注件数</t>
        </is>
      </c>
      <c r="J4" s="3" t="inlineStr">
        <is>
          <t>広告費</t>
        </is>
      </c>
      <c r="K4" s="3" t="inlineStr">
        <is>
          <t>CPA(自動)</t>
        </is>
      </c>
      <c r="L4" s="3" t="inlineStr">
        <is>
          <t>主な施策・気づき</t>
        </is>
      </c>
      <c r="N4" s="3" t="inlineStr">
        <is>
          <t>月</t>
        </is>
      </c>
      <c r="O4" s="3" t="inlineStr">
        <is>
          <t>予約フォーム到達</t>
        </is>
      </c>
      <c r="P4" s="3" t="inlineStr">
        <is>
          <t>受注件数</t>
        </is>
      </c>
      <c r="Q4" s="3" t="inlineStr">
        <is>
          <t>広告費</t>
        </is>
      </c>
      <c r="R4" s="3" t="inlineStr">
        <is>
          <t>CPA</t>
        </is>
      </c>
    </row>
    <row r="5">
      <c r="A5" s="21" t="n">
        <v>1</v>
      </c>
      <c r="B5" s="73" t="n">
        <v>46391</v>
      </c>
      <c r="C5" s="21">
        <f>IFERROR(MONTH($B5),"")</f>
        <v/>
      </c>
      <c r="D5" s="23" t="n"/>
      <c r="E5" s="23" t="n"/>
      <c r="F5" s="23" t="n"/>
      <c r="G5" s="23" t="n"/>
      <c r="H5" s="23" t="n"/>
      <c r="I5" s="23" t="n"/>
      <c r="J5" s="14" t="n"/>
      <c r="K5" s="74">
        <f>IFERROR($J5/$I5,"")</f>
        <v/>
      </c>
      <c r="L5" s="23" t="n"/>
      <c r="N5" s="75" t="n">
        <v>1</v>
      </c>
      <c r="O5" s="23">
        <f>SUMIFS($H$5:$H$56,$C$5:$C$56,1)</f>
        <v/>
      </c>
      <c r="P5" s="23">
        <f>SUMIFS($I$5:$I$56,$C$5:$C$56,1)</f>
        <v/>
      </c>
      <c r="Q5" s="14">
        <f>SUMIFS($J$5:$J$56,$C$5:$C$56,1)</f>
        <v/>
      </c>
      <c r="R5" s="14">
        <f>IFERROR($Q5/$P5,"")</f>
        <v/>
      </c>
    </row>
    <row r="6">
      <c r="A6" s="21" t="n">
        <v>2</v>
      </c>
      <c r="B6" s="73" t="n">
        <v>46398</v>
      </c>
      <c r="C6" s="21">
        <f>IFERROR(MONTH($B6),"")</f>
        <v/>
      </c>
      <c r="D6" s="23" t="n"/>
      <c r="E6" s="23" t="n"/>
      <c r="F6" s="23" t="n"/>
      <c r="G6" s="23" t="n"/>
      <c r="H6" s="23" t="n"/>
      <c r="I6" s="23" t="n"/>
      <c r="J6" s="14" t="n"/>
      <c r="K6" s="74">
        <f>IFERROR($J6/$I6,"")</f>
        <v/>
      </c>
      <c r="L6" s="23" t="n"/>
      <c r="N6" s="75" t="n">
        <v>2</v>
      </c>
      <c r="O6" s="23">
        <f>SUMIFS($H$5:$H$56,$C$5:$C$56,2)</f>
        <v/>
      </c>
      <c r="P6" s="23">
        <f>SUMIFS($I$5:$I$56,$C$5:$C$56,2)</f>
        <v/>
      </c>
      <c r="Q6" s="14">
        <f>SUMIFS($J$5:$J$56,$C$5:$C$56,2)</f>
        <v/>
      </c>
      <c r="R6" s="14">
        <f>IFERROR($Q6/$P6,"")</f>
        <v/>
      </c>
    </row>
    <row r="7">
      <c r="A7" s="21" t="n">
        <v>3</v>
      </c>
      <c r="B7" s="73" t="n">
        <v>46405</v>
      </c>
      <c r="C7" s="21">
        <f>IFERROR(MONTH($B7),"")</f>
        <v/>
      </c>
      <c r="D7" s="23" t="n"/>
      <c r="E7" s="23" t="n"/>
      <c r="F7" s="23" t="n"/>
      <c r="G7" s="23" t="n"/>
      <c r="H7" s="23" t="n"/>
      <c r="I7" s="23" t="n"/>
      <c r="J7" s="14" t="n"/>
      <c r="K7" s="74">
        <f>IFERROR($J7/$I7,"")</f>
        <v/>
      </c>
      <c r="L7" s="23" t="n"/>
      <c r="N7" s="75" t="n">
        <v>3</v>
      </c>
      <c r="O7" s="23">
        <f>SUMIFS($H$5:$H$56,$C$5:$C$56,3)</f>
        <v/>
      </c>
      <c r="P7" s="23">
        <f>SUMIFS($I$5:$I$56,$C$5:$C$56,3)</f>
        <v/>
      </c>
      <c r="Q7" s="14">
        <f>SUMIFS($J$5:$J$56,$C$5:$C$56,3)</f>
        <v/>
      </c>
      <c r="R7" s="14">
        <f>IFERROR($Q7/$P7,"")</f>
        <v/>
      </c>
    </row>
    <row r="8">
      <c r="A8" s="21" t="n">
        <v>4</v>
      </c>
      <c r="B8" s="73" t="n">
        <v>46412</v>
      </c>
      <c r="C8" s="21">
        <f>IFERROR(MONTH($B8),"")</f>
        <v/>
      </c>
      <c r="D8" s="23" t="n"/>
      <c r="E8" s="23" t="n"/>
      <c r="F8" s="23" t="n"/>
      <c r="G8" s="23" t="n"/>
      <c r="H8" s="23" t="n"/>
      <c r="I8" s="23" t="n"/>
      <c r="J8" s="14" t="n"/>
      <c r="K8" s="74">
        <f>IFERROR($J8/$I8,"")</f>
        <v/>
      </c>
      <c r="L8" s="23" t="n"/>
      <c r="N8" s="75" t="n">
        <v>4</v>
      </c>
      <c r="O8" s="23">
        <f>SUMIFS($H$5:$H$56,$C$5:$C$56,4)</f>
        <v/>
      </c>
      <c r="P8" s="23">
        <f>SUMIFS($I$5:$I$56,$C$5:$C$56,4)</f>
        <v/>
      </c>
      <c r="Q8" s="14">
        <f>SUMIFS($J$5:$J$56,$C$5:$C$56,4)</f>
        <v/>
      </c>
      <c r="R8" s="14">
        <f>IFERROR($Q8/$P8,"")</f>
        <v/>
      </c>
    </row>
    <row r="9">
      <c r="A9" s="21" t="n">
        <v>5</v>
      </c>
      <c r="B9" s="73" t="n">
        <v>46419</v>
      </c>
      <c r="C9" s="21">
        <f>IFERROR(MONTH($B9),"")</f>
        <v/>
      </c>
      <c r="D9" s="23" t="n"/>
      <c r="E9" s="23" t="n"/>
      <c r="F9" s="23" t="n"/>
      <c r="G9" s="23" t="n"/>
      <c r="H9" s="23" t="n"/>
      <c r="I9" s="23" t="n"/>
      <c r="J9" s="14" t="n"/>
      <c r="K9" s="74">
        <f>IFERROR($J9/$I9,"")</f>
        <v/>
      </c>
      <c r="L9" s="23" t="n"/>
      <c r="N9" s="75" t="n">
        <v>5</v>
      </c>
      <c r="O9" s="23">
        <f>SUMIFS($H$5:$H$56,$C$5:$C$56,5)</f>
        <v/>
      </c>
      <c r="P9" s="23">
        <f>SUMIFS($I$5:$I$56,$C$5:$C$56,5)</f>
        <v/>
      </c>
      <c r="Q9" s="14">
        <f>SUMIFS($J$5:$J$56,$C$5:$C$56,5)</f>
        <v/>
      </c>
      <c r="R9" s="14">
        <f>IFERROR($Q9/$P9,"")</f>
        <v/>
      </c>
    </row>
    <row r="10">
      <c r="A10" s="21" t="n">
        <v>6</v>
      </c>
      <c r="B10" s="73" t="n">
        <v>46426</v>
      </c>
      <c r="C10" s="21">
        <f>IFERROR(MONTH($B10),"")</f>
        <v/>
      </c>
      <c r="D10" s="23" t="n"/>
      <c r="E10" s="23" t="n"/>
      <c r="F10" s="23" t="n"/>
      <c r="G10" s="23" t="n"/>
      <c r="H10" s="23" t="n"/>
      <c r="I10" s="23" t="n"/>
      <c r="J10" s="14" t="n"/>
      <c r="K10" s="74">
        <f>IFERROR($J10/$I10,"")</f>
        <v/>
      </c>
      <c r="L10" s="23" t="n"/>
      <c r="N10" s="75" t="n">
        <v>6</v>
      </c>
      <c r="O10" s="23">
        <f>SUMIFS($H$5:$H$56,$C$5:$C$56,6)</f>
        <v/>
      </c>
      <c r="P10" s="23">
        <f>SUMIFS($I$5:$I$56,$C$5:$C$56,6)</f>
        <v/>
      </c>
      <c r="Q10" s="14">
        <f>SUMIFS($J$5:$J$56,$C$5:$C$56,6)</f>
        <v/>
      </c>
      <c r="R10" s="14">
        <f>IFERROR($Q10/$P10,"")</f>
        <v/>
      </c>
    </row>
    <row r="11">
      <c r="A11" s="21" t="n">
        <v>7</v>
      </c>
      <c r="B11" s="73" t="n">
        <v>46433</v>
      </c>
      <c r="C11" s="21">
        <f>IFERROR(MONTH($B11),"")</f>
        <v/>
      </c>
      <c r="D11" s="23" t="n"/>
      <c r="E11" s="23" t="n"/>
      <c r="F11" s="23" t="n"/>
      <c r="G11" s="23" t="n"/>
      <c r="H11" s="23" t="n"/>
      <c r="I11" s="23" t="n"/>
      <c r="J11" s="14" t="n"/>
      <c r="K11" s="74">
        <f>IFERROR($J11/$I11,"")</f>
        <v/>
      </c>
      <c r="L11" s="23" t="n"/>
      <c r="N11" s="75" t="n">
        <v>7</v>
      </c>
      <c r="O11" s="23">
        <f>SUMIFS($H$5:$H$56,$C$5:$C$56,7)</f>
        <v/>
      </c>
      <c r="P11" s="23">
        <f>SUMIFS($I$5:$I$56,$C$5:$C$56,7)</f>
        <v/>
      </c>
      <c r="Q11" s="14">
        <f>SUMIFS($J$5:$J$56,$C$5:$C$56,7)</f>
        <v/>
      </c>
      <c r="R11" s="14">
        <f>IFERROR($Q11/$P11,"")</f>
        <v/>
      </c>
    </row>
    <row r="12">
      <c r="A12" s="21" t="n">
        <v>8</v>
      </c>
      <c r="B12" s="73" t="n">
        <v>46440</v>
      </c>
      <c r="C12" s="21">
        <f>IFERROR(MONTH($B12),"")</f>
        <v/>
      </c>
      <c r="D12" s="23" t="n"/>
      <c r="E12" s="23" t="n"/>
      <c r="F12" s="23" t="n"/>
      <c r="G12" s="23" t="n"/>
      <c r="H12" s="23" t="n"/>
      <c r="I12" s="23" t="n"/>
      <c r="J12" s="14" t="n"/>
      <c r="K12" s="74">
        <f>IFERROR($J12/$I12,"")</f>
        <v/>
      </c>
      <c r="L12" s="23" t="n"/>
      <c r="N12" s="75" t="n">
        <v>8</v>
      </c>
      <c r="O12" s="23">
        <f>SUMIFS($H$5:$H$56,$C$5:$C$56,8)</f>
        <v/>
      </c>
      <c r="P12" s="23">
        <f>SUMIFS($I$5:$I$56,$C$5:$C$56,8)</f>
        <v/>
      </c>
      <c r="Q12" s="14">
        <f>SUMIFS($J$5:$J$56,$C$5:$C$56,8)</f>
        <v/>
      </c>
      <c r="R12" s="14">
        <f>IFERROR($Q12/$P12,"")</f>
        <v/>
      </c>
    </row>
    <row r="13">
      <c r="A13" s="21" t="n">
        <v>9</v>
      </c>
      <c r="B13" s="73" t="n">
        <v>46447</v>
      </c>
      <c r="C13" s="21">
        <f>IFERROR(MONTH($B13),"")</f>
        <v/>
      </c>
      <c r="D13" s="23" t="n"/>
      <c r="E13" s="23" t="n"/>
      <c r="F13" s="23" t="n"/>
      <c r="G13" s="23" t="n"/>
      <c r="H13" s="23" t="n"/>
      <c r="I13" s="23" t="n"/>
      <c r="J13" s="14" t="n"/>
      <c r="K13" s="74">
        <f>IFERROR($J13/$I13,"")</f>
        <v/>
      </c>
      <c r="L13" s="23" t="n"/>
      <c r="N13" s="75" t="n">
        <v>9</v>
      </c>
      <c r="O13" s="23">
        <f>SUMIFS($H$5:$H$56,$C$5:$C$56,9)</f>
        <v/>
      </c>
      <c r="P13" s="23">
        <f>SUMIFS($I$5:$I$56,$C$5:$C$56,9)</f>
        <v/>
      </c>
      <c r="Q13" s="14">
        <f>SUMIFS($J$5:$J$56,$C$5:$C$56,9)</f>
        <v/>
      </c>
      <c r="R13" s="14">
        <f>IFERROR($Q13/$P13,"")</f>
        <v/>
      </c>
    </row>
    <row r="14">
      <c r="A14" s="21" t="n">
        <v>10</v>
      </c>
      <c r="B14" s="73" t="n">
        <v>46454</v>
      </c>
      <c r="C14" s="21">
        <f>IFERROR(MONTH($B14),"")</f>
        <v/>
      </c>
      <c r="D14" s="23" t="n"/>
      <c r="E14" s="23" t="n"/>
      <c r="F14" s="23" t="n"/>
      <c r="G14" s="23" t="n"/>
      <c r="H14" s="23" t="n"/>
      <c r="I14" s="23" t="n"/>
      <c r="J14" s="14" t="n"/>
      <c r="K14" s="74">
        <f>IFERROR($J14/$I14,"")</f>
        <v/>
      </c>
      <c r="L14" s="23" t="n"/>
      <c r="N14" s="75" t="n">
        <v>10</v>
      </c>
      <c r="O14" s="23">
        <f>SUMIFS($H$5:$H$56,$C$5:$C$56,10)</f>
        <v/>
      </c>
      <c r="P14" s="23">
        <f>SUMIFS($I$5:$I$56,$C$5:$C$56,10)</f>
        <v/>
      </c>
      <c r="Q14" s="14">
        <f>SUMIFS($J$5:$J$56,$C$5:$C$56,10)</f>
        <v/>
      </c>
      <c r="R14" s="14">
        <f>IFERROR($Q14/$P14,"")</f>
        <v/>
      </c>
    </row>
    <row r="15">
      <c r="A15" s="21" t="n">
        <v>11</v>
      </c>
      <c r="B15" s="73" t="n">
        <v>46461</v>
      </c>
      <c r="C15" s="21">
        <f>IFERROR(MONTH($B15),"")</f>
        <v/>
      </c>
      <c r="D15" s="23" t="n"/>
      <c r="E15" s="23" t="n"/>
      <c r="F15" s="23" t="n"/>
      <c r="G15" s="23" t="n"/>
      <c r="H15" s="23" t="n"/>
      <c r="I15" s="23" t="n"/>
      <c r="J15" s="14" t="n"/>
      <c r="K15" s="74">
        <f>IFERROR($J15/$I15,"")</f>
        <v/>
      </c>
      <c r="L15" s="23" t="n"/>
      <c r="N15" s="75" t="n">
        <v>11</v>
      </c>
      <c r="O15" s="23">
        <f>SUMIFS($H$5:$H$56,$C$5:$C$56,11)</f>
        <v/>
      </c>
      <c r="P15" s="23">
        <f>SUMIFS($I$5:$I$56,$C$5:$C$56,11)</f>
        <v/>
      </c>
      <c r="Q15" s="14">
        <f>SUMIFS($J$5:$J$56,$C$5:$C$56,11)</f>
        <v/>
      </c>
      <c r="R15" s="14">
        <f>IFERROR($Q15/$P15,"")</f>
        <v/>
      </c>
    </row>
    <row r="16">
      <c r="A16" s="21" t="n">
        <v>12</v>
      </c>
      <c r="B16" s="73" t="n">
        <v>46468</v>
      </c>
      <c r="C16" s="21">
        <f>IFERROR(MONTH($B16),"")</f>
        <v/>
      </c>
      <c r="D16" s="23" t="n"/>
      <c r="E16" s="23" t="n"/>
      <c r="F16" s="23" t="n"/>
      <c r="G16" s="23" t="n"/>
      <c r="H16" s="23" t="n"/>
      <c r="I16" s="23" t="n"/>
      <c r="J16" s="14" t="n"/>
      <c r="K16" s="74">
        <f>IFERROR($J16/$I16,"")</f>
        <v/>
      </c>
      <c r="L16" s="23" t="n"/>
      <c r="N16" s="75" t="n">
        <v>12</v>
      </c>
      <c r="O16" s="23">
        <f>SUMIFS($H$5:$H$56,$C$5:$C$56,12)</f>
        <v/>
      </c>
      <c r="P16" s="23">
        <f>SUMIFS($I$5:$I$56,$C$5:$C$56,12)</f>
        <v/>
      </c>
      <c r="Q16" s="14">
        <f>SUMIFS($J$5:$J$56,$C$5:$C$56,12)</f>
        <v/>
      </c>
      <c r="R16" s="14">
        <f>IFERROR($Q16/$P16,"")</f>
        <v/>
      </c>
    </row>
    <row r="17">
      <c r="A17" s="21" t="n">
        <v>13</v>
      </c>
      <c r="B17" s="73" t="n">
        <v>46475</v>
      </c>
      <c r="C17" s="21">
        <f>IFERROR(MONTH($B17),"")</f>
        <v/>
      </c>
      <c r="D17" s="23" t="n"/>
      <c r="E17" s="23" t="n"/>
      <c r="F17" s="23" t="n"/>
      <c r="G17" s="23" t="n"/>
      <c r="H17" s="23" t="n"/>
      <c r="I17" s="23" t="n"/>
      <c r="J17" s="14" t="n"/>
      <c r="K17" s="74">
        <f>IFERROR($J17/$I17,"")</f>
        <v/>
      </c>
      <c r="L17" s="23" t="n"/>
    </row>
    <row r="18">
      <c r="A18" s="21" t="n">
        <v>14</v>
      </c>
      <c r="B18" s="73" t="n">
        <v>46482</v>
      </c>
      <c r="C18" s="21">
        <f>IFERROR(MONTH($B18),"")</f>
        <v/>
      </c>
      <c r="D18" s="23" t="n"/>
      <c r="E18" s="23" t="n"/>
      <c r="F18" s="23" t="n"/>
      <c r="G18" s="23" t="n"/>
      <c r="H18" s="23" t="n"/>
      <c r="I18" s="23" t="n"/>
      <c r="J18" s="14" t="n"/>
      <c r="K18" s="74">
        <f>IFERROR($J18/$I18,"")</f>
        <v/>
      </c>
      <c r="L18" s="23" t="n"/>
    </row>
    <row r="19">
      <c r="A19" s="21" t="n">
        <v>15</v>
      </c>
      <c r="B19" s="73" t="n">
        <v>46489</v>
      </c>
      <c r="C19" s="21">
        <f>IFERROR(MONTH($B19),"")</f>
        <v/>
      </c>
      <c r="D19" s="23" t="n"/>
      <c r="E19" s="23" t="n"/>
      <c r="F19" s="23" t="n"/>
      <c r="G19" s="23" t="n"/>
      <c r="H19" s="23" t="n"/>
      <c r="I19" s="23" t="n"/>
      <c r="J19" s="14" t="n"/>
      <c r="K19" s="74">
        <f>IFERROR($J19/$I19,"")</f>
        <v/>
      </c>
      <c r="L19" s="23" t="n"/>
    </row>
    <row r="20">
      <c r="A20" s="21" t="n">
        <v>16</v>
      </c>
      <c r="B20" s="73" t="n">
        <v>46496</v>
      </c>
      <c r="C20" s="21">
        <f>IFERROR(MONTH($B20),"")</f>
        <v/>
      </c>
      <c r="D20" s="23" t="n"/>
      <c r="E20" s="23" t="n"/>
      <c r="F20" s="23" t="n"/>
      <c r="G20" s="23" t="n"/>
      <c r="H20" s="23" t="n"/>
      <c r="I20" s="23" t="n"/>
      <c r="J20" s="14" t="n"/>
      <c r="K20" s="74">
        <f>IFERROR($J20/$I20,"")</f>
        <v/>
      </c>
      <c r="L20" s="23" t="n"/>
    </row>
    <row r="21">
      <c r="A21" s="21" t="n">
        <v>17</v>
      </c>
      <c r="B21" s="73" t="n">
        <v>46503</v>
      </c>
      <c r="C21" s="21">
        <f>IFERROR(MONTH($B21),"")</f>
        <v/>
      </c>
      <c r="D21" s="23" t="n"/>
      <c r="E21" s="23" t="n"/>
      <c r="F21" s="23" t="n"/>
      <c r="G21" s="23" t="n"/>
      <c r="H21" s="23" t="n"/>
      <c r="I21" s="23" t="n"/>
      <c r="J21" s="14" t="n"/>
      <c r="K21" s="74">
        <f>IFERROR($J21/$I21,"")</f>
        <v/>
      </c>
      <c r="L21" s="23" t="n"/>
    </row>
    <row r="22">
      <c r="A22" s="21" t="n">
        <v>18</v>
      </c>
      <c r="B22" s="73" t="n">
        <v>46510</v>
      </c>
      <c r="C22" s="21">
        <f>IFERROR(MONTH($B22),"")</f>
        <v/>
      </c>
      <c r="D22" s="23" t="n"/>
      <c r="E22" s="23" t="n"/>
      <c r="F22" s="23" t="n"/>
      <c r="G22" s="23" t="n"/>
      <c r="H22" s="23" t="n"/>
      <c r="I22" s="23" t="n"/>
      <c r="J22" s="14" t="n"/>
      <c r="K22" s="74">
        <f>IFERROR($J22/$I22,"")</f>
        <v/>
      </c>
      <c r="L22" s="23" t="n"/>
    </row>
    <row r="23">
      <c r="A23" s="21" t="n">
        <v>19</v>
      </c>
      <c r="B23" s="73" t="n">
        <v>46517</v>
      </c>
      <c r="C23" s="21">
        <f>IFERROR(MONTH($B23),"")</f>
        <v/>
      </c>
      <c r="D23" s="23" t="n"/>
      <c r="E23" s="23" t="n"/>
      <c r="F23" s="23" t="n"/>
      <c r="G23" s="23" t="n"/>
      <c r="H23" s="23" t="n"/>
      <c r="I23" s="23" t="n"/>
      <c r="J23" s="14" t="n"/>
      <c r="K23" s="74">
        <f>IFERROR($J23/$I23,"")</f>
        <v/>
      </c>
      <c r="L23" s="23" t="n"/>
    </row>
    <row r="24">
      <c r="A24" s="21" t="n">
        <v>20</v>
      </c>
      <c r="B24" s="73" t="n">
        <v>46524</v>
      </c>
      <c r="C24" s="21">
        <f>IFERROR(MONTH($B24),"")</f>
        <v/>
      </c>
      <c r="D24" s="23" t="n"/>
      <c r="E24" s="23" t="n"/>
      <c r="F24" s="23" t="n"/>
      <c r="G24" s="23" t="n"/>
      <c r="H24" s="23" t="n"/>
      <c r="I24" s="23" t="n"/>
      <c r="J24" s="14" t="n"/>
      <c r="K24" s="74">
        <f>IFERROR($J24/$I24,"")</f>
        <v/>
      </c>
      <c r="L24" s="23" t="n"/>
    </row>
    <row r="25">
      <c r="A25" s="21" t="n">
        <v>21</v>
      </c>
      <c r="B25" s="73" t="n">
        <v>46531</v>
      </c>
      <c r="C25" s="21">
        <f>IFERROR(MONTH($B25),"")</f>
        <v/>
      </c>
      <c r="D25" s="23" t="n"/>
      <c r="E25" s="23" t="n"/>
      <c r="F25" s="23" t="n"/>
      <c r="G25" s="23" t="n"/>
      <c r="H25" s="23" t="n"/>
      <c r="I25" s="23" t="n"/>
      <c r="J25" s="14" t="n"/>
      <c r="K25" s="74">
        <f>IFERROR($J25/$I25,"")</f>
        <v/>
      </c>
      <c r="L25" s="23" t="n"/>
    </row>
    <row r="26">
      <c r="A26" s="21" t="n">
        <v>22</v>
      </c>
      <c r="B26" s="73" t="n">
        <v>46538</v>
      </c>
      <c r="C26" s="21">
        <f>IFERROR(MONTH($B26),"")</f>
        <v/>
      </c>
      <c r="D26" s="23" t="n"/>
      <c r="E26" s="23" t="n"/>
      <c r="F26" s="23" t="n"/>
      <c r="G26" s="23" t="n"/>
      <c r="H26" s="23" t="n"/>
      <c r="I26" s="23" t="n"/>
      <c r="J26" s="14" t="n"/>
      <c r="K26" s="74">
        <f>IFERROR($J26/$I26,"")</f>
        <v/>
      </c>
      <c r="L26" s="23" t="n"/>
    </row>
    <row r="27">
      <c r="A27" s="21" t="n">
        <v>23</v>
      </c>
      <c r="B27" s="73" t="n">
        <v>46545</v>
      </c>
      <c r="C27" s="21">
        <f>IFERROR(MONTH($B27),"")</f>
        <v/>
      </c>
      <c r="D27" s="23" t="n"/>
      <c r="E27" s="23" t="n"/>
      <c r="F27" s="23" t="n"/>
      <c r="G27" s="23" t="n"/>
      <c r="H27" s="23" t="n"/>
      <c r="I27" s="23" t="n"/>
      <c r="J27" s="14" t="n"/>
      <c r="K27" s="74">
        <f>IFERROR($J27/$I27,"")</f>
        <v/>
      </c>
      <c r="L27" s="23" t="n"/>
    </row>
    <row r="28">
      <c r="A28" s="21" t="n">
        <v>24</v>
      </c>
      <c r="B28" s="73" t="n">
        <v>46552</v>
      </c>
      <c r="C28" s="21">
        <f>IFERROR(MONTH($B28),"")</f>
        <v/>
      </c>
      <c r="D28" s="23" t="n"/>
      <c r="E28" s="23" t="n"/>
      <c r="F28" s="23" t="n"/>
      <c r="G28" s="23" t="n"/>
      <c r="H28" s="23" t="n"/>
      <c r="I28" s="23" t="n"/>
      <c r="J28" s="14" t="n"/>
      <c r="K28" s="74">
        <f>IFERROR($J28/$I28,"")</f>
        <v/>
      </c>
      <c r="L28" s="23" t="n"/>
    </row>
    <row r="29">
      <c r="A29" s="21" t="n">
        <v>25</v>
      </c>
      <c r="B29" s="73" t="n">
        <v>46559</v>
      </c>
      <c r="C29" s="21">
        <f>IFERROR(MONTH($B29),"")</f>
        <v/>
      </c>
      <c r="D29" s="23" t="n"/>
      <c r="E29" s="23" t="n"/>
      <c r="F29" s="23" t="n"/>
      <c r="G29" s="23" t="n"/>
      <c r="H29" s="23" t="n"/>
      <c r="I29" s="23" t="n"/>
      <c r="J29" s="14" t="n"/>
      <c r="K29" s="74">
        <f>IFERROR($J29/$I29,"")</f>
        <v/>
      </c>
      <c r="L29" s="23" t="n"/>
    </row>
    <row r="30">
      <c r="A30" s="21" t="n">
        <v>26</v>
      </c>
      <c r="B30" s="73" t="n">
        <v>46566</v>
      </c>
      <c r="C30" s="21">
        <f>IFERROR(MONTH($B30),"")</f>
        <v/>
      </c>
      <c r="D30" s="23" t="n"/>
      <c r="E30" s="23" t="n"/>
      <c r="F30" s="23" t="n"/>
      <c r="G30" s="23" t="n"/>
      <c r="H30" s="23" t="n"/>
      <c r="I30" s="23" t="n"/>
      <c r="J30" s="14" t="n"/>
      <c r="K30" s="74">
        <f>IFERROR($J30/$I30,"")</f>
        <v/>
      </c>
      <c r="L30" s="23" t="n"/>
    </row>
    <row r="31">
      <c r="A31" s="21" t="n">
        <v>27</v>
      </c>
      <c r="B31" s="73" t="n">
        <v>46573</v>
      </c>
      <c r="C31" s="21">
        <f>IFERROR(MONTH($B31),"")</f>
        <v/>
      </c>
      <c r="D31" s="23" t="n"/>
      <c r="E31" s="23" t="n"/>
      <c r="F31" s="23" t="n"/>
      <c r="G31" s="23" t="n"/>
      <c r="H31" s="23" t="n"/>
      <c r="I31" s="23" t="n"/>
      <c r="J31" s="14" t="n"/>
      <c r="K31" s="74">
        <f>IFERROR($J31/$I31,"")</f>
        <v/>
      </c>
      <c r="L31" s="23" t="n"/>
    </row>
    <row r="32">
      <c r="A32" s="21" t="n">
        <v>28</v>
      </c>
      <c r="B32" s="73" t="n">
        <v>46580</v>
      </c>
      <c r="C32" s="21">
        <f>IFERROR(MONTH($B32),"")</f>
        <v/>
      </c>
      <c r="D32" s="23" t="n"/>
      <c r="E32" s="23" t="n"/>
      <c r="F32" s="23" t="n"/>
      <c r="G32" s="23" t="n"/>
      <c r="H32" s="23" t="n"/>
      <c r="I32" s="23" t="n"/>
      <c r="J32" s="14" t="n"/>
      <c r="K32" s="74">
        <f>IFERROR($J32/$I32,"")</f>
        <v/>
      </c>
      <c r="L32" s="23" t="n"/>
    </row>
    <row r="33">
      <c r="A33" s="21" t="n">
        <v>29</v>
      </c>
      <c r="B33" s="73" t="n">
        <v>46587</v>
      </c>
      <c r="C33" s="21">
        <f>IFERROR(MONTH($B33),"")</f>
        <v/>
      </c>
      <c r="D33" s="23" t="n"/>
      <c r="E33" s="23" t="n"/>
      <c r="F33" s="23" t="n"/>
      <c r="G33" s="23" t="n"/>
      <c r="H33" s="23" t="n"/>
      <c r="I33" s="23" t="n"/>
      <c r="J33" s="14" t="n"/>
      <c r="K33" s="74">
        <f>IFERROR($J33/$I33,"")</f>
        <v/>
      </c>
      <c r="L33" s="23" t="n"/>
    </row>
    <row r="34">
      <c r="A34" s="21" t="n">
        <v>30</v>
      </c>
      <c r="B34" s="73" t="n">
        <v>46594</v>
      </c>
      <c r="C34" s="21">
        <f>IFERROR(MONTH($B34),"")</f>
        <v/>
      </c>
      <c r="D34" s="23" t="n"/>
      <c r="E34" s="23" t="n"/>
      <c r="F34" s="23" t="n"/>
      <c r="G34" s="23" t="n"/>
      <c r="H34" s="23" t="n"/>
      <c r="I34" s="23" t="n"/>
      <c r="J34" s="14" t="n"/>
      <c r="K34" s="74">
        <f>IFERROR($J34/$I34,"")</f>
        <v/>
      </c>
      <c r="L34" s="23" t="n"/>
    </row>
    <row r="35">
      <c r="A35" s="21" t="n">
        <v>31</v>
      </c>
      <c r="B35" s="73" t="n">
        <v>46601</v>
      </c>
      <c r="C35" s="21">
        <f>IFERROR(MONTH($B35),"")</f>
        <v/>
      </c>
      <c r="D35" s="23" t="n"/>
      <c r="E35" s="23" t="n"/>
      <c r="F35" s="23" t="n"/>
      <c r="G35" s="23" t="n"/>
      <c r="H35" s="23" t="n"/>
      <c r="I35" s="23" t="n"/>
      <c r="J35" s="14" t="n"/>
      <c r="K35" s="74">
        <f>IFERROR($J35/$I35,"")</f>
        <v/>
      </c>
      <c r="L35" s="23" t="n"/>
    </row>
    <row r="36">
      <c r="A36" s="21" t="n">
        <v>32</v>
      </c>
      <c r="B36" s="73" t="n">
        <v>46608</v>
      </c>
      <c r="C36" s="21">
        <f>IFERROR(MONTH($B36),"")</f>
        <v/>
      </c>
      <c r="D36" s="23" t="n"/>
      <c r="E36" s="23" t="n"/>
      <c r="F36" s="23" t="n"/>
      <c r="G36" s="23" t="n"/>
      <c r="H36" s="23" t="n"/>
      <c r="I36" s="23" t="n"/>
      <c r="J36" s="14" t="n"/>
      <c r="K36" s="74">
        <f>IFERROR($J36/$I36,"")</f>
        <v/>
      </c>
      <c r="L36" s="23" t="n"/>
    </row>
    <row r="37">
      <c r="A37" s="21" t="n">
        <v>33</v>
      </c>
      <c r="B37" s="73" t="n">
        <v>46615</v>
      </c>
      <c r="C37" s="21">
        <f>IFERROR(MONTH($B37),"")</f>
        <v/>
      </c>
      <c r="D37" s="23" t="n"/>
      <c r="E37" s="23" t="n"/>
      <c r="F37" s="23" t="n"/>
      <c r="G37" s="23" t="n"/>
      <c r="H37" s="23" t="n"/>
      <c r="I37" s="23" t="n"/>
      <c r="J37" s="14" t="n"/>
      <c r="K37" s="74">
        <f>IFERROR($J37/$I37,"")</f>
        <v/>
      </c>
      <c r="L37" s="23" t="n"/>
    </row>
    <row r="38">
      <c r="A38" s="21" t="n">
        <v>34</v>
      </c>
      <c r="B38" s="73" t="n">
        <v>46622</v>
      </c>
      <c r="C38" s="21">
        <f>IFERROR(MONTH($B38),"")</f>
        <v/>
      </c>
      <c r="D38" s="23" t="n"/>
      <c r="E38" s="23" t="n"/>
      <c r="F38" s="23" t="n"/>
      <c r="G38" s="23" t="n"/>
      <c r="H38" s="23" t="n"/>
      <c r="I38" s="23" t="n"/>
      <c r="J38" s="14" t="n"/>
      <c r="K38" s="74">
        <f>IFERROR($J38/$I38,"")</f>
        <v/>
      </c>
      <c r="L38" s="23" t="n"/>
    </row>
    <row r="39">
      <c r="A39" s="21" t="n">
        <v>35</v>
      </c>
      <c r="B39" s="73" t="n">
        <v>46629</v>
      </c>
      <c r="C39" s="21">
        <f>IFERROR(MONTH($B39),"")</f>
        <v/>
      </c>
      <c r="D39" s="23" t="n"/>
      <c r="E39" s="23" t="n"/>
      <c r="F39" s="23" t="n"/>
      <c r="G39" s="23" t="n"/>
      <c r="H39" s="23" t="n"/>
      <c r="I39" s="23" t="n"/>
      <c r="J39" s="14" t="n"/>
      <c r="K39" s="74">
        <f>IFERROR($J39/$I39,"")</f>
        <v/>
      </c>
      <c r="L39" s="23" t="n"/>
    </row>
    <row r="40">
      <c r="A40" s="21" t="n">
        <v>36</v>
      </c>
      <c r="B40" s="73" t="n">
        <v>46636</v>
      </c>
      <c r="C40" s="21">
        <f>IFERROR(MONTH($B40),"")</f>
        <v/>
      </c>
      <c r="D40" s="23" t="n"/>
      <c r="E40" s="23" t="n"/>
      <c r="F40" s="23" t="n"/>
      <c r="G40" s="23" t="n"/>
      <c r="H40" s="23" t="n"/>
      <c r="I40" s="23" t="n"/>
      <c r="J40" s="14" t="n"/>
      <c r="K40" s="74">
        <f>IFERROR($J40/$I40,"")</f>
        <v/>
      </c>
      <c r="L40" s="23" t="n"/>
    </row>
    <row r="41">
      <c r="A41" s="21" t="n">
        <v>37</v>
      </c>
      <c r="B41" s="73" t="n">
        <v>46643</v>
      </c>
      <c r="C41" s="21">
        <f>IFERROR(MONTH($B41),"")</f>
        <v/>
      </c>
      <c r="D41" s="23" t="n"/>
      <c r="E41" s="23" t="n"/>
      <c r="F41" s="23" t="n"/>
      <c r="G41" s="23" t="n"/>
      <c r="H41" s="23" t="n"/>
      <c r="I41" s="23" t="n"/>
      <c r="J41" s="14" t="n"/>
      <c r="K41" s="74">
        <f>IFERROR($J41/$I41,"")</f>
        <v/>
      </c>
      <c r="L41" s="23" t="n"/>
    </row>
    <row r="42">
      <c r="A42" s="21" t="n">
        <v>38</v>
      </c>
      <c r="B42" s="73" t="n">
        <v>46650</v>
      </c>
      <c r="C42" s="21">
        <f>IFERROR(MONTH($B42),"")</f>
        <v/>
      </c>
      <c r="D42" s="23" t="n"/>
      <c r="E42" s="23" t="n"/>
      <c r="F42" s="23" t="n"/>
      <c r="G42" s="23" t="n"/>
      <c r="H42" s="23" t="n"/>
      <c r="I42" s="23" t="n"/>
      <c r="J42" s="14" t="n"/>
      <c r="K42" s="74">
        <f>IFERROR($J42/$I42,"")</f>
        <v/>
      </c>
      <c r="L42" s="23" t="n"/>
    </row>
    <row r="43">
      <c r="A43" s="21" t="n">
        <v>39</v>
      </c>
      <c r="B43" s="73" t="n">
        <v>46657</v>
      </c>
      <c r="C43" s="21">
        <f>IFERROR(MONTH($B43),"")</f>
        <v/>
      </c>
      <c r="D43" s="23" t="n"/>
      <c r="E43" s="23" t="n"/>
      <c r="F43" s="23" t="n"/>
      <c r="G43" s="23" t="n"/>
      <c r="H43" s="23" t="n"/>
      <c r="I43" s="23" t="n"/>
      <c r="J43" s="14" t="n"/>
      <c r="K43" s="74">
        <f>IFERROR($J43/$I43,"")</f>
        <v/>
      </c>
      <c r="L43" s="23" t="n"/>
    </row>
    <row r="44">
      <c r="A44" s="21" t="n">
        <v>40</v>
      </c>
      <c r="B44" s="73" t="n">
        <v>46664</v>
      </c>
      <c r="C44" s="21">
        <f>IFERROR(MONTH($B44),"")</f>
        <v/>
      </c>
      <c r="D44" s="23" t="n"/>
      <c r="E44" s="23" t="n"/>
      <c r="F44" s="23" t="n"/>
      <c r="G44" s="23" t="n"/>
      <c r="H44" s="23" t="n"/>
      <c r="I44" s="23" t="n"/>
      <c r="J44" s="14" t="n"/>
      <c r="K44" s="74">
        <f>IFERROR($J44/$I44,"")</f>
        <v/>
      </c>
      <c r="L44" s="23" t="n"/>
    </row>
    <row r="45">
      <c r="A45" s="21" t="n">
        <v>41</v>
      </c>
      <c r="B45" s="73" t="n">
        <v>46671</v>
      </c>
      <c r="C45" s="21">
        <f>IFERROR(MONTH($B45),"")</f>
        <v/>
      </c>
      <c r="D45" s="23" t="n"/>
      <c r="E45" s="23" t="n"/>
      <c r="F45" s="23" t="n"/>
      <c r="G45" s="23" t="n"/>
      <c r="H45" s="23" t="n"/>
      <c r="I45" s="23" t="n"/>
      <c r="J45" s="14" t="n"/>
      <c r="K45" s="74">
        <f>IFERROR($J45/$I45,"")</f>
        <v/>
      </c>
      <c r="L45" s="23" t="n"/>
    </row>
    <row r="46">
      <c r="A46" s="21" t="n">
        <v>42</v>
      </c>
      <c r="B46" s="73" t="n">
        <v>46678</v>
      </c>
      <c r="C46" s="21">
        <f>IFERROR(MONTH($B46),"")</f>
        <v/>
      </c>
      <c r="D46" s="23" t="n"/>
      <c r="E46" s="23" t="n"/>
      <c r="F46" s="23" t="n"/>
      <c r="G46" s="23" t="n"/>
      <c r="H46" s="23" t="n"/>
      <c r="I46" s="23" t="n"/>
      <c r="J46" s="14" t="n"/>
      <c r="K46" s="74">
        <f>IFERROR($J46/$I46,"")</f>
        <v/>
      </c>
      <c r="L46" s="23" t="n"/>
    </row>
    <row r="47">
      <c r="A47" s="21" t="n">
        <v>43</v>
      </c>
      <c r="B47" s="73" t="n">
        <v>46685</v>
      </c>
      <c r="C47" s="21">
        <f>IFERROR(MONTH($B47),"")</f>
        <v/>
      </c>
      <c r="D47" s="23" t="n"/>
      <c r="E47" s="23" t="n"/>
      <c r="F47" s="23" t="n"/>
      <c r="G47" s="23" t="n"/>
      <c r="H47" s="23" t="n"/>
      <c r="I47" s="23" t="n"/>
      <c r="J47" s="14" t="n"/>
      <c r="K47" s="74">
        <f>IFERROR($J47/$I47,"")</f>
        <v/>
      </c>
      <c r="L47" s="23" t="n"/>
    </row>
    <row r="48">
      <c r="A48" s="21" t="n">
        <v>44</v>
      </c>
      <c r="B48" s="73" t="n">
        <v>46692</v>
      </c>
      <c r="C48" s="21">
        <f>IFERROR(MONTH($B48),"")</f>
        <v/>
      </c>
      <c r="D48" s="23" t="n"/>
      <c r="E48" s="23" t="n"/>
      <c r="F48" s="23" t="n"/>
      <c r="G48" s="23" t="n"/>
      <c r="H48" s="23" t="n"/>
      <c r="I48" s="23" t="n"/>
      <c r="J48" s="14" t="n"/>
      <c r="K48" s="74">
        <f>IFERROR($J48/$I48,"")</f>
        <v/>
      </c>
      <c r="L48" s="23" t="n"/>
    </row>
    <row r="49">
      <c r="A49" s="21" t="n">
        <v>45</v>
      </c>
      <c r="B49" s="73" t="n">
        <v>46699</v>
      </c>
      <c r="C49" s="21">
        <f>IFERROR(MONTH($B49),"")</f>
        <v/>
      </c>
      <c r="D49" s="23" t="n"/>
      <c r="E49" s="23" t="n"/>
      <c r="F49" s="23" t="n"/>
      <c r="G49" s="23" t="n"/>
      <c r="H49" s="23" t="n"/>
      <c r="I49" s="23" t="n"/>
      <c r="J49" s="14" t="n"/>
      <c r="K49" s="74">
        <f>IFERROR($J49/$I49,"")</f>
        <v/>
      </c>
      <c r="L49" s="23" t="n"/>
    </row>
    <row r="50">
      <c r="A50" s="21" t="n">
        <v>46</v>
      </c>
      <c r="B50" s="73" t="n">
        <v>46706</v>
      </c>
      <c r="C50" s="21">
        <f>IFERROR(MONTH($B50),"")</f>
        <v/>
      </c>
      <c r="D50" s="23" t="n"/>
      <c r="E50" s="23" t="n"/>
      <c r="F50" s="23" t="n"/>
      <c r="G50" s="23" t="n"/>
      <c r="H50" s="23" t="n"/>
      <c r="I50" s="23" t="n"/>
      <c r="J50" s="14" t="n"/>
      <c r="K50" s="74">
        <f>IFERROR($J50/$I50,"")</f>
        <v/>
      </c>
      <c r="L50" s="23" t="n"/>
    </row>
    <row r="51">
      <c r="A51" s="21" t="n">
        <v>47</v>
      </c>
      <c r="B51" s="73" t="n">
        <v>46713</v>
      </c>
      <c r="C51" s="21">
        <f>IFERROR(MONTH($B51),"")</f>
        <v/>
      </c>
      <c r="D51" s="23" t="n"/>
      <c r="E51" s="23" t="n"/>
      <c r="F51" s="23" t="n"/>
      <c r="G51" s="23" t="n"/>
      <c r="H51" s="23" t="n"/>
      <c r="I51" s="23" t="n"/>
      <c r="J51" s="14" t="n"/>
      <c r="K51" s="74">
        <f>IFERROR($J51/$I51,"")</f>
        <v/>
      </c>
      <c r="L51" s="23" t="n"/>
    </row>
    <row r="52">
      <c r="A52" s="21" t="n">
        <v>48</v>
      </c>
      <c r="B52" s="73" t="n">
        <v>46720</v>
      </c>
      <c r="C52" s="21">
        <f>IFERROR(MONTH($B52),"")</f>
        <v/>
      </c>
      <c r="D52" s="23" t="n"/>
      <c r="E52" s="23" t="n"/>
      <c r="F52" s="23" t="n"/>
      <c r="G52" s="23" t="n"/>
      <c r="H52" s="23" t="n"/>
      <c r="I52" s="23" t="n"/>
      <c r="J52" s="14" t="n"/>
      <c r="K52" s="74">
        <f>IFERROR($J52/$I52,"")</f>
        <v/>
      </c>
      <c r="L52" s="23" t="n"/>
    </row>
    <row r="53">
      <c r="A53" s="21" t="n">
        <v>49</v>
      </c>
      <c r="B53" s="73" t="n">
        <v>46727</v>
      </c>
      <c r="C53" s="21">
        <f>IFERROR(MONTH($B53),"")</f>
        <v/>
      </c>
      <c r="D53" s="23" t="n"/>
      <c r="E53" s="23" t="n"/>
      <c r="F53" s="23" t="n"/>
      <c r="G53" s="23" t="n"/>
      <c r="H53" s="23" t="n"/>
      <c r="I53" s="23" t="n"/>
      <c r="J53" s="14" t="n"/>
      <c r="K53" s="74">
        <f>IFERROR($J53/$I53,"")</f>
        <v/>
      </c>
      <c r="L53" s="23" t="n"/>
    </row>
    <row r="54">
      <c r="A54" s="21" t="n">
        <v>50</v>
      </c>
      <c r="B54" s="73" t="n">
        <v>46734</v>
      </c>
      <c r="C54" s="21">
        <f>IFERROR(MONTH($B54),"")</f>
        <v/>
      </c>
      <c r="D54" s="23" t="n"/>
      <c r="E54" s="23" t="n"/>
      <c r="F54" s="23" t="n"/>
      <c r="G54" s="23" t="n"/>
      <c r="H54" s="23" t="n"/>
      <c r="I54" s="23" t="n"/>
      <c r="J54" s="14" t="n"/>
      <c r="K54" s="74">
        <f>IFERROR($J54/$I54,"")</f>
        <v/>
      </c>
      <c r="L54" s="23" t="n"/>
    </row>
    <row r="55">
      <c r="A55" s="21" t="n">
        <v>51</v>
      </c>
      <c r="B55" s="73" t="n">
        <v>46741</v>
      </c>
      <c r="C55" s="21">
        <f>IFERROR(MONTH($B55),"")</f>
        <v/>
      </c>
      <c r="D55" s="23" t="n"/>
      <c r="E55" s="23" t="n"/>
      <c r="F55" s="23" t="n"/>
      <c r="G55" s="23" t="n"/>
      <c r="H55" s="23" t="n"/>
      <c r="I55" s="23" t="n"/>
      <c r="J55" s="14" t="n"/>
      <c r="K55" s="74">
        <f>IFERROR($J55/$I55,"")</f>
        <v/>
      </c>
      <c r="L55" s="23" t="n"/>
    </row>
    <row r="56">
      <c r="A56" s="21" t="n">
        <v>52</v>
      </c>
      <c r="B56" s="73" t="n">
        <v>46748</v>
      </c>
      <c r="C56" s="21">
        <f>IFERROR(MONTH($B56),"")</f>
        <v/>
      </c>
      <c r="D56" s="23" t="n"/>
      <c r="E56" s="23" t="n"/>
      <c r="F56" s="23" t="n"/>
      <c r="G56" s="23" t="n"/>
      <c r="H56" s="23" t="n"/>
      <c r="I56" s="23" t="n"/>
      <c r="J56" s="14" t="n"/>
      <c r="K56" s="74">
        <f>IFERROR($J56/$I56,"")</f>
        <v/>
      </c>
      <c r="L56" s="23" t="n"/>
    </row>
  </sheetData>
  <conditionalFormatting sqref="K5:K56">
    <cfRule type="cellIs" priority="1" operator="greaterThan" dxfId="0">
      <formula>9500</formula>
    </cfRule>
    <cfRule type="cellIs" priority="2" operator="between" dxfId="1">
      <formula>1</formula>
      <formula>9500</formula>
    </cfRule>
  </conditionalFormatting>
  <conditionalFormatting sqref="R5:R16">
    <cfRule type="cellIs" priority="3" operator="greaterThan" dxfId="0">
      <formula>9500</formula>
    </cfRule>
  </conditionalFormatting>
  <pageMargins left="0.75" right="0.75" top="1" bottom="1" header="0.5" footer="0.5"/>
</worksheet>
</file>

<file path=xl/worksheets/sheet30.xml><?xml version="1.0" encoding="utf-8"?>
<worksheet xmlns="http://schemas.openxmlformats.org/spreadsheetml/2006/main">
  <sheetPr>
    <tabColor rgb="00ED7D31"/>
    <outlinePr summaryBelow="1" summaryRight="1"/>
    <pageSetUpPr/>
  </sheetPr>
  <dimension ref="A1:M17"/>
  <sheetViews>
    <sheetView workbookViewId="0">
      <selection activeCell="A1" sqref="A1"/>
    </sheetView>
  </sheetViews>
  <sheetFormatPr baseColWidth="8" defaultRowHeight="15"/>
  <cols>
    <col width="8" customWidth="1" min="1" max="1"/>
    <col width="16" customWidth="1" min="2" max="2"/>
    <col width="12" customWidth="1" min="3" max="3"/>
    <col width="12" customWidth="1" min="4" max="4"/>
    <col width="12" customWidth="1" min="5" max="5"/>
    <col width="12" customWidth="1" min="6" max="6"/>
    <col width="18" customWidth="1" min="7" max="7"/>
    <col width="30" customWidth="1" min="8" max="8"/>
    <col width="40" customWidth="1" min="9" max="9"/>
    <col width="16" customWidth="1" min="11" max="11"/>
    <col width="14" customWidth="1" min="12" max="12"/>
    <col width="56" customWidth="1" min="13" max="13"/>
  </cols>
  <sheetData>
    <row r="1" ht="22" customHeight="1">
      <c r="A1" s="1" t="inlineStr">
        <is>
          <t>広告 段管理 — 小さく試して、成果が出たら加速する</t>
        </is>
      </c>
    </row>
    <row r="2">
      <c r="A2" s="2" t="inlineStr">
        <is>
          <t>年額を先に決めない。段と、次の段へ上がる条件を先に決める（docs/2027-数値目標.md §5）。</t>
        </is>
      </c>
    </row>
    <row r="3">
      <c r="K3" s="11" t="inlineStr">
        <is>
          <t>▼ 段の定義とルール</t>
        </is>
      </c>
    </row>
    <row r="4" ht="30" customHeight="1">
      <c r="A4" s="3" t="inlineStr">
        <is>
          <t>月</t>
        </is>
      </c>
      <c r="B4" s="3" t="inlineStr">
        <is>
          <t>段</t>
        </is>
      </c>
      <c r="C4" s="3" t="inlineStr">
        <is>
          <t>予算(円)</t>
        </is>
      </c>
      <c r="D4" s="3" t="inlineStr">
        <is>
          <t>実績(円)</t>
        </is>
      </c>
      <c r="E4" s="3" t="inlineStr">
        <is>
          <t>獲得件数</t>
        </is>
      </c>
      <c r="F4" s="3" t="inlineStr">
        <is>
          <t>CPA(自動)</t>
        </is>
      </c>
      <c r="G4" s="3" t="inlineStr">
        <is>
          <t>判定</t>
        </is>
      </c>
      <c r="H4" s="3" t="inlineStr">
        <is>
          <t>判定の目安(自動)</t>
        </is>
      </c>
      <c r="I4" s="3" t="inlineStr">
        <is>
          <t>メモ</t>
        </is>
      </c>
      <c r="K4" s="3" t="inlineStr">
        <is>
          <t>段／ルール</t>
        </is>
      </c>
      <c r="L4" s="3" t="inlineStr">
        <is>
          <t>金額</t>
        </is>
      </c>
      <c r="M4" s="3" t="inlineStr">
        <is>
          <t>内容</t>
        </is>
      </c>
    </row>
    <row r="5">
      <c r="A5" s="75" t="n">
        <v>1</v>
      </c>
      <c r="B5" s="23" t="inlineStr">
        <is>
          <t>段0（テスト）</t>
        </is>
      </c>
      <c r="C5" s="71" t="n">
        <v>50000</v>
      </c>
      <c r="D5" s="14" t="n"/>
      <c r="E5" s="23" t="n"/>
      <c r="F5" s="74">
        <f>IFERROR($D5/$E5,"")</f>
        <v/>
      </c>
      <c r="G5" s="23" t="inlineStr">
        <is>
          <t>未判定</t>
        </is>
      </c>
      <c r="H5" s="76">
        <f>IF($E5=0,"データなし",IF($F5&gt;9500,"止める（CPA超過）","この月はクリア"))</f>
        <v/>
      </c>
      <c r="I5" s="23" t="n"/>
      <c r="K5" s="13" t="inlineStr">
        <is>
          <t>段0（テスト）</t>
        </is>
      </c>
      <c r="L5" t="inlineStr">
        <is>
          <t>月5万</t>
        </is>
      </c>
      <c r="M5" s="51" t="inlineStr">
        <is>
          <t>1〜2月に実施。ここは無条件で出す</t>
        </is>
      </c>
    </row>
    <row r="6">
      <c r="A6" s="75" t="n">
        <v>2</v>
      </c>
      <c r="B6" s="23" t="inlineStr">
        <is>
          <t>段0（テスト）</t>
        </is>
      </c>
      <c r="C6" s="71" t="n">
        <v>50000</v>
      </c>
      <c r="D6" s="14" t="n"/>
      <c r="E6" s="23" t="n"/>
      <c r="F6" s="74">
        <f>IFERROR($D6/$E6,"")</f>
        <v/>
      </c>
      <c r="G6" s="23" t="inlineStr">
        <is>
          <t>未判定</t>
        </is>
      </c>
      <c r="H6" s="76">
        <f>IF($E6=0,"データなし",IF($F6&gt;9500,"止める（CPA超過）","この月はクリア"))</f>
        <v/>
      </c>
      <c r="I6" s="23" t="n"/>
      <c r="K6" s="13" t="inlineStr">
        <is>
          <t>段1</t>
        </is>
      </c>
      <c r="L6" t="inlineStr">
        <is>
          <t>月6〜10万</t>
        </is>
      </c>
      <c r="M6" s="51" t="inlineStr">
        <is>
          <t>段0でCPA 9,500円以下なら上がる</t>
        </is>
      </c>
    </row>
    <row r="7">
      <c r="A7" s="75" t="n">
        <v>3</v>
      </c>
      <c r="B7" s="23" t="inlineStr">
        <is>
          <t>段1</t>
        </is>
      </c>
      <c r="C7" s="71" t="n">
        <v>60000</v>
      </c>
      <c r="D7" s="14" t="n"/>
      <c r="E7" s="23" t="n"/>
      <c r="F7" s="74">
        <f>IFERROR($D7/$E7,"")</f>
        <v/>
      </c>
      <c r="G7" s="23" t="inlineStr">
        <is>
          <t>未判定</t>
        </is>
      </c>
      <c r="H7" s="76">
        <f>IF($E7=0,"データなし",IF($F7&gt;9500,"止める（CPA超過）","この月はクリア"))</f>
        <v/>
      </c>
      <c r="I7" s="23" t="n"/>
      <c r="K7" s="13" t="inlineStr">
        <is>
          <t>段2（繁忙期）</t>
        </is>
      </c>
      <c r="L7" t="inlineStr">
        <is>
          <t>月12〜15万</t>
        </is>
      </c>
      <c r="M7" s="51" t="inlineStr">
        <is>
          <t>段1を2か月連続クリア。5〜7月に当てる</t>
        </is>
      </c>
    </row>
    <row r="8">
      <c r="A8" s="75" t="n">
        <v>4</v>
      </c>
      <c r="B8" s="23" t="inlineStr">
        <is>
          <t>段1</t>
        </is>
      </c>
      <c r="C8" s="71" t="n">
        <v>60000</v>
      </c>
      <c r="D8" s="14" t="n"/>
      <c r="E8" s="23" t="n"/>
      <c r="F8" s="74">
        <f>IFERROR($D8/$E8,"")</f>
        <v/>
      </c>
      <c r="G8" s="23" t="inlineStr">
        <is>
          <t>未判定</t>
        </is>
      </c>
      <c r="H8" s="76">
        <f>IF($E8=0,"データなし",IF($F8&gt;9500,"止める（CPA超過）","この月はクリア"))</f>
        <v/>
      </c>
      <c r="I8" s="23" t="n"/>
      <c r="K8" s="13" t="inlineStr">
        <is>
          <t>段3（年末）</t>
        </is>
      </c>
      <c r="L8" t="inlineStr">
        <is>
          <t>月7〜10万</t>
        </is>
      </c>
      <c r="M8" s="51" t="inlineStr">
        <is>
          <t>段2をクリア。10〜11月に当てる</t>
        </is>
      </c>
    </row>
    <row r="9">
      <c r="A9" s="75" t="n">
        <v>5</v>
      </c>
      <c r="B9" s="23" t="inlineStr">
        <is>
          <t>段2（繁忙期）</t>
        </is>
      </c>
      <c r="C9" s="71" t="n">
        <v>120000</v>
      </c>
      <c r="D9" s="14" t="n"/>
      <c r="E9" s="23" t="n"/>
      <c r="F9" s="74">
        <f>IFERROR($D9/$E9,"")</f>
        <v/>
      </c>
      <c r="G9" s="23" t="inlineStr">
        <is>
          <t>未判定</t>
        </is>
      </c>
      <c r="H9" s="76">
        <f>IF($E9=0,"データなし",IF($F9&gt;9500,"止める（CPA超過）","この月はクリア"))</f>
        <v/>
      </c>
      <c r="I9" s="23" t="n"/>
      <c r="K9" s="13" t="inlineStr"/>
      <c r="L9" t="inlineStr"/>
      <c r="M9" s="51" t="inlineStr"/>
    </row>
    <row r="10">
      <c r="A10" s="75" t="n">
        <v>6</v>
      </c>
      <c r="B10" s="23" t="inlineStr">
        <is>
          <t>段2（繁忙期）</t>
        </is>
      </c>
      <c r="C10" s="71" t="n">
        <v>120000</v>
      </c>
      <c r="D10" s="14" t="n"/>
      <c r="E10" s="23" t="n"/>
      <c r="F10" s="74">
        <f>IFERROR($D10/$E10,"")</f>
        <v/>
      </c>
      <c r="G10" s="23" t="inlineStr">
        <is>
          <t>未判定</t>
        </is>
      </c>
      <c r="H10" s="76">
        <f>IF($E10=0,"データなし",IF($F10&gt;9500,"止める（CPA超過）","この月はクリア"))</f>
        <v/>
      </c>
      <c r="I10" s="23" t="n"/>
      <c r="K10" s="13" t="inlineStr">
        <is>
          <t>上限</t>
        </is>
      </c>
      <c r="L10" t="inlineStr">
        <is>
          <t>CPA 9,500円</t>
        </is>
      </c>
      <c r="M10" s="51" t="inlineStr">
        <is>
          <t>マッチングPFに払っている実質手数料と同額</t>
        </is>
      </c>
    </row>
    <row r="11">
      <c r="A11" s="75" t="n">
        <v>7</v>
      </c>
      <c r="B11" s="23" t="inlineStr">
        <is>
          <t>段2（繁忙期）</t>
        </is>
      </c>
      <c r="C11" s="71" t="n">
        <v>120000</v>
      </c>
      <c r="D11" s="14" t="n"/>
      <c r="E11" s="23" t="n"/>
      <c r="F11" s="74">
        <f>IFERROR($D11/$E11,"")</f>
        <v/>
      </c>
      <c r="G11" s="23" t="inlineStr">
        <is>
          <t>未判定</t>
        </is>
      </c>
      <c r="H11" s="76">
        <f>IF($E11=0,"データなし",IF($F11&gt;9500,"止める（CPA超過）","この月はクリア"))</f>
        <v/>
      </c>
      <c r="I11" s="23" t="n"/>
      <c r="K11" s="13" t="inlineStr">
        <is>
          <t>止める条件</t>
        </is>
      </c>
      <c r="L11" t="inlineStr"/>
      <c r="M11" s="51" t="inlineStr">
        <is>
          <t>月次でCPAが9,500円を超えたら、その月で止める。次の段へ上がらない</t>
        </is>
      </c>
    </row>
    <row r="12">
      <c r="A12" s="75" t="n">
        <v>8</v>
      </c>
      <c r="B12" s="23" t="inlineStr">
        <is>
          <t>段1</t>
        </is>
      </c>
      <c r="C12" s="71" t="n">
        <v>30000</v>
      </c>
      <c r="D12" s="14" t="n"/>
      <c r="E12" s="23" t="n"/>
      <c r="F12" s="74">
        <f>IFERROR($D12/$E12,"")</f>
        <v/>
      </c>
      <c r="G12" s="23" t="inlineStr">
        <is>
          <t>未判定</t>
        </is>
      </c>
      <c r="H12" s="76">
        <f>IF($E12=0,"データなし",IF($F12&gt;9500,"止める（CPA超過）","この月はクリア"))</f>
        <v/>
      </c>
      <c r="I12" s="23" t="n"/>
      <c r="K12" s="13" t="inlineStr">
        <is>
          <t>上げる条件</t>
        </is>
      </c>
      <c r="L12" t="inlineStr"/>
      <c r="M12" s="51" t="inlineStr">
        <is>
          <t>2か月連続でCPA 9,500円以下、かつ受注が実際に付いている</t>
        </is>
      </c>
    </row>
    <row r="13">
      <c r="A13" s="75" t="n">
        <v>9</v>
      </c>
      <c r="B13" s="23" t="inlineStr">
        <is>
          <t>段1</t>
        </is>
      </c>
      <c r="C13" s="71" t="n">
        <v>30000</v>
      </c>
      <c r="D13" s="14" t="n"/>
      <c r="E13" s="23" t="n"/>
      <c r="F13" s="74">
        <f>IFERROR($D13/$E13,"")</f>
        <v/>
      </c>
      <c r="G13" s="23" t="inlineStr">
        <is>
          <t>未判定</t>
        </is>
      </c>
      <c r="H13" s="76">
        <f>IF($E13=0,"データなし",IF($F13&gt;9500,"止める（CPA超過）","この月はクリア"))</f>
        <v/>
      </c>
      <c r="I13" s="23" t="n"/>
      <c r="K13" s="13" t="inlineStr">
        <is>
          <t>使わない</t>
        </is>
      </c>
      <c r="L13" t="inlineStr"/>
      <c r="M13" s="51" t="inlineStr">
        <is>
          <t>Facebook広告は再開しない（CPC95.39円で撃沈済み）。チラシ単独配布もしない</t>
        </is>
      </c>
    </row>
    <row r="14">
      <c r="A14" s="75" t="n">
        <v>10</v>
      </c>
      <c r="B14" s="23" t="inlineStr">
        <is>
          <t>段3（年末）</t>
        </is>
      </c>
      <c r="C14" s="71" t="n">
        <v>70000</v>
      </c>
      <c r="D14" s="14" t="n"/>
      <c r="E14" s="23" t="n"/>
      <c r="F14" s="74">
        <f>IFERROR($D14/$E14,"")</f>
        <v/>
      </c>
      <c r="G14" s="23" t="inlineStr">
        <is>
          <t>未判定</t>
        </is>
      </c>
      <c r="H14" s="76">
        <f>IF($E14=0,"データなし",IF($F14&gt;9500,"止める（CPA超過）","この月はクリア"))</f>
        <v/>
      </c>
      <c r="I14" s="23" t="n"/>
      <c r="K14" s="13" t="inlineStr">
        <is>
          <t>出さない</t>
        </is>
      </c>
      <c r="L14" t="inlineStr"/>
      <c r="M14" s="51" t="inlineStr">
        <is>
          <t>レントラックスとの関係上、指名検索への出稿はしない</t>
        </is>
      </c>
    </row>
    <row r="15">
      <c r="A15" s="75" t="n">
        <v>11</v>
      </c>
      <c r="B15" s="23" t="inlineStr">
        <is>
          <t>段3（年末）</t>
        </is>
      </c>
      <c r="C15" s="71" t="n">
        <v>70000</v>
      </c>
      <c r="D15" s="14" t="n"/>
      <c r="E15" s="23" t="n"/>
      <c r="F15" s="74">
        <f>IFERROR($D15/$E15,"")</f>
        <v/>
      </c>
      <c r="G15" s="23" t="inlineStr">
        <is>
          <t>未判定</t>
        </is>
      </c>
      <c r="H15" s="76">
        <f>IF($E15=0,"データなし",IF($F15&gt;9500,"止める（CPA超過）","この月はクリア"))</f>
        <v/>
      </c>
      <c r="I15" s="23" t="n"/>
    </row>
    <row r="16">
      <c r="A16" s="75" t="n">
        <v>12</v>
      </c>
      <c r="B16" s="23" t="inlineStr">
        <is>
          <t>段1</t>
        </is>
      </c>
      <c r="C16" s="71" t="n">
        <v>20000</v>
      </c>
      <c r="D16" s="14" t="n"/>
      <c r="E16" s="23" t="n"/>
      <c r="F16" s="74">
        <f>IFERROR($D16/$E16,"")</f>
        <v/>
      </c>
      <c r="G16" s="23" t="inlineStr">
        <is>
          <t>未判定</t>
        </is>
      </c>
      <c r="H16" s="76">
        <f>IF($E16=0,"データなし",IF($F16&gt;9500,"止める（CPA超過）","この月はクリア"))</f>
        <v/>
      </c>
      <c r="I16" s="23" t="n"/>
    </row>
    <row r="17">
      <c r="A17" s="13" t="inlineStr">
        <is>
          <t>年計</t>
        </is>
      </c>
      <c r="B17" s="13" t="n"/>
      <c r="C17" s="54">
        <f>SUM(C5:C16)</f>
        <v/>
      </c>
      <c r="D17" s="54">
        <f>SUM(D5:D16)</f>
        <v/>
      </c>
      <c r="E17" s="13">
        <f>SUM(E5:E16)</f>
        <v/>
      </c>
      <c r="F17" s="54">
        <f>IFERROR(D17/E17,"")</f>
        <v/>
      </c>
    </row>
  </sheetData>
  <conditionalFormatting sqref="F5:F17">
    <cfRule type="cellIs" priority="1" operator="greaterThan" dxfId="0">
      <formula>9500</formula>
    </cfRule>
    <cfRule type="cellIs" priority="2" operator="between" dxfId="1">
      <formula>1</formula>
      <formula>9500</formula>
    </cfRule>
  </conditionalFormatting>
  <dataValidations count="2">
    <dataValidation sqref="B5:B16" showDropDown="0" showInputMessage="0" showErrorMessage="0" allowBlank="1" type="list">
      <formula1>'選択肢マスター'!$W$2:$W$6</formula1>
    </dataValidation>
    <dataValidation sqref="G5:G16" showDropDown="0" showInputMessage="0" showErrorMessage="0" allowBlank="1" type="list">
      <formula1>'選択肢マスター'!$X$2:$X$6</formula1>
    </dataValidation>
  </dataValidations>
  <pageMargins left="0.75" right="0.75" top="1" bottom="1" header="0.5" footer="0.5"/>
</worksheet>
</file>

<file path=xl/worksheets/sheet31.xml><?xml version="1.0" encoding="utf-8"?>
<worksheet xmlns="http://schemas.openxmlformats.org/spreadsheetml/2006/main">
  <sheetPr>
    <tabColor rgb="004472C4"/>
    <outlinePr summaryBelow="1" summaryRight="1"/>
    <pageSetUpPr/>
  </sheetPr>
  <dimension ref="A1:M104"/>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14" customWidth="1" min="3" max="3"/>
    <col width="13" customWidth="1" min="4" max="4"/>
    <col width="13" customWidth="1" min="5" max="5"/>
    <col width="13" customWidth="1" min="6" max="6"/>
    <col width="14" customWidth="1" min="7" max="7"/>
    <col width="13" customWidth="1" min="8" max="8"/>
    <col width="14" customWidth="1" min="9" max="9"/>
    <col width="30" customWidth="1" min="10" max="10"/>
    <col width="14" customWidth="1" min="11" max="11"/>
    <col width="12" customWidth="1" min="12" max="12"/>
    <col width="36" customWidth="1" min="13" max="13"/>
  </cols>
  <sheetData>
    <row r="1" ht="22" customHeight="1">
      <c r="A1" s="1" t="inlineStr">
        <is>
          <t>提携先パイプライン — アクティブ10社 → 15社（中立）</t>
        </is>
      </c>
    </row>
    <row r="2">
      <c r="A2" s="2" t="inlineStr">
        <is>
          <t>平均単価100,128円（大型案件込み）／大型を除いた実力 49,130円／秋（9〜12月）の実単価 56,931円。LTV186,272円・リピート率45%。1社増えると年50万円規模で効きます。</t>
        </is>
      </c>
    </row>
    <row r="3">
      <c r="A3" s="9" t="inlineStr">
        <is>
          <t>新規の成約 社数</t>
        </is>
      </c>
      <c r="B3" s="77">
        <f>COUNTIF($G$5:$G$104,"成約")</f>
        <v/>
      </c>
      <c r="C3" s="9" t="inlineStr">
        <is>
          <t>目標</t>
        </is>
      </c>
      <c r="D3" s="78" t="n">
        <v>5</v>
      </c>
      <c r="E3" s="2" t="inlineStr">
        <is>
          <t>アクティブ10社（2026-09-14 時点）を 保守12社／中立15社／攻め18社 へ。目標欄は新規の成約社数＝保守2社／中立5社／攻め8社。入口は施設ターゲットリスト291件（BREXAのような施設・法人の天カセ案件が最も現実的）。※不動産管理会社の空室清掃はやらない（オーナー決定 2026-09-14）</t>
        </is>
      </c>
    </row>
    <row r="4" ht="30" customHeight="1">
      <c r="A4" s="3" t="inlineStr">
        <is>
          <t>先方名</t>
        </is>
      </c>
      <c r="B4" s="3" t="inlineStr">
        <is>
          <t>業種</t>
        </is>
      </c>
      <c r="C4" s="3" t="inlineStr">
        <is>
          <t>担当者</t>
        </is>
      </c>
      <c r="D4" s="3" t="inlineStr">
        <is>
          <t>初回接触日</t>
        </is>
      </c>
      <c r="E4" s="3" t="inlineStr">
        <is>
          <t>最終接触日</t>
        </is>
      </c>
      <c r="F4" s="3" t="inlineStr">
        <is>
          <t>接触回数(累計)</t>
        </is>
      </c>
      <c r="G4" s="3" t="inlineStr">
        <is>
          <t>ステージ</t>
        </is>
      </c>
      <c r="H4" s="3" t="inlineStr">
        <is>
          <t>紹介件数(累計)</t>
        </is>
      </c>
      <c r="I4" s="3" t="inlineStr">
        <is>
          <t>売上(累計)</t>
        </is>
      </c>
      <c r="J4" s="3" t="inlineStr">
        <is>
          <t>次アクション</t>
        </is>
      </c>
      <c r="K4" s="3" t="inlineStr">
        <is>
          <t>次アクション期日</t>
        </is>
      </c>
      <c r="L4" s="3" t="inlineStr">
        <is>
          <t>担当</t>
        </is>
      </c>
      <c r="M4" s="3" t="inlineStr">
        <is>
          <t>メモ</t>
        </is>
      </c>
    </row>
    <row r="5">
      <c r="D5" s="44" t="n"/>
      <c r="E5" s="44" t="n"/>
      <c r="F5" s="79" t="n"/>
      <c r="I5" s="45" t="n"/>
      <c r="K5" s="44" t="n"/>
    </row>
    <row r="6">
      <c r="D6" s="44" t="n"/>
      <c r="E6" s="44" t="n"/>
      <c r="F6" s="79" t="n"/>
      <c r="I6" s="45" t="n"/>
      <c r="K6" s="44" t="n"/>
    </row>
    <row r="7">
      <c r="D7" s="44" t="n"/>
      <c r="E7" s="44" t="n"/>
      <c r="F7" s="79" t="n"/>
      <c r="I7" s="45" t="n"/>
      <c r="K7" s="44" t="n"/>
    </row>
    <row r="8">
      <c r="D8" s="44" t="n"/>
      <c r="E8" s="44" t="n"/>
      <c r="F8" s="79" t="n"/>
      <c r="I8" s="45" t="n"/>
      <c r="K8" s="44" t="n"/>
    </row>
    <row r="9">
      <c r="D9" s="44" t="n"/>
      <c r="E9" s="44" t="n"/>
      <c r="F9" s="79" t="n"/>
      <c r="I9" s="45" t="n"/>
      <c r="K9" s="44" t="n"/>
    </row>
    <row r="10">
      <c r="D10" s="44" t="n"/>
      <c r="E10" s="44" t="n"/>
      <c r="F10" s="79" t="n"/>
      <c r="I10" s="45" t="n"/>
      <c r="K10" s="44" t="n"/>
    </row>
    <row r="11">
      <c r="D11" s="44" t="n"/>
      <c r="E11" s="44" t="n"/>
      <c r="F11" s="79" t="n"/>
      <c r="I11" s="45" t="n"/>
      <c r="K11" s="44" t="n"/>
    </row>
    <row r="12">
      <c r="D12" s="44" t="n"/>
      <c r="E12" s="44" t="n"/>
      <c r="F12" s="79" t="n"/>
      <c r="I12" s="45" t="n"/>
      <c r="K12" s="44" t="n"/>
    </row>
    <row r="13">
      <c r="D13" s="44" t="n"/>
      <c r="E13" s="44" t="n"/>
      <c r="F13" s="79" t="n"/>
      <c r="I13" s="45" t="n"/>
      <c r="K13" s="44" t="n"/>
    </row>
    <row r="14">
      <c r="D14" s="44" t="n"/>
      <c r="E14" s="44" t="n"/>
      <c r="F14" s="79" t="n"/>
      <c r="I14" s="45" t="n"/>
      <c r="K14" s="44" t="n"/>
    </row>
    <row r="15">
      <c r="D15" s="44" t="n"/>
      <c r="E15" s="44" t="n"/>
      <c r="F15" s="79" t="n"/>
      <c r="I15" s="45" t="n"/>
      <c r="K15" s="44" t="n"/>
    </row>
    <row r="16">
      <c r="D16" s="44" t="n"/>
      <c r="E16" s="44" t="n"/>
      <c r="F16" s="79" t="n"/>
      <c r="I16" s="45" t="n"/>
      <c r="K16" s="44" t="n"/>
    </row>
    <row r="17">
      <c r="D17" s="44" t="n"/>
      <c r="E17" s="44" t="n"/>
      <c r="F17" s="79" t="n"/>
      <c r="I17" s="45" t="n"/>
      <c r="K17" s="44" t="n"/>
    </row>
    <row r="18">
      <c r="D18" s="44" t="n"/>
      <c r="E18" s="44" t="n"/>
      <c r="F18" s="79" t="n"/>
      <c r="I18" s="45" t="n"/>
      <c r="K18" s="44" t="n"/>
    </row>
    <row r="19">
      <c r="D19" s="44" t="n"/>
      <c r="E19" s="44" t="n"/>
      <c r="F19" s="79" t="n"/>
      <c r="I19" s="45" t="n"/>
      <c r="K19" s="44" t="n"/>
    </row>
    <row r="20">
      <c r="D20" s="44" t="n"/>
      <c r="E20" s="44" t="n"/>
      <c r="F20" s="79" t="n"/>
      <c r="I20" s="45" t="n"/>
      <c r="K20" s="44" t="n"/>
    </row>
    <row r="21">
      <c r="D21" s="44" t="n"/>
      <c r="E21" s="44" t="n"/>
      <c r="F21" s="79" t="n"/>
      <c r="I21" s="45" t="n"/>
      <c r="K21" s="44" t="n"/>
    </row>
    <row r="22">
      <c r="D22" s="44" t="n"/>
      <c r="E22" s="44" t="n"/>
      <c r="F22" s="79" t="n"/>
      <c r="I22" s="45" t="n"/>
      <c r="K22" s="44" t="n"/>
    </row>
    <row r="23">
      <c r="D23" s="44" t="n"/>
      <c r="E23" s="44" t="n"/>
      <c r="F23" s="79" t="n"/>
      <c r="I23" s="45" t="n"/>
      <c r="K23" s="44" t="n"/>
    </row>
    <row r="24">
      <c r="D24" s="44" t="n"/>
      <c r="E24" s="44" t="n"/>
      <c r="F24" s="79" t="n"/>
      <c r="I24" s="45" t="n"/>
      <c r="K24" s="44" t="n"/>
    </row>
    <row r="25">
      <c r="D25" s="44" t="n"/>
      <c r="E25" s="44" t="n"/>
      <c r="F25" s="79" t="n"/>
      <c r="I25" s="45" t="n"/>
      <c r="K25" s="44" t="n"/>
    </row>
    <row r="26">
      <c r="D26" s="44" t="n"/>
      <c r="E26" s="44" t="n"/>
      <c r="F26" s="79" t="n"/>
      <c r="I26" s="45" t="n"/>
      <c r="K26" s="44" t="n"/>
    </row>
    <row r="27">
      <c r="D27" s="44" t="n"/>
      <c r="E27" s="44" t="n"/>
      <c r="F27" s="79" t="n"/>
      <c r="I27" s="45" t="n"/>
      <c r="K27" s="44" t="n"/>
    </row>
    <row r="28">
      <c r="D28" s="44" t="n"/>
      <c r="E28" s="44" t="n"/>
      <c r="F28" s="79" t="n"/>
      <c r="I28" s="45" t="n"/>
      <c r="K28" s="44" t="n"/>
    </row>
    <row r="29">
      <c r="D29" s="44" t="n"/>
      <c r="E29" s="44" t="n"/>
      <c r="F29" s="79" t="n"/>
      <c r="I29" s="45" t="n"/>
      <c r="K29" s="44" t="n"/>
    </row>
    <row r="30">
      <c r="D30" s="44" t="n"/>
      <c r="E30" s="44" t="n"/>
      <c r="F30" s="79" t="n"/>
      <c r="I30" s="45" t="n"/>
      <c r="K30" s="44" t="n"/>
    </row>
    <row r="31">
      <c r="D31" s="44" t="n"/>
      <c r="E31" s="44" t="n"/>
      <c r="F31" s="79" t="n"/>
      <c r="I31" s="45" t="n"/>
      <c r="K31" s="44" t="n"/>
    </row>
    <row r="32">
      <c r="D32" s="44" t="n"/>
      <c r="E32" s="44" t="n"/>
      <c r="F32" s="79" t="n"/>
      <c r="I32" s="45" t="n"/>
      <c r="K32" s="44" t="n"/>
    </row>
    <row r="33">
      <c r="D33" s="44" t="n"/>
      <c r="E33" s="44" t="n"/>
      <c r="F33" s="79" t="n"/>
      <c r="I33" s="45" t="n"/>
      <c r="K33" s="44" t="n"/>
    </row>
    <row r="34">
      <c r="D34" s="44" t="n"/>
      <c r="E34" s="44" t="n"/>
      <c r="F34" s="79" t="n"/>
      <c r="I34" s="45" t="n"/>
      <c r="K34" s="44" t="n"/>
    </row>
    <row r="35">
      <c r="D35" s="44" t="n"/>
      <c r="E35" s="44" t="n"/>
      <c r="F35" s="79" t="n"/>
      <c r="I35" s="45" t="n"/>
      <c r="K35" s="44" t="n"/>
    </row>
    <row r="36">
      <c r="D36" s="44" t="n"/>
      <c r="E36" s="44" t="n"/>
      <c r="F36" s="79" t="n"/>
      <c r="I36" s="45" t="n"/>
      <c r="K36" s="44" t="n"/>
    </row>
    <row r="37">
      <c r="D37" s="44" t="n"/>
      <c r="E37" s="44" t="n"/>
      <c r="F37" s="79" t="n"/>
      <c r="I37" s="45" t="n"/>
      <c r="K37" s="44" t="n"/>
    </row>
    <row r="38">
      <c r="D38" s="44" t="n"/>
      <c r="E38" s="44" t="n"/>
      <c r="F38" s="79" t="n"/>
      <c r="I38" s="45" t="n"/>
      <c r="K38" s="44" t="n"/>
    </row>
    <row r="39">
      <c r="D39" s="44" t="n"/>
      <c r="E39" s="44" t="n"/>
      <c r="F39" s="79" t="n"/>
      <c r="I39" s="45" t="n"/>
      <c r="K39" s="44" t="n"/>
    </row>
    <row r="40">
      <c r="D40" s="44" t="n"/>
      <c r="E40" s="44" t="n"/>
      <c r="F40" s="79" t="n"/>
      <c r="I40" s="45" t="n"/>
      <c r="K40" s="44" t="n"/>
    </row>
    <row r="41">
      <c r="D41" s="44" t="n"/>
      <c r="E41" s="44" t="n"/>
      <c r="F41" s="79" t="n"/>
      <c r="I41" s="45" t="n"/>
      <c r="K41" s="44" t="n"/>
    </row>
    <row r="42">
      <c r="D42" s="44" t="n"/>
      <c r="E42" s="44" t="n"/>
      <c r="F42" s="79" t="n"/>
      <c r="I42" s="45" t="n"/>
      <c r="K42" s="44" t="n"/>
    </row>
    <row r="43">
      <c r="D43" s="44" t="n"/>
      <c r="E43" s="44" t="n"/>
      <c r="F43" s="79" t="n"/>
      <c r="I43" s="45" t="n"/>
      <c r="K43" s="44" t="n"/>
    </row>
    <row r="44">
      <c r="D44" s="44" t="n"/>
      <c r="E44" s="44" t="n"/>
      <c r="F44" s="79" t="n"/>
      <c r="I44" s="45" t="n"/>
      <c r="K44" s="44" t="n"/>
    </row>
    <row r="45">
      <c r="D45" s="44" t="n"/>
      <c r="E45" s="44" t="n"/>
      <c r="F45" s="79" t="n"/>
      <c r="I45" s="45" t="n"/>
      <c r="K45" s="44" t="n"/>
    </row>
    <row r="46">
      <c r="D46" s="44" t="n"/>
      <c r="E46" s="44" t="n"/>
      <c r="F46" s="79" t="n"/>
      <c r="I46" s="45" t="n"/>
      <c r="K46" s="44" t="n"/>
    </row>
    <row r="47">
      <c r="D47" s="44" t="n"/>
      <c r="E47" s="44" t="n"/>
      <c r="F47" s="79" t="n"/>
      <c r="I47" s="45" t="n"/>
      <c r="K47" s="44" t="n"/>
    </row>
    <row r="48">
      <c r="D48" s="44" t="n"/>
      <c r="E48" s="44" t="n"/>
      <c r="F48" s="79" t="n"/>
      <c r="I48" s="45" t="n"/>
      <c r="K48" s="44" t="n"/>
    </row>
    <row r="49">
      <c r="D49" s="44" t="n"/>
      <c r="E49" s="44" t="n"/>
      <c r="F49" s="79" t="n"/>
      <c r="I49" s="45" t="n"/>
      <c r="K49" s="44" t="n"/>
    </row>
    <row r="50">
      <c r="D50" s="44" t="n"/>
      <c r="E50" s="44" t="n"/>
      <c r="F50" s="79" t="n"/>
      <c r="I50" s="45" t="n"/>
      <c r="K50" s="44" t="n"/>
    </row>
    <row r="51">
      <c r="D51" s="44" t="n"/>
      <c r="E51" s="44" t="n"/>
      <c r="F51" s="79" t="n"/>
      <c r="I51" s="45" t="n"/>
      <c r="K51" s="44" t="n"/>
    </row>
    <row r="52">
      <c r="D52" s="44" t="n"/>
      <c r="E52" s="44" t="n"/>
      <c r="F52" s="79" t="n"/>
      <c r="I52" s="45" t="n"/>
      <c r="K52" s="44" t="n"/>
    </row>
    <row r="53">
      <c r="D53" s="44" t="n"/>
      <c r="E53" s="44" t="n"/>
      <c r="F53" s="79" t="n"/>
      <c r="I53" s="45" t="n"/>
      <c r="K53" s="44" t="n"/>
    </row>
    <row r="54">
      <c r="D54" s="44" t="n"/>
      <c r="E54" s="44" t="n"/>
      <c r="F54" s="79" t="n"/>
      <c r="I54" s="45" t="n"/>
      <c r="K54" s="44" t="n"/>
    </row>
    <row r="55">
      <c r="D55" s="44" t="n"/>
      <c r="E55" s="44" t="n"/>
      <c r="F55" s="79" t="n"/>
      <c r="I55" s="45" t="n"/>
      <c r="K55" s="44" t="n"/>
    </row>
    <row r="56">
      <c r="D56" s="44" t="n"/>
      <c r="E56" s="44" t="n"/>
      <c r="F56" s="79" t="n"/>
      <c r="I56" s="45" t="n"/>
      <c r="K56" s="44" t="n"/>
    </row>
    <row r="57">
      <c r="D57" s="44" t="n"/>
      <c r="E57" s="44" t="n"/>
      <c r="F57" s="79" t="n"/>
      <c r="I57" s="45" t="n"/>
      <c r="K57" s="44" t="n"/>
    </row>
    <row r="58">
      <c r="D58" s="44" t="n"/>
      <c r="E58" s="44" t="n"/>
      <c r="F58" s="79" t="n"/>
      <c r="I58" s="45" t="n"/>
      <c r="K58" s="44" t="n"/>
    </row>
    <row r="59">
      <c r="D59" s="44" t="n"/>
      <c r="E59" s="44" t="n"/>
      <c r="F59" s="79" t="n"/>
      <c r="I59" s="45" t="n"/>
      <c r="K59" s="44" t="n"/>
    </row>
    <row r="60">
      <c r="D60" s="44" t="n"/>
      <c r="E60" s="44" t="n"/>
      <c r="F60" s="79" t="n"/>
      <c r="I60" s="45" t="n"/>
      <c r="K60" s="44" t="n"/>
    </row>
    <row r="61">
      <c r="D61" s="44" t="n"/>
      <c r="E61" s="44" t="n"/>
      <c r="F61" s="79" t="n"/>
      <c r="I61" s="45" t="n"/>
      <c r="K61" s="44" t="n"/>
    </row>
    <row r="62">
      <c r="D62" s="44" t="n"/>
      <c r="E62" s="44" t="n"/>
      <c r="F62" s="79" t="n"/>
      <c r="I62" s="45" t="n"/>
      <c r="K62" s="44" t="n"/>
    </row>
    <row r="63">
      <c r="D63" s="44" t="n"/>
      <c r="E63" s="44" t="n"/>
      <c r="F63" s="79" t="n"/>
      <c r="I63" s="45" t="n"/>
      <c r="K63" s="44" t="n"/>
    </row>
    <row r="64">
      <c r="D64" s="44" t="n"/>
      <c r="E64" s="44" t="n"/>
      <c r="F64" s="79" t="n"/>
      <c r="I64" s="45" t="n"/>
      <c r="K64" s="44" t="n"/>
    </row>
    <row r="65">
      <c r="D65" s="44" t="n"/>
      <c r="E65" s="44" t="n"/>
      <c r="F65" s="79" t="n"/>
      <c r="I65" s="45" t="n"/>
      <c r="K65" s="44" t="n"/>
    </row>
    <row r="66">
      <c r="D66" s="44" t="n"/>
      <c r="E66" s="44" t="n"/>
      <c r="F66" s="79" t="n"/>
      <c r="I66" s="45" t="n"/>
      <c r="K66" s="44" t="n"/>
    </row>
    <row r="67">
      <c r="D67" s="44" t="n"/>
      <c r="E67" s="44" t="n"/>
      <c r="F67" s="79" t="n"/>
      <c r="I67" s="45" t="n"/>
      <c r="K67" s="44" t="n"/>
    </row>
    <row r="68">
      <c r="D68" s="44" t="n"/>
      <c r="E68" s="44" t="n"/>
      <c r="F68" s="79" t="n"/>
      <c r="I68" s="45" t="n"/>
      <c r="K68" s="44" t="n"/>
    </row>
    <row r="69">
      <c r="D69" s="44" t="n"/>
      <c r="E69" s="44" t="n"/>
      <c r="F69" s="79" t="n"/>
      <c r="I69" s="45" t="n"/>
      <c r="K69" s="44" t="n"/>
    </row>
    <row r="70">
      <c r="D70" s="44" t="n"/>
      <c r="E70" s="44" t="n"/>
      <c r="F70" s="79" t="n"/>
      <c r="I70" s="45" t="n"/>
      <c r="K70" s="44" t="n"/>
    </row>
    <row r="71">
      <c r="D71" s="44" t="n"/>
      <c r="E71" s="44" t="n"/>
      <c r="F71" s="79" t="n"/>
      <c r="I71" s="45" t="n"/>
      <c r="K71" s="44" t="n"/>
    </row>
    <row r="72">
      <c r="D72" s="44" t="n"/>
      <c r="E72" s="44" t="n"/>
      <c r="F72" s="79" t="n"/>
      <c r="I72" s="45" t="n"/>
      <c r="K72" s="44" t="n"/>
    </row>
    <row r="73">
      <c r="D73" s="44" t="n"/>
      <c r="E73" s="44" t="n"/>
      <c r="F73" s="79" t="n"/>
      <c r="I73" s="45" t="n"/>
      <c r="K73" s="44" t="n"/>
    </row>
    <row r="74">
      <c r="D74" s="44" t="n"/>
      <c r="E74" s="44" t="n"/>
      <c r="F74" s="79" t="n"/>
      <c r="I74" s="45" t="n"/>
      <c r="K74" s="44" t="n"/>
    </row>
    <row r="75">
      <c r="D75" s="44" t="n"/>
      <c r="E75" s="44" t="n"/>
      <c r="F75" s="79" t="n"/>
      <c r="I75" s="45" t="n"/>
      <c r="K75" s="44" t="n"/>
    </row>
    <row r="76">
      <c r="D76" s="44" t="n"/>
      <c r="E76" s="44" t="n"/>
      <c r="F76" s="79" t="n"/>
      <c r="I76" s="45" t="n"/>
      <c r="K76" s="44" t="n"/>
    </row>
    <row r="77">
      <c r="D77" s="44" t="n"/>
      <c r="E77" s="44" t="n"/>
      <c r="F77" s="79" t="n"/>
      <c r="I77" s="45" t="n"/>
      <c r="K77" s="44" t="n"/>
    </row>
    <row r="78">
      <c r="D78" s="44" t="n"/>
      <c r="E78" s="44" t="n"/>
      <c r="F78" s="79" t="n"/>
      <c r="I78" s="45" t="n"/>
      <c r="K78" s="44" t="n"/>
    </row>
    <row r="79">
      <c r="D79" s="44" t="n"/>
      <c r="E79" s="44" t="n"/>
      <c r="F79" s="79" t="n"/>
      <c r="I79" s="45" t="n"/>
      <c r="K79" s="44" t="n"/>
    </row>
    <row r="80">
      <c r="D80" s="44" t="n"/>
      <c r="E80" s="44" t="n"/>
      <c r="F80" s="79" t="n"/>
      <c r="I80" s="45" t="n"/>
      <c r="K80" s="44" t="n"/>
    </row>
    <row r="81">
      <c r="D81" s="44" t="n"/>
      <c r="E81" s="44" t="n"/>
      <c r="F81" s="79" t="n"/>
      <c r="I81" s="45" t="n"/>
      <c r="K81" s="44" t="n"/>
    </row>
    <row r="82">
      <c r="D82" s="44" t="n"/>
      <c r="E82" s="44" t="n"/>
      <c r="F82" s="79" t="n"/>
      <c r="I82" s="45" t="n"/>
      <c r="K82" s="44" t="n"/>
    </row>
    <row r="83">
      <c r="D83" s="44" t="n"/>
      <c r="E83" s="44" t="n"/>
      <c r="F83" s="79" t="n"/>
      <c r="I83" s="45" t="n"/>
      <c r="K83" s="44" t="n"/>
    </row>
    <row r="84">
      <c r="D84" s="44" t="n"/>
      <c r="E84" s="44" t="n"/>
      <c r="F84" s="79" t="n"/>
      <c r="I84" s="45" t="n"/>
      <c r="K84" s="44" t="n"/>
    </row>
    <row r="85">
      <c r="D85" s="44" t="n"/>
      <c r="E85" s="44" t="n"/>
      <c r="F85" s="79" t="n"/>
      <c r="I85" s="45" t="n"/>
      <c r="K85" s="44" t="n"/>
    </row>
    <row r="86">
      <c r="D86" s="44" t="n"/>
      <c r="E86" s="44" t="n"/>
      <c r="F86" s="79" t="n"/>
      <c r="I86" s="45" t="n"/>
      <c r="K86" s="44" t="n"/>
    </row>
    <row r="87">
      <c r="D87" s="44" t="n"/>
      <c r="E87" s="44" t="n"/>
      <c r="F87" s="79" t="n"/>
      <c r="I87" s="45" t="n"/>
      <c r="K87" s="44" t="n"/>
    </row>
    <row r="88">
      <c r="D88" s="44" t="n"/>
      <c r="E88" s="44" t="n"/>
      <c r="F88" s="79" t="n"/>
      <c r="I88" s="45" t="n"/>
      <c r="K88" s="44" t="n"/>
    </row>
    <row r="89">
      <c r="D89" s="44" t="n"/>
      <c r="E89" s="44" t="n"/>
      <c r="F89" s="79" t="n"/>
      <c r="I89" s="45" t="n"/>
      <c r="K89" s="44" t="n"/>
    </row>
    <row r="90">
      <c r="D90" s="44" t="n"/>
      <c r="E90" s="44" t="n"/>
      <c r="F90" s="79" t="n"/>
      <c r="I90" s="45" t="n"/>
      <c r="K90" s="44" t="n"/>
    </row>
    <row r="91">
      <c r="D91" s="44" t="n"/>
      <c r="E91" s="44" t="n"/>
      <c r="F91" s="79" t="n"/>
      <c r="I91" s="45" t="n"/>
      <c r="K91" s="44" t="n"/>
    </row>
    <row r="92">
      <c r="D92" s="44" t="n"/>
      <c r="E92" s="44" t="n"/>
      <c r="F92" s="79" t="n"/>
      <c r="I92" s="45" t="n"/>
      <c r="K92" s="44" t="n"/>
    </row>
    <row r="93">
      <c r="D93" s="44" t="n"/>
      <c r="E93" s="44" t="n"/>
      <c r="F93" s="79" t="n"/>
      <c r="I93" s="45" t="n"/>
      <c r="K93" s="44" t="n"/>
    </row>
    <row r="94">
      <c r="D94" s="44" t="n"/>
      <c r="E94" s="44" t="n"/>
      <c r="F94" s="79" t="n"/>
      <c r="I94" s="45" t="n"/>
      <c r="K94" s="44" t="n"/>
    </row>
    <row r="95">
      <c r="D95" s="44" t="n"/>
      <c r="E95" s="44" t="n"/>
      <c r="F95" s="79" t="n"/>
      <c r="I95" s="45" t="n"/>
      <c r="K95" s="44" t="n"/>
    </row>
    <row r="96">
      <c r="D96" s="44" t="n"/>
      <c r="E96" s="44" t="n"/>
      <c r="F96" s="79" t="n"/>
      <c r="I96" s="45" t="n"/>
      <c r="K96" s="44" t="n"/>
    </row>
    <row r="97">
      <c r="D97" s="44" t="n"/>
      <c r="E97" s="44" t="n"/>
      <c r="F97" s="79" t="n"/>
      <c r="I97" s="45" t="n"/>
      <c r="K97" s="44" t="n"/>
    </row>
    <row r="98">
      <c r="D98" s="44" t="n"/>
      <c r="E98" s="44" t="n"/>
      <c r="F98" s="79" t="n"/>
      <c r="I98" s="45" t="n"/>
      <c r="K98" s="44" t="n"/>
    </row>
    <row r="99">
      <c r="D99" s="44" t="n"/>
      <c r="E99" s="44" t="n"/>
      <c r="F99" s="79" t="n"/>
      <c r="I99" s="45" t="n"/>
      <c r="K99" s="44" t="n"/>
    </row>
    <row r="100">
      <c r="D100" s="44" t="n"/>
      <c r="E100" s="44" t="n"/>
      <c r="F100" s="79" t="n"/>
      <c r="I100" s="45" t="n"/>
      <c r="K100" s="44" t="n"/>
    </row>
    <row r="101">
      <c r="D101" s="44" t="n"/>
      <c r="E101" s="44" t="n"/>
      <c r="F101" s="79" t="n"/>
      <c r="I101" s="45" t="n"/>
      <c r="K101" s="44" t="n"/>
    </row>
    <row r="102">
      <c r="D102" s="44" t="n"/>
      <c r="E102" s="44" t="n"/>
      <c r="F102" s="79" t="n"/>
      <c r="I102" s="45" t="n"/>
      <c r="K102" s="44" t="n"/>
    </row>
    <row r="103">
      <c r="D103" s="44" t="n"/>
      <c r="E103" s="44" t="n"/>
      <c r="F103" s="79" t="n"/>
      <c r="I103" s="45" t="n"/>
      <c r="K103" s="44" t="n"/>
    </row>
    <row r="104">
      <c r="D104" s="44" t="n"/>
      <c r="E104" s="44" t="n"/>
      <c r="F104" s="79" t="n"/>
      <c r="I104" s="45" t="n"/>
      <c r="K104" s="44" t="n"/>
    </row>
  </sheetData>
  <autoFilter ref="A4:M104"/>
  <conditionalFormatting sqref="B3">
    <cfRule type="cellIs" priority="1" operator="lessThan" dxfId="0">
      <formula>D3</formula>
    </cfRule>
    <cfRule type="cellIs" priority="2" operator="greaterThanOrEqual" dxfId="1">
      <formula>D3</formula>
    </cfRule>
  </conditionalFormatting>
  <dataValidations count="1">
    <dataValidation sqref="G5:G104" showDropDown="0" showInputMessage="0" showErrorMessage="0" allowBlank="1" type="list">
      <formula1>'選択肢マスター'!$N$2:$N$7</formula1>
    </dataValidation>
  </dataValidations>
  <pageMargins left="0.75" right="0.75" top="1" bottom="1" header="0.5" footer="0.5"/>
</worksheet>
</file>

<file path=xl/worksheets/sheet32.xml><?xml version="1.0" encoding="utf-8"?>
<worksheet xmlns="http://schemas.openxmlformats.org/spreadsheetml/2006/main">
  <sheetPr>
    <tabColor rgb="00A9D08E"/>
    <outlinePr summaryBelow="1" summaryRight="1"/>
    <pageSetUpPr/>
  </sheetPr>
  <dimension ref="A1:K31"/>
  <sheetViews>
    <sheetView workbookViewId="0">
      <selection activeCell="A1" sqref="A1"/>
    </sheetView>
  </sheetViews>
  <sheetFormatPr baseColWidth="8" defaultRowHeight="15"/>
  <cols>
    <col width="24" customWidth="1" min="1" max="1"/>
    <col width="20" customWidth="1" min="2" max="2"/>
    <col width="22" customWidth="1" min="3" max="3"/>
    <col width="20" customWidth="1" min="4" max="4"/>
    <col width="13" customWidth="1" min="5" max="5"/>
    <col width="14" customWidth="1" min="6" max="6"/>
    <col width="14" customWidth="1" min="7" max="7"/>
    <col width="13" customWidth="1" min="8" max="8"/>
    <col width="12" customWidth="1" min="9" max="9"/>
    <col width="10" customWidth="1" min="10" max="10"/>
    <col width="36" customWidth="1" min="11" max="11"/>
  </cols>
  <sheetData>
    <row r="1" ht="22" customHeight="1">
      <c r="A1" s="1" t="inlineStr">
        <is>
          <t>協力業者 管理 — 3社（1〜2月に契約・3月から稼働）</t>
        </is>
      </c>
    </row>
    <row r="2">
      <c r="A2" s="2" t="inlineStr">
        <is>
          <t>「安く回す先」ではなく「ピークを取りこぼさないための保険」。品質が崩れると入口が全部止まります。</t>
        </is>
      </c>
    </row>
    <row r="3">
      <c r="A3" s="9" t="inlineStr">
        <is>
          <t>契約済み 社数</t>
        </is>
      </c>
      <c r="B3" s="80">
        <f>COUNTIFS($B$5:$B$24,"&lt;&gt;未契約",$A$5:$A$24,"&lt;&gt;")</f>
        <v/>
      </c>
      <c r="C3" s="9" t="inlineStr">
        <is>
          <t>目標</t>
        </is>
      </c>
      <c r="D3" s="80" t="n">
        <v>3</v>
      </c>
      <c r="E3" s="9" t="inlineStr">
        <is>
          <t>年間 外注件数 目標</t>
        </is>
      </c>
      <c r="F3" s="80" t="n">
        <v>100</v>
      </c>
      <c r="G3" s="2" t="inlineStr">
        <is>
          <t>支払条件は未決定（案A歩合65%／案Bメニュー別固定単価／案C日当22,000円）。12月中に方針を決める（docs/2027-数値目標.md §6）</t>
        </is>
      </c>
    </row>
    <row r="4" ht="30" customHeight="1">
      <c r="A4" s="3" t="inlineStr">
        <is>
          <t>社名</t>
        </is>
      </c>
      <c r="B4" s="3" t="inlineStr">
        <is>
          <t>契約形態</t>
        </is>
      </c>
      <c r="C4" s="3" t="inlineStr">
        <is>
          <t>条件（%・単価・日当）</t>
        </is>
      </c>
      <c r="D4" s="3" t="inlineStr">
        <is>
          <t>対応エリア</t>
        </is>
      </c>
      <c r="E4" s="3" t="inlineStr">
        <is>
          <t>契約日</t>
        </is>
      </c>
      <c r="F4" s="3" t="inlineStr">
        <is>
          <t>今年回した件数</t>
        </is>
      </c>
      <c r="G4" s="3" t="inlineStr">
        <is>
          <t>支払額(累計)</t>
        </is>
      </c>
      <c r="H4" s="3" t="inlineStr">
        <is>
          <t>クレーム件数</t>
        </is>
      </c>
      <c r="I4" s="3" t="inlineStr">
        <is>
          <t>写真提出率</t>
        </is>
      </c>
      <c r="J4" s="3" t="inlineStr">
        <is>
          <t>品質</t>
        </is>
      </c>
      <c r="K4" s="3" t="inlineStr">
        <is>
          <t>メモ</t>
        </is>
      </c>
    </row>
    <row r="5">
      <c r="E5" s="44" t="n"/>
      <c r="G5" s="45" t="n"/>
      <c r="I5" s="81" t="n"/>
    </row>
    <row r="6">
      <c r="E6" s="44" t="n"/>
      <c r="G6" s="45" t="n"/>
      <c r="I6" s="81" t="n"/>
    </row>
    <row r="7">
      <c r="E7" s="44" t="n"/>
      <c r="G7" s="45" t="n"/>
      <c r="I7" s="81" t="n"/>
    </row>
    <row r="8">
      <c r="E8" s="44" t="n"/>
      <c r="G8" s="45" t="n"/>
      <c r="I8" s="81" t="n"/>
    </row>
    <row r="9">
      <c r="E9" s="44" t="n"/>
      <c r="G9" s="45" t="n"/>
      <c r="I9" s="81" t="n"/>
    </row>
    <row r="10">
      <c r="E10" s="44" t="n"/>
      <c r="G10" s="45" t="n"/>
      <c r="I10" s="81" t="n"/>
    </row>
    <row r="11">
      <c r="E11" s="44" t="n"/>
      <c r="G11" s="45" t="n"/>
      <c r="I11" s="81" t="n"/>
    </row>
    <row r="12">
      <c r="E12" s="44" t="n"/>
      <c r="G12" s="45" t="n"/>
      <c r="I12" s="81" t="n"/>
    </row>
    <row r="13">
      <c r="E13" s="44" t="n"/>
      <c r="G13" s="45" t="n"/>
      <c r="I13" s="81" t="n"/>
    </row>
    <row r="14">
      <c r="E14" s="44" t="n"/>
      <c r="G14" s="45" t="n"/>
      <c r="I14" s="81" t="n"/>
    </row>
    <row r="15">
      <c r="E15" s="44" t="n"/>
      <c r="G15" s="45" t="n"/>
      <c r="I15" s="81" t="n"/>
    </row>
    <row r="16">
      <c r="E16" s="44" t="n"/>
      <c r="G16" s="45" t="n"/>
      <c r="I16" s="81" t="n"/>
    </row>
    <row r="17">
      <c r="E17" s="44" t="n"/>
      <c r="G17" s="45" t="n"/>
      <c r="I17" s="81" t="n"/>
    </row>
    <row r="18">
      <c r="E18" s="44" t="n"/>
      <c r="G18" s="45" t="n"/>
      <c r="I18" s="81" t="n"/>
    </row>
    <row r="19">
      <c r="E19" s="44" t="n"/>
      <c r="G19" s="45" t="n"/>
      <c r="I19" s="81" t="n"/>
    </row>
    <row r="20">
      <c r="E20" s="44" t="n"/>
      <c r="G20" s="45" t="n"/>
      <c r="I20" s="81" t="n"/>
    </row>
    <row r="21">
      <c r="E21" s="44" t="n"/>
      <c r="G21" s="45" t="n"/>
      <c r="I21" s="81" t="n"/>
    </row>
    <row r="22">
      <c r="E22" s="44" t="n"/>
      <c r="G22" s="45" t="n"/>
      <c r="I22" s="81" t="n"/>
    </row>
    <row r="23">
      <c r="E23" s="44" t="n"/>
      <c r="G23" s="45" t="n"/>
      <c r="I23" s="81" t="n"/>
    </row>
    <row r="24">
      <c r="E24" s="44" t="n"/>
      <c r="G24" s="45" t="n"/>
      <c r="I24" s="81" t="n"/>
    </row>
    <row r="27">
      <c r="A27" s="8" t="inlineStr">
        <is>
          <t>【必ず守ること】</t>
        </is>
      </c>
    </row>
    <row r="28">
      <c r="A28" s="2" t="inlineStr">
        <is>
          <t>・協力業者の案件でも、お客様に届くもの（連絡・名乗り）は台帳の「最新の施工の名義」と機械で照合してから出す</t>
        </is>
      </c>
    </row>
    <row r="29">
      <c r="A29" s="2" t="inlineStr">
        <is>
          <t xml:space="preserve">　（tools/derive-soushin-keitou.py の meigi_hyou()。2026-09-11に名義取り違えの事故あり）</t>
        </is>
      </c>
    </row>
    <row r="30">
      <c r="A30" s="2" t="inlineStr">
        <is>
          <t>・施工チェックリストと写真報告を必須にする。契約書に品質条項を入れる</t>
        </is>
      </c>
    </row>
    <row r="31">
      <c r="A31" s="2" t="inlineStr">
        <is>
          <t>・★5.0（24件）と満足度98.6%が崩れると、入口が全部止まります</t>
        </is>
      </c>
    </row>
  </sheetData>
  <conditionalFormatting sqref="H5:H24">
    <cfRule type="cellIs" priority="1" operator="greaterThan" dxfId="0">
      <formula>0</formula>
    </cfRule>
  </conditionalFormatting>
  <dataValidations count="2">
    <dataValidation sqref="B5:B24" showDropDown="0" showInputMessage="0" showErrorMessage="0" allowBlank="1" type="list">
      <formula1>'選択肢マスター'!$O$2:$O$5</formula1>
    </dataValidation>
    <dataValidation sqref="J5:J24" showDropDown="0" showInputMessage="0" showErrorMessage="0" allowBlank="1" type="list">
      <formula1>'選択肢マスター'!$P$2:$P$4</formula1>
    </dataValidation>
  </dataValidations>
  <pageMargins left="0.75" right="0.75" top="1" bottom="1" header="0.5" footer="0.5"/>
</worksheet>
</file>

<file path=xl/worksheets/sheet33.xml><?xml version="1.0" encoding="utf-8"?>
<worksheet xmlns="http://schemas.openxmlformats.org/spreadsheetml/2006/main">
  <sheetPr>
    <tabColor rgb="0000B0F0"/>
    <outlinePr summaryBelow="1" summaryRight="1"/>
    <pageSetUpPr/>
  </sheetPr>
  <dimension ref="A1:I506"/>
  <sheetViews>
    <sheetView workbookViewId="0">
      <pane ySplit="4" topLeftCell="A5" activePane="bottomLeft" state="frozen"/>
      <selection pane="bottomLeft" activeCell="A1" sqref="A1"/>
    </sheetView>
  </sheetViews>
  <sheetFormatPr baseColWidth="8" defaultRowHeight="15"/>
  <cols>
    <col width="18" customWidth="1" min="1" max="1"/>
    <col width="12" customWidth="1" min="2" max="2"/>
    <col width="18" customWidth="1" min="3" max="3"/>
    <col width="16" customWidth="1" min="4" max="4"/>
    <col width="14" customWidth="1" min="5" max="5"/>
    <col width="30" customWidth="1" min="6" max="6"/>
    <col width="20" customWidth="1" min="7" max="7"/>
    <col width="14" customWidth="1" min="8" max="8"/>
    <col width="40" customWidth="1" min="9" max="9"/>
  </cols>
  <sheetData>
    <row r="1" ht="22" customHeight="1">
      <c r="A1" s="1" t="inlineStr">
        <is>
          <t>Web予約 受信ログ（予約フォーム・LP）</t>
        </is>
      </c>
    </row>
    <row r="2">
      <c r="A2" s="2" t="inlineStr">
        <is>
          <t>受信したら当日中に連絡。受注になったら月次タブへ転記して「台帳へ転記済み」をTRUEに。</t>
        </is>
      </c>
    </row>
    <row r="3">
      <c r="A3" s="9" t="inlineStr">
        <is>
          <t>受信件数</t>
        </is>
      </c>
      <c r="B3" s="82">
        <f>COUNTA($A$5:$A$504)</f>
        <v/>
      </c>
      <c r="C3" s="9" t="inlineStr">
        <is>
          <t>受注件数</t>
        </is>
      </c>
      <c r="D3" s="82">
        <f>COUNTIF($B$5:$B$504,"受注")</f>
        <v/>
      </c>
      <c r="E3" s="9" t="inlineStr">
        <is>
          <t>受注率</t>
        </is>
      </c>
      <c r="F3" s="83">
        <f>IFERROR(COUNTIF($B$5:$B$504,"受注")/COUNTA($A$5:$A$504),0)</f>
        <v/>
      </c>
      <c r="G3" s="9" t="inlineStr">
        <is>
          <t>未対応</t>
        </is>
      </c>
      <c r="H3" s="82">
        <f>COUNTIF($B$5:$B$504,"未対応")</f>
        <v/>
      </c>
    </row>
    <row r="4" ht="30" customHeight="1">
      <c r="A4" s="3" t="inlineStr">
        <is>
          <t>受信日時</t>
        </is>
      </c>
      <c r="B4" s="3" t="inlineStr">
        <is>
          <t>状態</t>
        </is>
      </c>
      <c r="C4" s="3" t="inlineStr">
        <is>
          <t>お名前</t>
        </is>
      </c>
      <c r="D4" s="3" t="inlineStr">
        <is>
          <t>連絡先</t>
        </is>
      </c>
      <c r="E4" s="3" t="inlineStr">
        <is>
          <t>ご希望日</t>
        </is>
      </c>
      <c r="F4" s="3" t="inlineStr">
        <is>
          <t>ご希望の内容</t>
        </is>
      </c>
      <c r="G4" s="3" t="inlineStr">
        <is>
          <t>流入元(?src=)</t>
        </is>
      </c>
      <c r="H4" s="3" t="inlineStr">
        <is>
          <t>台帳へ転記済み</t>
        </is>
      </c>
      <c r="I4" s="3" t="inlineStr">
        <is>
          <t>対応メモ</t>
        </is>
      </c>
    </row>
    <row r="5">
      <c r="A5" s="84" t="n"/>
      <c r="E5" s="44" t="n"/>
    </row>
    <row r="6">
      <c r="A6" s="84" t="n"/>
      <c r="E6" s="44" t="n"/>
    </row>
    <row r="7">
      <c r="A7" s="84" t="n"/>
      <c r="E7" s="44" t="n"/>
    </row>
    <row r="8">
      <c r="A8" s="84" t="n"/>
      <c r="E8" s="44" t="n"/>
    </row>
    <row r="9">
      <c r="A9" s="84" t="n"/>
      <c r="E9" s="44" t="n"/>
    </row>
    <row r="10">
      <c r="A10" s="84" t="n"/>
      <c r="E10" s="44" t="n"/>
    </row>
    <row r="11">
      <c r="A11" s="84" t="n"/>
      <c r="E11" s="44" t="n"/>
    </row>
    <row r="12">
      <c r="A12" s="84" t="n"/>
      <c r="E12" s="44" t="n"/>
    </row>
    <row r="13">
      <c r="A13" s="84" t="n"/>
      <c r="E13" s="44" t="n"/>
    </row>
    <row r="14">
      <c r="A14" s="84" t="n"/>
      <c r="E14" s="44" t="n"/>
    </row>
    <row r="15">
      <c r="A15" s="84" t="n"/>
      <c r="E15" s="44" t="n"/>
    </row>
    <row r="16">
      <c r="A16" s="84" t="n"/>
      <c r="E16" s="44" t="n"/>
    </row>
    <row r="17">
      <c r="A17" s="84" t="n"/>
      <c r="E17" s="44" t="n"/>
    </row>
    <row r="18">
      <c r="A18" s="84" t="n"/>
      <c r="E18" s="44" t="n"/>
    </row>
    <row r="19">
      <c r="A19" s="84" t="n"/>
      <c r="E19" s="44" t="n"/>
    </row>
    <row r="20">
      <c r="A20" s="84" t="n"/>
      <c r="E20" s="44" t="n"/>
    </row>
    <row r="21">
      <c r="A21" s="84" t="n"/>
      <c r="E21" s="44" t="n"/>
    </row>
    <row r="22">
      <c r="A22" s="84" t="n"/>
      <c r="E22" s="44" t="n"/>
    </row>
    <row r="23">
      <c r="A23" s="84" t="n"/>
      <c r="E23" s="44" t="n"/>
    </row>
    <row r="24">
      <c r="A24" s="84" t="n"/>
      <c r="E24" s="44" t="n"/>
    </row>
    <row r="25">
      <c r="A25" s="84" t="n"/>
      <c r="E25" s="44" t="n"/>
    </row>
    <row r="26">
      <c r="A26" s="84" t="n"/>
      <c r="E26" s="44" t="n"/>
    </row>
    <row r="27">
      <c r="A27" s="84" t="n"/>
      <c r="E27" s="44" t="n"/>
    </row>
    <row r="28">
      <c r="A28" s="84" t="n"/>
      <c r="E28" s="44" t="n"/>
    </row>
    <row r="29">
      <c r="A29" s="84" t="n"/>
      <c r="E29" s="44" t="n"/>
    </row>
    <row r="30">
      <c r="A30" s="84" t="n"/>
      <c r="E30" s="44" t="n"/>
    </row>
    <row r="31">
      <c r="A31" s="84" t="n"/>
      <c r="E31" s="44" t="n"/>
    </row>
    <row r="32">
      <c r="A32" s="84" t="n"/>
      <c r="E32" s="44" t="n"/>
    </row>
    <row r="33">
      <c r="A33" s="84" t="n"/>
      <c r="E33" s="44" t="n"/>
    </row>
    <row r="34">
      <c r="A34" s="84" t="n"/>
      <c r="E34" s="44" t="n"/>
    </row>
    <row r="35">
      <c r="A35" s="84" t="n"/>
      <c r="E35" s="44" t="n"/>
    </row>
    <row r="36">
      <c r="A36" s="84" t="n"/>
      <c r="E36" s="44" t="n"/>
    </row>
    <row r="37">
      <c r="A37" s="84" t="n"/>
      <c r="E37" s="44" t="n"/>
    </row>
    <row r="38">
      <c r="A38" s="84" t="n"/>
      <c r="E38" s="44" t="n"/>
    </row>
    <row r="39">
      <c r="A39" s="84" t="n"/>
      <c r="E39" s="44" t="n"/>
    </row>
    <row r="40">
      <c r="A40" s="84" t="n"/>
      <c r="E40" s="44" t="n"/>
    </row>
    <row r="41">
      <c r="A41" s="84" t="n"/>
      <c r="E41" s="44" t="n"/>
    </row>
    <row r="42">
      <c r="A42" s="84" t="n"/>
      <c r="E42" s="44" t="n"/>
    </row>
    <row r="43">
      <c r="A43" s="84" t="n"/>
      <c r="E43" s="44" t="n"/>
    </row>
    <row r="44">
      <c r="A44" s="84" t="n"/>
      <c r="E44" s="44" t="n"/>
    </row>
    <row r="45">
      <c r="A45" s="84" t="n"/>
      <c r="E45" s="44" t="n"/>
    </row>
    <row r="46">
      <c r="A46" s="84" t="n"/>
      <c r="E46" s="44" t="n"/>
    </row>
    <row r="47">
      <c r="A47" s="84" t="n"/>
      <c r="E47" s="44" t="n"/>
    </row>
    <row r="48">
      <c r="A48" s="84" t="n"/>
      <c r="E48" s="44" t="n"/>
    </row>
    <row r="49">
      <c r="A49" s="84" t="n"/>
      <c r="E49" s="44" t="n"/>
    </row>
    <row r="50">
      <c r="A50" s="84" t="n"/>
      <c r="E50" s="44" t="n"/>
    </row>
    <row r="51">
      <c r="A51" s="84" t="n"/>
      <c r="E51" s="44" t="n"/>
    </row>
    <row r="52">
      <c r="A52" s="84" t="n"/>
      <c r="E52" s="44" t="n"/>
    </row>
    <row r="53">
      <c r="A53" s="84" t="n"/>
      <c r="E53" s="44" t="n"/>
    </row>
    <row r="54">
      <c r="A54" s="84" t="n"/>
      <c r="E54" s="44" t="n"/>
    </row>
    <row r="55">
      <c r="A55" s="84" t="n"/>
      <c r="E55" s="44" t="n"/>
    </row>
    <row r="56">
      <c r="A56" s="84" t="n"/>
      <c r="E56" s="44" t="n"/>
    </row>
    <row r="57">
      <c r="A57" s="84" t="n"/>
      <c r="E57" s="44" t="n"/>
    </row>
    <row r="58">
      <c r="A58" s="84" t="n"/>
      <c r="E58" s="44" t="n"/>
    </row>
    <row r="59">
      <c r="A59" s="84" t="n"/>
      <c r="E59" s="44" t="n"/>
    </row>
    <row r="60">
      <c r="A60" s="84" t="n"/>
      <c r="E60" s="44" t="n"/>
    </row>
    <row r="61">
      <c r="A61" s="84" t="n"/>
      <c r="E61" s="44" t="n"/>
    </row>
    <row r="62">
      <c r="A62" s="84" t="n"/>
      <c r="E62" s="44" t="n"/>
    </row>
    <row r="63">
      <c r="A63" s="84" t="n"/>
      <c r="E63" s="44" t="n"/>
    </row>
    <row r="64">
      <c r="A64" s="84" t="n"/>
      <c r="E64" s="44" t="n"/>
    </row>
    <row r="65">
      <c r="A65" s="84" t="n"/>
      <c r="E65" s="44" t="n"/>
    </row>
    <row r="66">
      <c r="A66" s="84" t="n"/>
      <c r="E66" s="44" t="n"/>
    </row>
    <row r="67">
      <c r="A67" s="84" t="n"/>
      <c r="E67" s="44" t="n"/>
    </row>
    <row r="68">
      <c r="A68" s="84" t="n"/>
      <c r="E68" s="44" t="n"/>
    </row>
    <row r="69">
      <c r="A69" s="84" t="n"/>
      <c r="E69" s="44" t="n"/>
    </row>
    <row r="70">
      <c r="A70" s="84" t="n"/>
      <c r="E70" s="44" t="n"/>
    </row>
    <row r="71">
      <c r="A71" s="84" t="n"/>
      <c r="E71" s="44" t="n"/>
    </row>
    <row r="72">
      <c r="A72" s="84" t="n"/>
      <c r="E72" s="44" t="n"/>
    </row>
    <row r="73">
      <c r="A73" s="84" t="n"/>
      <c r="E73" s="44" t="n"/>
    </row>
    <row r="74">
      <c r="A74" s="84" t="n"/>
      <c r="E74" s="44" t="n"/>
    </row>
    <row r="75">
      <c r="A75" s="84" t="n"/>
      <c r="E75" s="44" t="n"/>
    </row>
    <row r="76">
      <c r="A76" s="84" t="n"/>
      <c r="E76" s="44" t="n"/>
    </row>
    <row r="77">
      <c r="A77" s="84" t="n"/>
      <c r="E77" s="44" t="n"/>
    </row>
    <row r="78">
      <c r="A78" s="84" t="n"/>
      <c r="E78" s="44" t="n"/>
    </row>
    <row r="79">
      <c r="A79" s="84" t="n"/>
      <c r="E79" s="44" t="n"/>
    </row>
    <row r="80">
      <c r="A80" s="84" t="n"/>
      <c r="E80" s="44" t="n"/>
    </row>
    <row r="81">
      <c r="A81" s="84" t="n"/>
      <c r="E81" s="44" t="n"/>
    </row>
    <row r="82">
      <c r="A82" s="84" t="n"/>
      <c r="E82" s="44" t="n"/>
    </row>
    <row r="83">
      <c r="A83" s="84" t="n"/>
      <c r="E83" s="44" t="n"/>
    </row>
    <row r="84">
      <c r="A84" s="84" t="n"/>
      <c r="E84" s="44" t="n"/>
    </row>
    <row r="85">
      <c r="A85" s="84" t="n"/>
      <c r="E85" s="44" t="n"/>
    </row>
    <row r="86">
      <c r="A86" s="84" t="n"/>
      <c r="E86" s="44" t="n"/>
    </row>
    <row r="87">
      <c r="A87" s="84" t="n"/>
      <c r="E87" s="44" t="n"/>
    </row>
    <row r="88">
      <c r="A88" s="84" t="n"/>
      <c r="E88" s="44" t="n"/>
    </row>
    <row r="89">
      <c r="A89" s="84" t="n"/>
      <c r="E89" s="44" t="n"/>
    </row>
    <row r="90">
      <c r="A90" s="84" t="n"/>
      <c r="E90" s="44" t="n"/>
    </row>
    <row r="91">
      <c r="A91" s="84" t="n"/>
      <c r="E91" s="44" t="n"/>
    </row>
    <row r="92">
      <c r="A92" s="84" t="n"/>
      <c r="E92" s="44" t="n"/>
    </row>
    <row r="93">
      <c r="A93" s="84" t="n"/>
      <c r="E93" s="44" t="n"/>
    </row>
    <row r="94">
      <c r="A94" s="84" t="n"/>
      <c r="E94" s="44" t="n"/>
    </row>
    <row r="95">
      <c r="A95" s="84" t="n"/>
      <c r="E95" s="44" t="n"/>
    </row>
    <row r="96">
      <c r="A96" s="84" t="n"/>
      <c r="E96" s="44" t="n"/>
    </row>
    <row r="97">
      <c r="A97" s="84" t="n"/>
      <c r="E97" s="44" t="n"/>
    </row>
    <row r="98">
      <c r="A98" s="84" t="n"/>
      <c r="E98" s="44" t="n"/>
    </row>
    <row r="99">
      <c r="A99" s="84" t="n"/>
      <c r="E99" s="44" t="n"/>
    </row>
    <row r="100">
      <c r="A100" s="84" t="n"/>
      <c r="E100" s="44" t="n"/>
    </row>
    <row r="101">
      <c r="A101" s="84" t="n"/>
      <c r="E101" s="44" t="n"/>
    </row>
    <row r="102">
      <c r="A102" s="84" t="n"/>
      <c r="E102" s="44" t="n"/>
    </row>
    <row r="103">
      <c r="A103" s="84" t="n"/>
      <c r="E103" s="44" t="n"/>
    </row>
    <row r="104">
      <c r="A104" s="84" t="n"/>
      <c r="E104" s="44" t="n"/>
    </row>
    <row r="105">
      <c r="A105" s="84" t="n"/>
      <c r="E105" s="44" t="n"/>
    </row>
    <row r="106">
      <c r="A106" s="84" t="n"/>
      <c r="E106" s="44" t="n"/>
    </row>
    <row r="107">
      <c r="A107" s="84" t="n"/>
      <c r="E107" s="44" t="n"/>
    </row>
    <row r="108">
      <c r="A108" s="84" t="n"/>
      <c r="E108" s="44" t="n"/>
    </row>
    <row r="109">
      <c r="A109" s="84" t="n"/>
      <c r="E109" s="44" t="n"/>
    </row>
    <row r="110">
      <c r="A110" s="84" t="n"/>
      <c r="E110" s="44" t="n"/>
    </row>
    <row r="111">
      <c r="A111" s="84" t="n"/>
      <c r="E111" s="44" t="n"/>
    </row>
    <row r="112">
      <c r="A112" s="84" t="n"/>
      <c r="E112" s="44" t="n"/>
    </row>
    <row r="113">
      <c r="A113" s="84" t="n"/>
      <c r="E113" s="44" t="n"/>
    </row>
    <row r="114">
      <c r="A114" s="84" t="n"/>
      <c r="E114" s="44" t="n"/>
    </row>
    <row r="115">
      <c r="A115" s="84" t="n"/>
      <c r="E115" s="44" t="n"/>
    </row>
    <row r="116">
      <c r="A116" s="84" t="n"/>
      <c r="E116" s="44" t="n"/>
    </row>
    <row r="117">
      <c r="A117" s="84" t="n"/>
      <c r="E117" s="44" t="n"/>
    </row>
    <row r="118">
      <c r="A118" s="84" t="n"/>
      <c r="E118" s="44" t="n"/>
    </row>
    <row r="119">
      <c r="A119" s="84" t="n"/>
      <c r="E119" s="44" t="n"/>
    </row>
    <row r="120">
      <c r="A120" s="84" t="n"/>
      <c r="E120" s="44" t="n"/>
    </row>
    <row r="121">
      <c r="A121" s="84" t="n"/>
      <c r="E121" s="44" t="n"/>
    </row>
    <row r="122">
      <c r="A122" s="84" t="n"/>
      <c r="E122" s="44" t="n"/>
    </row>
    <row r="123">
      <c r="A123" s="84" t="n"/>
      <c r="E123" s="44" t="n"/>
    </row>
    <row r="124">
      <c r="A124" s="84" t="n"/>
      <c r="E124" s="44" t="n"/>
    </row>
    <row r="125">
      <c r="A125" s="84" t="n"/>
      <c r="E125" s="44" t="n"/>
    </row>
    <row r="126">
      <c r="A126" s="84" t="n"/>
      <c r="E126" s="44" t="n"/>
    </row>
    <row r="127">
      <c r="A127" s="84" t="n"/>
      <c r="E127" s="44" t="n"/>
    </row>
    <row r="128">
      <c r="A128" s="84" t="n"/>
      <c r="E128" s="44" t="n"/>
    </row>
    <row r="129">
      <c r="A129" s="84" t="n"/>
      <c r="E129" s="44" t="n"/>
    </row>
    <row r="130">
      <c r="A130" s="84" t="n"/>
      <c r="E130" s="44" t="n"/>
    </row>
    <row r="131">
      <c r="A131" s="84" t="n"/>
      <c r="E131" s="44" t="n"/>
    </row>
    <row r="132">
      <c r="A132" s="84" t="n"/>
      <c r="E132" s="44" t="n"/>
    </row>
    <row r="133">
      <c r="A133" s="84" t="n"/>
      <c r="E133" s="44" t="n"/>
    </row>
    <row r="134">
      <c r="A134" s="84" t="n"/>
      <c r="E134" s="44" t="n"/>
    </row>
    <row r="135">
      <c r="A135" s="84" t="n"/>
      <c r="E135" s="44" t="n"/>
    </row>
    <row r="136">
      <c r="A136" s="84" t="n"/>
      <c r="E136" s="44" t="n"/>
    </row>
    <row r="137">
      <c r="A137" s="84" t="n"/>
      <c r="E137" s="44" t="n"/>
    </row>
    <row r="138">
      <c r="A138" s="84" t="n"/>
      <c r="E138" s="44" t="n"/>
    </row>
    <row r="139">
      <c r="A139" s="84" t="n"/>
      <c r="E139" s="44" t="n"/>
    </row>
    <row r="140">
      <c r="A140" s="84" t="n"/>
      <c r="E140" s="44" t="n"/>
    </row>
    <row r="141">
      <c r="A141" s="84" t="n"/>
      <c r="E141" s="44" t="n"/>
    </row>
    <row r="142">
      <c r="A142" s="84" t="n"/>
      <c r="E142" s="44" t="n"/>
    </row>
    <row r="143">
      <c r="A143" s="84" t="n"/>
      <c r="E143" s="44" t="n"/>
    </row>
    <row r="144">
      <c r="A144" s="84" t="n"/>
      <c r="E144" s="44" t="n"/>
    </row>
    <row r="145">
      <c r="A145" s="84" t="n"/>
      <c r="E145" s="44" t="n"/>
    </row>
    <row r="146">
      <c r="A146" s="84" t="n"/>
      <c r="E146" s="44" t="n"/>
    </row>
    <row r="147">
      <c r="A147" s="84" t="n"/>
      <c r="E147" s="44" t="n"/>
    </row>
    <row r="148">
      <c r="A148" s="84" t="n"/>
      <c r="E148" s="44" t="n"/>
    </row>
    <row r="149">
      <c r="A149" s="84" t="n"/>
      <c r="E149" s="44" t="n"/>
    </row>
    <row r="150">
      <c r="A150" s="84" t="n"/>
      <c r="E150" s="44" t="n"/>
    </row>
    <row r="151">
      <c r="A151" s="84" t="n"/>
      <c r="E151" s="44" t="n"/>
    </row>
    <row r="152">
      <c r="A152" s="84" t="n"/>
      <c r="E152" s="44" t="n"/>
    </row>
    <row r="153">
      <c r="A153" s="84" t="n"/>
      <c r="E153" s="44" t="n"/>
    </row>
    <row r="154">
      <c r="A154" s="84" t="n"/>
      <c r="E154" s="44" t="n"/>
    </row>
    <row r="155">
      <c r="A155" s="84" t="n"/>
      <c r="E155" s="44" t="n"/>
    </row>
    <row r="156">
      <c r="A156" s="84" t="n"/>
      <c r="E156" s="44" t="n"/>
    </row>
    <row r="157">
      <c r="A157" s="84" t="n"/>
      <c r="E157" s="44" t="n"/>
    </row>
    <row r="158">
      <c r="A158" s="84" t="n"/>
      <c r="E158" s="44" t="n"/>
    </row>
    <row r="159">
      <c r="A159" s="84" t="n"/>
      <c r="E159" s="44" t="n"/>
    </row>
    <row r="160">
      <c r="A160" s="84" t="n"/>
      <c r="E160" s="44" t="n"/>
    </row>
    <row r="161">
      <c r="A161" s="84" t="n"/>
      <c r="E161" s="44" t="n"/>
    </row>
    <row r="162">
      <c r="A162" s="84" t="n"/>
      <c r="E162" s="44" t="n"/>
    </row>
    <row r="163">
      <c r="A163" s="84" t="n"/>
      <c r="E163" s="44" t="n"/>
    </row>
    <row r="164">
      <c r="A164" s="84" t="n"/>
      <c r="E164" s="44" t="n"/>
    </row>
    <row r="165">
      <c r="A165" s="84" t="n"/>
      <c r="E165" s="44" t="n"/>
    </row>
    <row r="166">
      <c r="A166" s="84" t="n"/>
      <c r="E166" s="44" t="n"/>
    </row>
    <row r="167">
      <c r="A167" s="84" t="n"/>
      <c r="E167" s="44" t="n"/>
    </row>
    <row r="168">
      <c r="A168" s="84" t="n"/>
      <c r="E168" s="44" t="n"/>
    </row>
    <row r="169">
      <c r="A169" s="84" t="n"/>
      <c r="E169" s="44" t="n"/>
    </row>
    <row r="170">
      <c r="A170" s="84" t="n"/>
      <c r="E170" s="44" t="n"/>
    </row>
    <row r="171">
      <c r="A171" s="84" t="n"/>
      <c r="E171" s="44" t="n"/>
    </row>
    <row r="172">
      <c r="A172" s="84" t="n"/>
      <c r="E172" s="44" t="n"/>
    </row>
    <row r="173">
      <c r="A173" s="84" t="n"/>
      <c r="E173" s="44" t="n"/>
    </row>
    <row r="174">
      <c r="A174" s="84" t="n"/>
      <c r="E174" s="44" t="n"/>
    </row>
    <row r="175">
      <c r="A175" s="84" t="n"/>
      <c r="E175" s="44" t="n"/>
    </row>
    <row r="176">
      <c r="A176" s="84" t="n"/>
      <c r="E176" s="44" t="n"/>
    </row>
    <row r="177">
      <c r="A177" s="84" t="n"/>
      <c r="E177" s="44" t="n"/>
    </row>
    <row r="178">
      <c r="A178" s="84" t="n"/>
      <c r="E178" s="44" t="n"/>
    </row>
    <row r="179">
      <c r="A179" s="84" t="n"/>
      <c r="E179" s="44" t="n"/>
    </row>
    <row r="180">
      <c r="A180" s="84" t="n"/>
      <c r="E180" s="44" t="n"/>
    </row>
    <row r="181">
      <c r="A181" s="84" t="n"/>
      <c r="E181" s="44" t="n"/>
    </row>
    <row r="182">
      <c r="A182" s="84" t="n"/>
      <c r="E182" s="44" t="n"/>
    </row>
    <row r="183">
      <c r="A183" s="84" t="n"/>
      <c r="E183" s="44" t="n"/>
    </row>
    <row r="184">
      <c r="A184" s="84" t="n"/>
      <c r="E184" s="44" t="n"/>
    </row>
    <row r="185">
      <c r="A185" s="84" t="n"/>
      <c r="E185" s="44" t="n"/>
    </row>
    <row r="186">
      <c r="A186" s="84" t="n"/>
      <c r="E186" s="44" t="n"/>
    </row>
    <row r="187">
      <c r="A187" s="84" t="n"/>
      <c r="E187" s="44" t="n"/>
    </row>
    <row r="188">
      <c r="A188" s="84" t="n"/>
      <c r="E188" s="44" t="n"/>
    </row>
    <row r="189">
      <c r="A189" s="84" t="n"/>
      <c r="E189" s="44" t="n"/>
    </row>
    <row r="190">
      <c r="A190" s="84" t="n"/>
      <c r="E190" s="44" t="n"/>
    </row>
    <row r="191">
      <c r="A191" s="84" t="n"/>
      <c r="E191" s="44" t="n"/>
    </row>
    <row r="192">
      <c r="A192" s="84" t="n"/>
      <c r="E192" s="44" t="n"/>
    </row>
    <row r="193">
      <c r="A193" s="84" t="n"/>
      <c r="E193" s="44" t="n"/>
    </row>
    <row r="194">
      <c r="A194" s="84" t="n"/>
      <c r="E194" s="44" t="n"/>
    </row>
    <row r="195">
      <c r="A195" s="84" t="n"/>
      <c r="E195" s="44" t="n"/>
    </row>
    <row r="196">
      <c r="A196" s="84" t="n"/>
      <c r="E196" s="44" t="n"/>
    </row>
    <row r="197">
      <c r="A197" s="84" t="n"/>
      <c r="E197" s="44" t="n"/>
    </row>
    <row r="198">
      <c r="A198" s="84" t="n"/>
      <c r="E198" s="44" t="n"/>
    </row>
    <row r="199">
      <c r="A199" s="84" t="n"/>
      <c r="E199" s="44" t="n"/>
    </row>
    <row r="200">
      <c r="A200" s="84" t="n"/>
      <c r="E200" s="44" t="n"/>
    </row>
    <row r="201">
      <c r="A201" s="84" t="n"/>
      <c r="E201" s="44" t="n"/>
    </row>
    <row r="202">
      <c r="A202" s="84" t="n"/>
      <c r="E202" s="44" t="n"/>
    </row>
    <row r="203">
      <c r="A203" s="84" t="n"/>
      <c r="E203" s="44" t="n"/>
    </row>
    <row r="204">
      <c r="A204" s="84" t="n"/>
      <c r="E204" s="44" t="n"/>
    </row>
    <row r="205">
      <c r="A205" s="84" t="n"/>
      <c r="E205" s="44" t="n"/>
    </row>
    <row r="206">
      <c r="A206" s="84" t="n"/>
      <c r="E206" s="44" t="n"/>
    </row>
    <row r="207">
      <c r="A207" s="84" t="n"/>
      <c r="E207" s="44" t="n"/>
    </row>
    <row r="208">
      <c r="A208" s="84" t="n"/>
      <c r="E208" s="44" t="n"/>
    </row>
    <row r="209">
      <c r="A209" s="84" t="n"/>
      <c r="E209" s="44" t="n"/>
    </row>
    <row r="210">
      <c r="A210" s="84" t="n"/>
      <c r="E210" s="44" t="n"/>
    </row>
    <row r="211">
      <c r="A211" s="84" t="n"/>
      <c r="E211" s="44" t="n"/>
    </row>
    <row r="212">
      <c r="A212" s="84" t="n"/>
      <c r="E212" s="44" t="n"/>
    </row>
    <row r="213">
      <c r="A213" s="84" t="n"/>
      <c r="E213" s="44" t="n"/>
    </row>
    <row r="214">
      <c r="A214" s="84" t="n"/>
      <c r="E214" s="44" t="n"/>
    </row>
    <row r="215">
      <c r="A215" s="84" t="n"/>
      <c r="E215" s="44" t="n"/>
    </row>
    <row r="216">
      <c r="A216" s="84" t="n"/>
      <c r="E216" s="44" t="n"/>
    </row>
    <row r="217">
      <c r="A217" s="84" t="n"/>
      <c r="E217" s="44" t="n"/>
    </row>
    <row r="218">
      <c r="A218" s="84" t="n"/>
      <c r="E218" s="44" t="n"/>
    </row>
    <row r="219">
      <c r="A219" s="84" t="n"/>
      <c r="E219" s="44" t="n"/>
    </row>
    <row r="220">
      <c r="A220" s="84" t="n"/>
      <c r="E220" s="44" t="n"/>
    </row>
    <row r="221">
      <c r="A221" s="84" t="n"/>
      <c r="E221" s="44" t="n"/>
    </row>
    <row r="222">
      <c r="A222" s="84" t="n"/>
      <c r="E222" s="44" t="n"/>
    </row>
    <row r="223">
      <c r="A223" s="84" t="n"/>
      <c r="E223" s="44" t="n"/>
    </row>
    <row r="224">
      <c r="A224" s="84" t="n"/>
      <c r="E224" s="44" t="n"/>
    </row>
    <row r="225">
      <c r="A225" s="84" t="n"/>
      <c r="E225" s="44" t="n"/>
    </row>
    <row r="226">
      <c r="A226" s="84" t="n"/>
      <c r="E226" s="44" t="n"/>
    </row>
    <row r="227">
      <c r="A227" s="84" t="n"/>
      <c r="E227" s="44" t="n"/>
    </row>
    <row r="228">
      <c r="A228" s="84" t="n"/>
      <c r="E228" s="44" t="n"/>
    </row>
    <row r="229">
      <c r="A229" s="84" t="n"/>
      <c r="E229" s="44" t="n"/>
    </row>
    <row r="230">
      <c r="A230" s="84" t="n"/>
      <c r="E230" s="44" t="n"/>
    </row>
    <row r="231">
      <c r="A231" s="84" t="n"/>
      <c r="E231" s="44" t="n"/>
    </row>
    <row r="232">
      <c r="A232" s="84" t="n"/>
      <c r="E232" s="44" t="n"/>
    </row>
    <row r="233">
      <c r="A233" s="84" t="n"/>
      <c r="E233" s="44" t="n"/>
    </row>
    <row r="234">
      <c r="A234" s="84" t="n"/>
      <c r="E234" s="44" t="n"/>
    </row>
    <row r="235">
      <c r="A235" s="84" t="n"/>
      <c r="E235" s="44" t="n"/>
    </row>
    <row r="236">
      <c r="A236" s="84" t="n"/>
      <c r="E236" s="44" t="n"/>
    </row>
    <row r="237">
      <c r="A237" s="84" t="n"/>
      <c r="E237" s="44" t="n"/>
    </row>
    <row r="238">
      <c r="A238" s="84" t="n"/>
      <c r="E238" s="44" t="n"/>
    </row>
    <row r="239">
      <c r="A239" s="84" t="n"/>
      <c r="E239" s="44" t="n"/>
    </row>
    <row r="240">
      <c r="A240" s="84" t="n"/>
      <c r="E240" s="44" t="n"/>
    </row>
    <row r="241">
      <c r="A241" s="84" t="n"/>
      <c r="E241" s="44" t="n"/>
    </row>
    <row r="242">
      <c r="A242" s="84" t="n"/>
      <c r="E242" s="44" t="n"/>
    </row>
    <row r="243">
      <c r="A243" s="84" t="n"/>
      <c r="E243" s="44" t="n"/>
    </row>
    <row r="244">
      <c r="A244" s="84" t="n"/>
      <c r="E244" s="44" t="n"/>
    </row>
    <row r="245">
      <c r="A245" s="84" t="n"/>
      <c r="E245" s="44" t="n"/>
    </row>
    <row r="246">
      <c r="A246" s="84" t="n"/>
      <c r="E246" s="44" t="n"/>
    </row>
    <row r="247">
      <c r="A247" s="84" t="n"/>
      <c r="E247" s="44" t="n"/>
    </row>
    <row r="248">
      <c r="A248" s="84" t="n"/>
      <c r="E248" s="44" t="n"/>
    </row>
    <row r="249">
      <c r="A249" s="84" t="n"/>
      <c r="E249" s="44" t="n"/>
    </row>
    <row r="250">
      <c r="A250" s="84" t="n"/>
      <c r="E250" s="44" t="n"/>
    </row>
    <row r="251">
      <c r="A251" s="84" t="n"/>
      <c r="E251" s="44" t="n"/>
    </row>
    <row r="252">
      <c r="A252" s="84" t="n"/>
      <c r="E252" s="44" t="n"/>
    </row>
    <row r="253">
      <c r="A253" s="84" t="n"/>
      <c r="E253" s="44" t="n"/>
    </row>
    <row r="254">
      <c r="A254" s="84" t="n"/>
      <c r="E254" s="44" t="n"/>
    </row>
    <row r="255">
      <c r="A255" s="84" t="n"/>
      <c r="E255" s="44" t="n"/>
    </row>
    <row r="256">
      <c r="A256" s="84" t="n"/>
      <c r="E256" s="44" t="n"/>
    </row>
    <row r="257">
      <c r="A257" s="84" t="n"/>
      <c r="E257" s="44" t="n"/>
    </row>
    <row r="258">
      <c r="A258" s="84" t="n"/>
      <c r="E258" s="44" t="n"/>
    </row>
    <row r="259">
      <c r="A259" s="84" t="n"/>
      <c r="E259" s="44" t="n"/>
    </row>
    <row r="260">
      <c r="A260" s="84" t="n"/>
      <c r="E260" s="44" t="n"/>
    </row>
    <row r="261">
      <c r="A261" s="84" t="n"/>
      <c r="E261" s="44" t="n"/>
    </row>
    <row r="262">
      <c r="A262" s="84" t="n"/>
      <c r="E262" s="44" t="n"/>
    </row>
    <row r="263">
      <c r="A263" s="84" t="n"/>
      <c r="E263" s="44" t="n"/>
    </row>
    <row r="264">
      <c r="A264" s="84" t="n"/>
      <c r="E264" s="44" t="n"/>
    </row>
    <row r="265">
      <c r="A265" s="84" t="n"/>
      <c r="E265" s="44" t="n"/>
    </row>
    <row r="266">
      <c r="A266" s="84" t="n"/>
      <c r="E266" s="44" t="n"/>
    </row>
    <row r="267">
      <c r="A267" s="84" t="n"/>
      <c r="E267" s="44" t="n"/>
    </row>
    <row r="268">
      <c r="A268" s="84" t="n"/>
      <c r="E268" s="44" t="n"/>
    </row>
    <row r="269">
      <c r="A269" s="84" t="n"/>
      <c r="E269" s="44" t="n"/>
    </row>
    <row r="270">
      <c r="A270" s="84" t="n"/>
      <c r="E270" s="44" t="n"/>
    </row>
    <row r="271">
      <c r="A271" s="84" t="n"/>
      <c r="E271" s="44" t="n"/>
    </row>
    <row r="272">
      <c r="A272" s="84" t="n"/>
      <c r="E272" s="44" t="n"/>
    </row>
    <row r="273">
      <c r="A273" s="84" t="n"/>
      <c r="E273" s="44" t="n"/>
    </row>
    <row r="274">
      <c r="A274" s="84" t="n"/>
      <c r="E274" s="44" t="n"/>
    </row>
    <row r="275">
      <c r="A275" s="84" t="n"/>
      <c r="E275" s="44" t="n"/>
    </row>
    <row r="276">
      <c r="A276" s="84" t="n"/>
      <c r="E276" s="44" t="n"/>
    </row>
    <row r="277">
      <c r="A277" s="84" t="n"/>
      <c r="E277" s="44" t="n"/>
    </row>
    <row r="278">
      <c r="A278" s="84" t="n"/>
      <c r="E278" s="44" t="n"/>
    </row>
    <row r="279">
      <c r="A279" s="84" t="n"/>
      <c r="E279" s="44" t="n"/>
    </row>
    <row r="280">
      <c r="A280" s="84" t="n"/>
      <c r="E280" s="44" t="n"/>
    </row>
    <row r="281">
      <c r="A281" s="84" t="n"/>
      <c r="E281" s="44" t="n"/>
    </row>
    <row r="282">
      <c r="A282" s="84" t="n"/>
      <c r="E282" s="44" t="n"/>
    </row>
    <row r="283">
      <c r="A283" s="84" t="n"/>
      <c r="E283" s="44" t="n"/>
    </row>
    <row r="284">
      <c r="A284" s="84" t="n"/>
      <c r="E284" s="44" t="n"/>
    </row>
    <row r="285">
      <c r="A285" s="84" t="n"/>
      <c r="E285" s="44" t="n"/>
    </row>
    <row r="286">
      <c r="A286" s="84" t="n"/>
      <c r="E286" s="44" t="n"/>
    </row>
    <row r="287">
      <c r="A287" s="84" t="n"/>
      <c r="E287" s="44" t="n"/>
    </row>
    <row r="288">
      <c r="A288" s="84" t="n"/>
      <c r="E288" s="44" t="n"/>
    </row>
    <row r="289">
      <c r="A289" s="84" t="n"/>
      <c r="E289" s="44" t="n"/>
    </row>
    <row r="290">
      <c r="A290" s="84" t="n"/>
      <c r="E290" s="44" t="n"/>
    </row>
    <row r="291">
      <c r="A291" s="84" t="n"/>
      <c r="E291" s="44" t="n"/>
    </row>
    <row r="292">
      <c r="A292" s="84" t="n"/>
      <c r="E292" s="44" t="n"/>
    </row>
    <row r="293">
      <c r="A293" s="84" t="n"/>
      <c r="E293" s="44" t="n"/>
    </row>
    <row r="294">
      <c r="A294" s="84" t="n"/>
      <c r="E294" s="44" t="n"/>
    </row>
    <row r="295">
      <c r="A295" s="84" t="n"/>
      <c r="E295" s="44" t="n"/>
    </row>
    <row r="296">
      <c r="A296" s="84" t="n"/>
      <c r="E296" s="44" t="n"/>
    </row>
    <row r="297">
      <c r="A297" s="84" t="n"/>
      <c r="E297" s="44" t="n"/>
    </row>
    <row r="298">
      <c r="A298" s="84" t="n"/>
      <c r="E298" s="44" t="n"/>
    </row>
    <row r="299">
      <c r="A299" s="84" t="n"/>
      <c r="E299" s="44" t="n"/>
    </row>
    <row r="300">
      <c r="A300" s="84" t="n"/>
      <c r="E300" s="44" t="n"/>
    </row>
    <row r="301">
      <c r="A301" s="84" t="n"/>
      <c r="E301" s="44" t="n"/>
    </row>
    <row r="302">
      <c r="A302" s="84" t="n"/>
      <c r="E302" s="44" t="n"/>
    </row>
    <row r="303">
      <c r="A303" s="84" t="n"/>
      <c r="E303" s="44" t="n"/>
    </row>
    <row r="304">
      <c r="A304" s="84" t="n"/>
      <c r="E304" s="44" t="n"/>
    </row>
    <row r="305">
      <c r="A305" s="84" t="n"/>
      <c r="E305" s="44" t="n"/>
    </row>
    <row r="306">
      <c r="A306" s="84" t="n"/>
      <c r="E306" s="44" t="n"/>
    </row>
    <row r="307">
      <c r="A307" s="84" t="n"/>
      <c r="E307" s="44" t="n"/>
    </row>
    <row r="308">
      <c r="A308" s="84" t="n"/>
      <c r="E308" s="44" t="n"/>
    </row>
    <row r="309">
      <c r="A309" s="84" t="n"/>
      <c r="E309" s="44" t="n"/>
    </row>
    <row r="310">
      <c r="A310" s="84" t="n"/>
      <c r="E310" s="44" t="n"/>
    </row>
    <row r="311">
      <c r="A311" s="84" t="n"/>
      <c r="E311" s="44" t="n"/>
    </row>
    <row r="312">
      <c r="A312" s="84" t="n"/>
      <c r="E312" s="44" t="n"/>
    </row>
    <row r="313">
      <c r="A313" s="84" t="n"/>
      <c r="E313" s="44" t="n"/>
    </row>
    <row r="314">
      <c r="A314" s="84" t="n"/>
      <c r="E314" s="44" t="n"/>
    </row>
    <row r="315">
      <c r="A315" s="84" t="n"/>
      <c r="E315" s="44" t="n"/>
    </row>
    <row r="316">
      <c r="A316" s="84" t="n"/>
      <c r="E316" s="44" t="n"/>
    </row>
    <row r="317">
      <c r="A317" s="84" t="n"/>
      <c r="E317" s="44" t="n"/>
    </row>
    <row r="318">
      <c r="A318" s="84" t="n"/>
      <c r="E318" s="44" t="n"/>
    </row>
    <row r="319">
      <c r="A319" s="84" t="n"/>
      <c r="E319" s="44" t="n"/>
    </row>
    <row r="320">
      <c r="A320" s="84" t="n"/>
      <c r="E320" s="44" t="n"/>
    </row>
    <row r="321">
      <c r="A321" s="84" t="n"/>
      <c r="E321" s="44" t="n"/>
    </row>
    <row r="322">
      <c r="A322" s="84" t="n"/>
      <c r="E322" s="44" t="n"/>
    </row>
    <row r="323">
      <c r="A323" s="84" t="n"/>
      <c r="E323" s="44" t="n"/>
    </row>
    <row r="324">
      <c r="A324" s="84" t="n"/>
      <c r="E324" s="44" t="n"/>
    </row>
    <row r="325">
      <c r="A325" s="84" t="n"/>
      <c r="E325" s="44" t="n"/>
    </row>
    <row r="326">
      <c r="A326" s="84" t="n"/>
      <c r="E326" s="44" t="n"/>
    </row>
    <row r="327">
      <c r="A327" s="84" t="n"/>
      <c r="E327" s="44" t="n"/>
    </row>
    <row r="328">
      <c r="A328" s="84" t="n"/>
      <c r="E328" s="44" t="n"/>
    </row>
    <row r="329">
      <c r="A329" s="84" t="n"/>
      <c r="E329" s="44" t="n"/>
    </row>
    <row r="330">
      <c r="A330" s="84" t="n"/>
      <c r="E330" s="44" t="n"/>
    </row>
    <row r="331">
      <c r="A331" s="84" t="n"/>
      <c r="E331" s="44" t="n"/>
    </row>
    <row r="332">
      <c r="A332" s="84" t="n"/>
      <c r="E332" s="44" t="n"/>
    </row>
    <row r="333">
      <c r="A333" s="84" t="n"/>
      <c r="E333" s="44" t="n"/>
    </row>
    <row r="334">
      <c r="A334" s="84" t="n"/>
      <c r="E334" s="44" t="n"/>
    </row>
    <row r="335">
      <c r="A335" s="84" t="n"/>
      <c r="E335" s="44" t="n"/>
    </row>
    <row r="336">
      <c r="A336" s="84" t="n"/>
      <c r="E336" s="44" t="n"/>
    </row>
    <row r="337">
      <c r="A337" s="84" t="n"/>
      <c r="E337" s="44" t="n"/>
    </row>
    <row r="338">
      <c r="A338" s="84" t="n"/>
      <c r="E338" s="44" t="n"/>
    </row>
    <row r="339">
      <c r="A339" s="84" t="n"/>
      <c r="E339" s="44" t="n"/>
    </row>
    <row r="340">
      <c r="A340" s="84" t="n"/>
      <c r="E340" s="44" t="n"/>
    </row>
    <row r="341">
      <c r="A341" s="84" t="n"/>
      <c r="E341" s="44" t="n"/>
    </row>
    <row r="342">
      <c r="A342" s="84" t="n"/>
      <c r="E342" s="44" t="n"/>
    </row>
    <row r="343">
      <c r="A343" s="84" t="n"/>
      <c r="E343" s="44" t="n"/>
    </row>
    <row r="344">
      <c r="A344" s="84" t="n"/>
      <c r="E344" s="44" t="n"/>
    </row>
    <row r="345">
      <c r="A345" s="84" t="n"/>
      <c r="E345" s="44" t="n"/>
    </row>
    <row r="346">
      <c r="A346" s="84" t="n"/>
      <c r="E346" s="44" t="n"/>
    </row>
    <row r="347">
      <c r="A347" s="84" t="n"/>
      <c r="E347" s="44" t="n"/>
    </row>
    <row r="348">
      <c r="A348" s="84" t="n"/>
      <c r="E348" s="44" t="n"/>
    </row>
    <row r="349">
      <c r="A349" s="84" t="n"/>
      <c r="E349" s="44" t="n"/>
    </row>
    <row r="350">
      <c r="A350" s="84" t="n"/>
      <c r="E350" s="44" t="n"/>
    </row>
    <row r="351">
      <c r="A351" s="84" t="n"/>
      <c r="E351" s="44" t="n"/>
    </row>
    <row r="352">
      <c r="A352" s="84" t="n"/>
      <c r="E352" s="44" t="n"/>
    </row>
    <row r="353">
      <c r="A353" s="84" t="n"/>
      <c r="E353" s="44" t="n"/>
    </row>
    <row r="354">
      <c r="A354" s="84" t="n"/>
      <c r="E354" s="44" t="n"/>
    </row>
    <row r="355">
      <c r="A355" s="84" t="n"/>
      <c r="E355" s="44" t="n"/>
    </row>
    <row r="356">
      <c r="A356" s="84" t="n"/>
      <c r="E356" s="44" t="n"/>
    </row>
    <row r="357">
      <c r="A357" s="84" t="n"/>
      <c r="E357" s="44" t="n"/>
    </row>
    <row r="358">
      <c r="A358" s="84" t="n"/>
      <c r="E358" s="44" t="n"/>
    </row>
    <row r="359">
      <c r="A359" s="84" t="n"/>
      <c r="E359" s="44" t="n"/>
    </row>
    <row r="360">
      <c r="A360" s="84" t="n"/>
      <c r="E360" s="44" t="n"/>
    </row>
    <row r="361">
      <c r="A361" s="84" t="n"/>
      <c r="E361" s="44" t="n"/>
    </row>
    <row r="362">
      <c r="A362" s="84" t="n"/>
      <c r="E362" s="44" t="n"/>
    </row>
    <row r="363">
      <c r="A363" s="84" t="n"/>
      <c r="E363" s="44" t="n"/>
    </row>
    <row r="364">
      <c r="A364" s="84" t="n"/>
      <c r="E364" s="44" t="n"/>
    </row>
    <row r="365">
      <c r="A365" s="84" t="n"/>
      <c r="E365" s="44" t="n"/>
    </row>
    <row r="366">
      <c r="A366" s="84" t="n"/>
      <c r="E366" s="44" t="n"/>
    </row>
    <row r="367">
      <c r="A367" s="84" t="n"/>
      <c r="E367" s="44" t="n"/>
    </row>
    <row r="368">
      <c r="A368" s="84" t="n"/>
      <c r="E368" s="44" t="n"/>
    </row>
    <row r="369">
      <c r="A369" s="84" t="n"/>
      <c r="E369" s="44" t="n"/>
    </row>
    <row r="370">
      <c r="A370" s="84" t="n"/>
      <c r="E370" s="44" t="n"/>
    </row>
    <row r="371">
      <c r="A371" s="84" t="n"/>
      <c r="E371" s="44" t="n"/>
    </row>
    <row r="372">
      <c r="A372" s="84" t="n"/>
      <c r="E372" s="44" t="n"/>
    </row>
    <row r="373">
      <c r="A373" s="84" t="n"/>
      <c r="E373" s="44" t="n"/>
    </row>
    <row r="374">
      <c r="A374" s="84" t="n"/>
      <c r="E374" s="44" t="n"/>
    </row>
    <row r="375">
      <c r="A375" s="84" t="n"/>
      <c r="E375" s="44" t="n"/>
    </row>
    <row r="376">
      <c r="A376" s="84" t="n"/>
      <c r="E376" s="44" t="n"/>
    </row>
    <row r="377">
      <c r="A377" s="84" t="n"/>
      <c r="E377" s="44" t="n"/>
    </row>
    <row r="378">
      <c r="A378" s="84" t="n"/>
      <c r="E378" s="44" t="n"/>
    </row>
    <row r="379">
      <c r="A379" s="84" t="n"/>
      <c r="E379" s="44" t="n"/>
    </row>
    <row r="380">
      <c r="A380" s="84" t="n"/>
      <c r="E380" s="44" t="n"/>
    </row>
    <row r="381">
      <c r="A381" s="84" t="n"/>
      <c r="E381" s="44" t="n"/>
    </row>
    <row r="382">
      <c r="A382" s="84" t="n"/>
      <c r="E382" s="44" t="n"/>
    </row>
    <row r="383">
      <c r="A383" s="84" t="n"/>
      <c r="E383" s="44" t="n"/>
    </row>
    <row r="384">
      <c r="A384" s="84" t="n"/>
      <c r="E384" s="44" t="n"/>
    </row>
    <row r="385">
      <c r="A385" s="84" t="n"/>
      <c r="E385" s="44" t="n"/>
    </row>
    <row r="386">
      <c r="A386" s="84" t="n"/>
      <c r="E386" s="44" t="n"/>
    </row>
    <row r="387">
      <c r="A387" s="84" t="n"/>
      <c r="E387" s="44" t="n"/>
    </row>
    <row r="388">
      <c r="A388" s="84" t="n"/>
      <c r="E388" s="44" t="n"/>
    </row>
    <row r="389">
      <c r="A389" s="84" t="n"/>
      <c r="E389" s="44" t="n"/>
    </row>
    <row r="390">
      <c r="A390" s="84" t="n"/>
      <c r="E390" s="44" t="n"/>
    </row>
    <row r="391">
      <c r="A391" s="84" t="n"/>
      <c r="E391" s="44" t="n"/>
    </row>
    <row r="392">
      <c r="A392" s="84" t="n"/>
      <c r="E392" s="44" t="n"/>
    </row>
    <row r="393">
      <c r="A393" s="84" t="n"/>
      <c r="E393" s="44" t="n"/>
    </row>
    <row r="394">
      <c r="A394" s="84" t="n"/>
      <c r="E394" s="44" t="n"/>
    </row>
    <row r="395">
      <c r="A395" s="84" t="n"/>
      <c r="E395" s="44" t="n"/>
    </row>
    <row r="396">
      <c r="A396" s="84" t="n"/>
      <c r="E396" s="44" t="n"/>
    </row>
    <row r="397">
      <c r="A397" s="84" t="n"/>
      <c r="E397" s="44" t="n"/>
    </row>
    <row r="398">
      <c r="A398" s="84" t="n"/>
      <c r="E398" s="44" t="n"/>
    </row>
    <row r="399">
      <c r="A399" s="84" t="n"/>
      <c r="E399" s="44" t="n"/>
    </row>
    <row r="400">
      <c r="A400" s="84" t="n"/>
      <c r="E400" s="44" t="n"/>
    </row>
    <row r="401">
      <c r="A401" s="84" t="n"/>
      <c r="E401" s="44" t="n"/>
    </row>
    <row r="402">
      <c r="A402" s="84" t="n"/>
      <c r="E402" s="44" t="n"/>
    </row>
    <row r="403">
      <c r="A403" s="84" t="n"/>
      <c r="E403" s="44" t="n"/>
    </row>
    <row r="404">
      <c r="A404" s="84" t="n"/>
      <c r="E404" s="44" t="n"/>
    </row>
    <row r="405">
      <c r="A405" s="84" t="n"/>
      <c r="E405" s="44" t="n"/>
    </row>
    <row r="406">
      <c r="A406" s="84" t="n"/>
      <c r="E406" s="44" t="n"/>
    </row>
    <row r="407">
      <c r="A407" s="84" t="n"/>
      <c r="E407" s="44" t="n"/>
    </row>
    <row r="408">
      <c r="A408" s="84" t="n"/>
      <c r="E408" s="44" t="n"/>
    </row>
    <row r="409">
      <c r="A409" s="84" t="n"/>
      <c r="E409" s="44" t="n"/>
    </row>
    <row r="410">
      <c r="A410" s="84" t="n"/>
      <c r="E410" s="44" t="n"/>
    </row>
    <row r="411">
      <c r="A411" s="84" t="n"/>
      <c r="E411" s="44" t="n"/>
    </row>
    <row r="412">
      <c r="A412" s="84" t="n"/>
      <c r="E412" s="44" t="n"/>
    </row>
    <row r="413">
      <c r="A413" s="84" t="n"/>
      <c r="E413" s="44" t="n"/>
    </row>
    <row r="414">
      <c r="A414" s="84" t="n"/>
      <c r="E414" s="44" t="n"/>
    </row>
    <row r="415">
      <c r="A415" s="84" t="n"/>
      <c r="E415" s="44" t="n"/>
    </row>
    <row r="416">
      <c r="A416" s="84" t="n"/>
      <c r="E416" s="44" t="n"/>
    </row>
    <row r="417">
      <c r="A417" s="84" t="n"/>
      <c r="E417" s="44" t="n"/>
    </row>
    <row r="418">
      <c r="A418" s="84" t="n"/>
      <c r="E418" s="44" t="n"/>
    </row>
    <row r="419">
      <c r="A419" s="84" t="n"/>
      <c r="E419" s="44" t="n"/>
    </row>
    <row r="420">
      <c r="A420" s="84" t="n"/>
      <c r="E420" s="44" t="n"/>
    </row>
    <row r="421">
      <c r="A421" s="84" t="n"/>
      <c r="E421" s="44" t="n"/>
    </row>
    <row r="422">
      <c r="A422" s="84" t="n"/>
      <c r="E422" s="44" t="n"/>
    </row>
    <row r="423">
      <c r="A423" s="84" t="n"/>
      <c r="E423" s="44" t="n"/>
    </row>
    <row r="424">
      <c r="A424" s="84" t="n"/>
      <c r="E424" s="44" t="n"/>
    </row>
    <row r="425">
      <c r="A425" s="84" t="n"/>
      <c r="E425" s="44" t="n"/>
    </row>
    <row r="426">
      <c r="A426" s="84" t="n"/>
      <c r="E426" s="44" t="n"/>
    </row>
    <row r="427">
      <c r="A427" s="84" t="n"/>
      <c r="E427" s="44" t="n"/>
    </row>
    <row r="428">
      <c r="A428" s="84" t="n"/>
      <c r="E428" s="44" t="n"/>
    </row>
    <row r="429">
      <c r="A429" s="84" t="n"/>
      <c r="E429" s="44" t="n"/>
    </row>
    <row r="430">
      <c r="A430" s="84" t="n"/>
      <c r="E430" s="44" t="n"/>
    </row>
    <row r="431">
      <c r="A431" s="84" t="n"/>
      <c r="E431" s="44" t="n"/>
    </row>
    <row r="432">
      <c r="A432" s="84" t="n"/>
      <c r="E432" s="44" t="n"/>
    </row>
    <row r="433">
      <c r="A433" s="84" t="n"/>
      <c r="E433" s="44" t="n"/>
    </row>
    <row r="434">
      <c r="A434" s="84" t="n"/>
      <c r="E434" s="44" t="n"/>
    </row>
    <row r="435">
      <c r="A435" s="84" t="n"/>
      <c r="E435" s="44" t="n"/>
    </row>
    <row r="436">
      <c r="A436" s="84" t="n"/>
      <c r="E436" s="44" t="n"/>
    </row>
    <row r="437">
      <c r="A437" s="84" t="n"/>
      <c r="E437" s="44" t="n"/>
    </row>
    <row r="438">
      <c r="A438" s="84" t="n"/>
      <c r="E438" s="44" t="n"/>
    </row>
    <row r="439">
      <c r="A439" s="84" t="n"/>
      <c r="E439" s="44" t="n"/>
    </row>
    <row r="440">
      <c r="A440" s="84" t="n"/>
      <c r="E440" s="44" t="n"/>
    </row>
    <row r="441">
      <c r="A441" s="84" t="n"/>
      <c r="E441" s="44" t="n"/>
    </row>
    <row r="442">
      <c r="A442" s="84" t="n"/>
      <c r="E442" s="44" t="n"/>
    </row>
    <row r="443">
      <c r="A443" s="84" t="n"/>
      <c r="E443" s="44" t="n"/>
    </row>
    <row r="444">
      <c r="A444" s="84" t="n"/>
      <c r="E444" s="44" t="n"/>
    </row>
    <row r="445">
      <c r="A445" s="84" t="n"/>
      <c r="E445" s="44" t="n"/>
    </row>
    <row r="446">
      <c r="A446" s="84" t="n"/>
      <c r="E446" s="44" t="n"/>
    </row>
    <row r="447">
      <c r="A447" s="84" t="n"/>
      <c r="E447" s="44" t="n"/>
    </row>
    <row r="448">
      <c r="A448" s="84" t="n"/>
      <c r="E448" s="44" t="n"/>
    </row>
    <row r="449">
      <c r="A449" s="84" t="n"/>
      <c r="E449" s="44" t="n"/>
    </row>
    <row r="450">
      <c r="A450" s="84" t="n"/>
      <c r="E450" s="44" t="n"/>
    </row>
    <row r="451">
      <c r="A451" s="84" t="n"/>
      <c r="E451" s="44" t="n"/>
    </row>
    <row r="452">
      <c r="A452" s="84" t="n"/>
      <c r="E452" s="44" t="n"/>
    </row>
    <row r="453">
      <c r="A453" s="84" t="n"/>
      <c r="E453" s="44" t="n"/>
    </row>
    <row r="454">
      <c r="A454" s="84" t="n"/>
      <c r="E454" s="44" t="n"/>
    </row>
    <row r="455">
      <c r="A455" s="84" t="n"/>
      <c r="E455" s="44" t="n"/>
    </row>
    <row r="456">
      <c r="A456" s="84" t="n"/>
      <c r="E456" s="44" t="n"/>
    </row>
    <row r="457">
      <c r="A457" s="84" t="n"/>
      <c r="E457" s="44" t="n"/>
    </row>
    <row r="458">
      <c r="A458" s="84" t="n"/>
      <c r="E458" s="44" t="n"/>
    </row>
    <row r="459">
      <c r="A459" s="84" t="n"/>
      <c r="E459" s="44" t="n"/>
    </row>
    <row r="460">
      <c r="A460" s="84" t="n"/>
      <c r="E460" s="44" t="n"/>
    </row>
    <row r="461">
      <c r="A461" s="84" t="n"/>
      <c r="E461" s="44" t="n"/>
    </row>
    <row r="462">
      <c r="A462" s="84" t="n"/>
      <c r="E462" s="44" t="n"/>
    </row>
    <row r="463">
      <c r="A463" s="84" t="n"/>
      <c r="E463" s="44" t="n"/>
    </row>
    <row r="464">
      <c r="A464" s="84" t="n"/>
      <c r="E464" s="44" t="n"/>
    </row>
    <row r="465">
      <c r="A465" s="84" t="n"/>
      <c r="E465" s="44" t="n"/>
    </row>
    <row r="466">
      <c r="A466" s="84" t="n"/>
      <c r="E466" s="44" t="n"/>
    </row>
    <row r="467">
      <c r="A467" s="84" t="n"/>
      <c r="E467" s="44" t="n"/>
    </row>
    <row r="468">
      <c r="A468" s="84" t="n"/>
      <c r="E468" s="44" t="n"/>
    </row>
    <row r="469">
      <c r="A469" s="84" t="n"/>
      <c r="E469" s="44" t="n"/>
    </row>
    <row r="470">
      <c r="A470" s="84" t="n"/>
      <c r="E470" s="44" t="n"/>
    </row>
    <row r="471">
      <c r="A471" s="84" t="n"/>
      <c r="E471" s="44" t="n"/>
    </row>
    <row r="472">
      <c r="A472" s="84" t="n"/>
      <c r="E472" s="44" t="n"/>
    </row>
    <row r="473">
      <c r="A473" s="84" t="n"/>
      <c r="E473" s="44" t="n"/>
    </row>
    <row r="474">
      <c r="A474" s="84" t="n"/>
      <c r="E474" s="44" t="n"/>
    </row>
    <row r="475">
      <c r="A475" s="84" t="n"/>
      <c r="E475" s="44" t="n"/>
    </row>
    <row r="476">
      <c r="A476" s="84" t="n"/>
      <c r="E476" s="44" t="n"/>
    </row>
    <row r="477">
      <c r="A477" s="84" t="n"/>
      <c r="E477" s="44" t="n"/>
    </row>
    <row r="478">
      <c r="A478" s="84" t="n"/>
      <c r="E478" s="44" t="n"/>
    </row>
    <row r="479">
      <c r="A479" s="84" t="n"/>
      <c r="E479" s="44" t="n"/>
    </row>
    <row r="480">
      <c r="A480" s="84" t="n"/>
      <c r="E480" s="44" t="n"/>
    </row>
    <row r="481">
      <c r="A481" s="84" t="n"/>
      <c r="E481" s="44" t="n"/>
    </row>
    <row r="482">
      <c r="A482" s="84" t="n"/>
      <c r="E482" s="44" t="n"/>
    </row>
    <row r="483">
      <c r="A483" s="84" t="n"/>
      <c r="E483" s="44" t="n"/>
    </row>
    <row r="484">
      <c r="A484" s="84" t="n"/>
      <c r="E484" s="44" t="n"/>
    </row>
    <row r="485">
      <c r="A485" s="84" t="n"/>
      <c r="E485" s="44" t="n"/>
    </row>
    <row r="486">
      <c r="A486" s="84" t="n"/>
      <c r="E486" s="44" t="n"/>
    </row>
    <row r="487">
      <c r="A487" s="84" t="n"/>
      <c r="E487" s="44" t="n"/>
    </row>
    <row r="488">
      <c r="A488" s="84" t="n"/>
      <c r="E488" s="44" t="n"/>
    </row>
    <row r="489">
      <c r="A489" s="84" t="n"/>
      <c r="E489" s="44" t="n"/>
    </row>
    <row r="490">
      <c r="A490" s="84" t="n"/>
      <c r="E490" s="44" t="n"/>
    </row>
    <row r="491">
      <c r="A491" s="84" t="n"/>
      <c r="E491" s="44" t="n"/>
    </row>
    <row r="492">
      <c r="A492" s="84" t="n"/>
      <c r="E492" s="44" t="n"/>
    </row>
    <row r="493">
      <c r="A493" s="84" t="n"/>
      <c r="E493" s="44" t="n"/>
    </row>
    <row r="494">
      <c r="A494" s="84" t="n"/>
      <c r="E494" s="44" t="n"/>
    </row>
    <row r="495">
      <c r="A495" s="84" t="n"/>
      <c r="E495" s="44" t="n"/>
    </row>
    <row r="496">
      <c r="A496" s="84" t="n"/>
      <c r="E496" s="44" t="n"/>
    </row>
    <row r="497">
      <c r="A497" s="84" t="n"/>
      <c r="E497" s="44" t="n"/>
    </row>
    <row r="498">
      <c r="A498" s="84" t="n"/>
      <c r="E498" s="44" t="n"/>
    </row>
    <row r="499">
      <c r="A499" s="84" t="n"/>
      <c r="E499" s="44" t="n"/>
    </row>
    <row r="500">
      <c r="A500" s="84" t="n"/>
      <c r="E500" s="44" t="n"/>
    </row>
    <row r="501">
      <c r="A501" s="84" t="n"/>
      <c r="E501" s="44" t="n"/>
    </row>
    <row r="502">
      <c r="A502" s="84" t="n"/>
      <c r="E502" s="44" t="n"/>
    </row>
    <row r="503">
      <c r="A503" s="84" t="n"/>
      <c r="E503" s="44" t="n"/>
    </row>
    <row r="504">
      <c r="A504" s="84" t="n"/>
      <c r="E504" s="44" t="n"/>
    </row>
    <row r="506">
      <c r="A506" s="2" t="inlineStr">
        <is>
          <t>※ 個人情報が入る表です。共有範囲を広げないこと。お客様に送るURLは独自ドメインから（docs/事故報告-2026-09-12-セーフブラウジング.md）</t>
        </is>
      </c>
    </row>
  </sheetData>
  <autoFilter ref="A4:I504"/>
  <conditionalFormatting sqref="H3">
    <cfRule type="cellIs" priority="1" operator="greaterThan" dxfId="0">
      <formula>0</formula>
    </cfRule>
  </conditionalFormatting>
  <dataValidations count="2">
    <dataValidation sqref="B5:B504" showDropDown="0" showInputMessage="0" showErrorMessage="0" allowBlank="1" type="list">
      <formula1>'選択肢マスター'!$Q$2:$Q$6</formula1>
    </dataValidation>
    <dataValidation sqref="H5:H504" showDropDown="0" showInputMessage="0" showErrorMessage="0" allowBlank="1" type="list">
      <formula1>'選択肢マスター'!$J$2:$J$3</formula1>
    </dataValidation>
  </dataValidations>
  <pageMargins left="0.75" right="0.75" top="1" bottom="1" header="0.5" footer="0.5"/>
</worksheet>
</file>

<file path=xl/worksheets/sheet34.xml><?xml version="1.0" encoding="utf-8"?>
<worksheet xmlns="http://schemas.openxmlformats.org/spreadsheetml/2006/main">
  <sheetPr>
    <tabColor rgb="008FAADC"/>
    <outlinePr summaryBelow="1" summaryRight="1"/>
    <pageSetUpPr/>
  </sheetPr>
  <dimension ref="A1:AF2015"/>
  <sheetViews>
    <sheetView workbookViewId="0">
      <pane xSplit="4" ySplit="15" topLeftCell="E16"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1" customWidth="1" min="3" max="3"/>
    <col width="18" customWidth="1" min="4" max="4"/>
    <col width="18" customWidth="1" min="5" max="5"/>
    <col width="11" customWidth="1" min="6" max="6"/>
    <col width="24" customWidth="1" min="7" max="7"/>
    <col width="15" customWidth="1" min="8" max="8"/>
    <col width="15" customWidth="1" min="9" max="9"/>
    <col width="11" customWidth="1" min="10" max="10"/>
    <col width="9" customWidth="1" min="11" max="11"/>
    <col width="30" customWidth="1" min="12" max="12"/>
    <col width="22" customWidth="1" min="13" max="13"/>
    <col width="11" customWidth="1" min="14" max="14"/>
    <col width="13" customWidth="1" min="15" max="15"/>
    <col width="16" customWidth="1" min="16" max="16"/>
    <col width="13" customWidth="1" min="17" max="17"/>
    <col width="14" customWidth="1" min="18" max="18"/>
    <col width="10" customWidth="1" min="19" max="19"/>
    <col width="13" customWidth="1" min="20" max="20"/>
    <col width="12" customWidth="1" min="21" max="21"/>
    <col width="16" customWidth="1" min="22" max="22"/>
    <col width="34" customWidth="1" min="23" max="23"/>
    <col width="10" customWidth="1" min="24" max="24"/>
    <col width="10" customWidth="1" min="25" max="25"/>
    <col width="10" customWidth="1" min="26" max="26"/>
    <col width="10" customWidth="1" min="27" max="27"/>
    <col width="12" customWidth="1" min="28" max="28"/>
    <col width="14" customWidth="1" min="29" max="29"/>
    <col width="11" customWidth="1" min="30" max="30"/>
    <col width="14" customWidth="1" min="31" max="31"/>
    <col width="34" customWidth="1" min="32" max="32"/>
  </cols>
  <sheetData>
    <row r="1" ht="22" customHeight="1">
      <c r="A1" s="1" t="inlineStr">
        <is>
          <t>顧客管理台帳（2027年版・空の器）</t>
        </is>
      </c>
    </row>
    <row r="2">
      <c r="A2" s="2" t="inlineStr">
        <is>
          <t>2026年からの実データ移行は年末にオーナーが行います。ヘッダーは15行目、データは16行目から（2026年版と同じ）。</t>
        </is>
      </c>
    </row>
    <row r="4">
      <c r="A4" s="11" t="inlineStr">
        <is>
          <t>▼ ダッシュボード（自動）</t>
        </is>
      </c>
    </row>
    <row r="5">
      <c r="A5" s="13" t="inlineStr">
        <is>
          <t>顧客数</t>
        </is>
      </c>
      <c r="B5" s="85">
        <f>COUNTA($A$16:$A$2015)</f>
        <v/>
      </c>
      <c r="D5" s="2" t="inlineStr">
        <is>
          <t>2026年実績：957名・平均LTV 54,650円・リピート率25.0%。2027年目標 リピート率30%（中立）</t>
        </is>
      </c>
    </row>
    <row r="6">
      <c r="A6" s="13" t="inlineStr">
        <is>
          <t>2回以上ご利用</t>
        </is>
      </c>
      <c r="B6" s="85">
        <f>COUNTIF($S$16:$S$2015,"&gt;=2")</f>
        <v/>
      </c>
    </row>
    <row r="7">
      <c r="A7" s="13" t="inlineStr">
        <is>
          <t>リピート率</t>
        </is>
      </c>
      <c r="B7" s="86">
        <f>IFERROR(COUNTIF($S$16:$S$2015,"&gt;=2")/COUNTA($A$16:$A$2015),0)</f>
        <v/>
      </c>
      <c r="D7" s="8" t="inlineStr">
        <is>
          <t>★お客様に届くもの（SMS・LINE・電話）は、この台帳の「最終施工の名義」と機械照合してから作ること</t>
        </is>
      </c>
    </row>
    <row r="8">
      <c r="A8" s="13" t="inlineStr">
        <is>
          <t>総受注額</t>
        </is>
      </c>
      <c r="B8" s="87">
        <f>SUM($T$16:$T$2015)</f>
        <v/>
      </c>
      <c r="D8" s="2" t="inlineStr">
        <is>
          <t xml:space="preserve">　tools/derive-soushin-keitou.py の meigi_hyou()。列の値を信じないこと（2026-09-11 名義取り違え事故）</t>
        </is>
      </c>
    </row>
    <row r="9">
      <c r="A9" s="13" t="inlineStr">
        <is>
          <t>平均LTV</t>
        </is>
      </c>
      <c r="B9" s="87">
        <f>IFERROR(SUM($T$16:$T$2015)/COUNTA($A$16:$A$2015),0)</f>
        <v/>
      </c>
      <c r="D9" s="2" t="inlineStr">
        <is>
          <t>★楽ラクーン経由はフォロー連絡ができません。送信系統＝連絡不可 にしてリストから恒久的に外します</t>
        </is>
      </c>
    </row>
    <row r="10">
      <c r="A10" s="13" t="inlineStr">
        <is>
          <t>自社名義</t>
        </is>
      </c>
      <c r="B10" s="85">
        <f>COUNTIF($B$16:$B$2015,"自社")</f>
        <v/>
      </c>
      <c r="D10" s="2" t="inlineStr">
        <is>
          <t>★紹介者（法人）と実際のご利用者（個人）が別の案件があります。氏名欄・TEL欄に押し込まないこと</t>
        </is>
      </c>
    </row>
    <row r="11">
      <c r="A11" s="13" t="inlineStr">
        <is>
          <t>本舗名義</t>
        </is>
      </c>
      <c r="B11" s="85">
        <f>COUNTIF($B$16:$B$2015,"本舗")</f>
        <v/>
      </c>
    </row>
    <row r="12">
      <c r="A12" s="13" t="inlineStr">
        <is>
          <t>連絡不可（楽ラクーン等）</t>
        </is>
      </c>
      <c r="B12" s="85">
        <f>COUNTIF($C$16:$C$2015,"連絡不可")</f>
        <v/>
      </c>
    </row>
    <row r="15" ht="30" customHeight="1">
      <c r="A15" s="3" t="inlineStr">
        <is>
          <t>顧客ID</t>
        </is>
      </c>
      <c r="B15" s="3" t="inlineStr">
        <is>
          <t>名義</t>
        </is>
      </c>
      <c r="C15" s="3" t="inlineStr">
        <is>
          <t>送信系統</t>
        </is>
      </c>
      <c r="D15" s="3" t="inlineStr">
        <is>
          <t>氏名</t>
        </is>
      </c>
      <c r="E15" s="3" t="inlineStr">
        <is>
          <t>フリガナ</t>
        </is>
      </c>
      <c r="F15" s="3" t="inlineStr">
        <is>
          <t>法人/個人</t>
        </is>
      </c>
      <c r="G15" s="3" t="inlineStr">
        <is>
          <t>紹介者（法人名など）</t>
        </is>
      </c>
      <c r="H15" s="3" t="inlineStr">
        <is>
          <t>TEL1</t>
        </is>
      </c>
      <c r="I15" s="3" t="inlineStr">
        <is>
          <t>TEL2</t>
        </is>
      </c>
      <c r="J15" s="3" t="inlineStr">
        <is>
          <t>郵便番号</t>
        </is>
      </c>
      <c r="K15" s="3" t="inlineStr">
        <is>
          <t>都県</t>
        </is>
      </c>
      <c r="L15" s="3" t="inlineStr">
        <is>
          <t>住所</t>
        </is>
      </c>
      <c r="M15" s="3" t="inlineStr">
        <is>
          <t>メール</t>
        </is>
      </c>
      <c r="N15" s="3" t="inlineStr">
        <is>
          <t>公式LINE</t>
        </is>
      </c>
      <c r="O15" s="3" t="inlineStr">
        <is>
          <t>初回施工日</t>
        </is>
      </c>
      <c r="P15" s="3" t="inlineStr">
        <is>
          <t>初回の入口</t>
        </is>
      </c>
      <c r="Q15" s="3" t="inlineStr">
        <is>
          <t>最終施工日</t>
        </is>
      </c>
      <c r="R15" s="3" t="inlineStr">
        <is>
          <t>最終施工の名義</t>
        </is>
      </c>
      <c r="S15" s="3" t="inlineStr">
        <is>
          <t>施工回数</t>
        </is>
      </c>
      <c r="T15" s="3" t="inlineStr">
        <is>
          <t>総受注額</t>
        </is>
      </c>
      <c r="U15" s="3" t="inlineStr">
        <is>
          <t>平均単価</t>
        </is>
      </c>
      <c r="V15" s="3" t="inlineStr">
        <is>
          <t>主な流入経路</t>
        </is>
      </c>
      <c r="W15" s="3" t="inlineStr">
        <is>
          <t>実施済みメニュー（全文）</t>
        </is>
      </c>
      <c r="X15" s="3" t="inlineStr">
        <is>
          <t>エアコン</t>
        </is>
      </c>
      <c r="Y15" s="3" t="inlineStr">
        <is>
          <t>換気扇</t>
        </is>
      </c>
      <c r="Z15" s="3" t="inlineStr">
        <is>
          <t>浴室</t>
        </is>
      </c>
      <c r="AA15" s="3" t="inlineStr">
        <is>
          <t>洗濯機</t>
        </is>
      </c>
      <c r="AB15" s="3" t="inlineStr">
        <is>
          <t>トイレ/洗面</t>
        </is>
      </c>
      <c r="AC15" s="3" t="inlineStr">
        <is>
          <t>次回案内予定月</t>
        </is>
      </c>
      <c r="AD15" s="3" t="inlineStr">
        <is>
          <t>連絡可否</t>
        </is>
      </c>
      <c r="AE15" s="3" t="inlineStr">
        <is>
          <t>満足度/クチコミ</t>
        </is>
      </c>
      <c r="AF15" s="3" t="inlineStr">
        <is>
          <t>備考</t>
        </is>
      </c>
    </row>
    <row r="16">
      <c r="O16" s="44" t="n"/>
      <c r="Q16" s="44" t="n"/>
      <c r="T16" s="45" t="n"/>
      <c r="U16" s="45" t="n"/>
    </row>
    <row r="17">
      <c r="O17" s="44" t="n"/>
      <c r="Q17" s="44" t="n"/>
      <c r="T17" s="45" t="n"/>
      <c r="U17" s="45" t="n"/>
    </row>
    <row r="18">
      <c r="O18" s="44" t="n"/>
      <c r="Q18" s="44" t="n"/>
      <c r="T18" s="45" t="n"/>
      <c r="U18" s="45" t="n"/>
    </row>
    <row r="19">
      <c r="O19" s="44" t="n"/>
      <c r="Q19" s="44" t="n"/>
      <c r="T19" s="45" t="n"/>
      <c r="U19" s="45" t="n"/>
    </row>
    <row r="20">
      <c r="O20" s="44" t="n"/>
      <c r="Q20" s="44" t="n"/>
      <c r="T20" s="45" t="n"/>
      <c r="U20" s="45" t="n"/>
    </row>
    <row r="21">
      <c r="O21" s="44" t="n"/>
      <c r="Q21" s="44" t="n"/>
      <c r="T21" s="45" t="n"/>
      <c r="U21" s="45" t="n"/>
    </row>
    <row r="22">
      <c r="O22" s="44" t="n"/>
      <c r="Q22" s="44" t="n"/>
      <c r="T22" s="45" t="n"/>
      <c r="U22" s="45" t="n"/>
    </row>
    <row r="23">
      <c r="O23" s="44" t="n"/>
      <c r="Q23" s="44" t="n"/>
      <c r="T23" s="45" t="n"/>
      <c r="U23" s="45" t="n"/>
    </row>
    <row r="24">
      <c r="O24" s="44" t="n"/>
      <c r="Q24" s="44" t="n"/>
      <c r="T24" s="45" t="n"/>
      <c r="U24" s="45" t="n"/>
    </row>
    <row r="25">
      <c r="O25" s="44" t="n"/>
      <c r="Q25" s="44" t="n"/>
      <c r="T25" s="45" t="n"/>
      <c r="U25" s="45" t="n"/>
    </row>
    <row r="26">
      <c r="O26" s="44" t="n"/>
      <c r="Q26" s="44" t="n"/>
      <c r="T26" s="45" t="n"/>
      <c r="U26" s="45" t="n"/>
    </row>
    <row r="27">
      <c r="O27" s="44" t="n"/>
      <c r="Q27" s="44" t="n"/>
      <c r="T27" s="45" t="n"/>
      <c r="U27" s="45" t="n"/>
    </row>
    <row r="28">
      <c r="O28" s="44" t="n"/>
      <c r="Q28" s="44" t="n"/>
      <c r="T28" s="45" t="n"/>
      <c r="U28" s="45" t="n"/>
    </row>
    <row r="29">
      <c r="O29" s="44" t="n"/>
      <c r="Q29" s="44" t="n"/>
      <c r="T29" s="45" t="n"/>
      <c r="U29" s="45" t="n"/>
    </row>
    <row r="30">
      <c r="O30" s="44" t="n"/>
      <c r="Q30" s="44" t="n"/>
      <c r="T30" s="45" t="n"/>
      <c r="U30" s="45" t="n"/>
    </row>
    <row r="31">
      <c r="O31" s="44" t="n"/>
      <c r="Q31" s="44" t="n"/>
      <c r="T31" s="45" t="n"/>
      <c r="U31" s="45" t="n"/>
    </row>
    <row r="32">
      <c r="O32" s="44" t="n"/>
      <c r="Q32" s="44" t="n"/>
      <c r="T32" s="45" t="n"/>
      <c r="U32" s="45" t="n"/>
    </row>
    <row r="33">
      <c r="O33" s="44" t="n"/>
      <c r="Q33" s="44" t="n"/>
      <c r="T33" s="45" t="n"/>
      <c r="U33" s="45" t="n"/>
    </row>
    <row r="34">
      <c r="O34" s="44" t="n"/>
      <c r="Q34" s="44" t="n"/>
      <c r="T34" s="45" t="n"/>
      <c r="U34" s="45" t="n"/>
    </row>
    <row r="35">
      <c r="O35" s="44" t="n"/>
      <c r="Q35" s="44" t="n"/>
      <c r="T35" s="45" t="n"/>
      <c r="U35" s="45" t="n"/>
    </row>
    <row r="36">
      <c r="O36" s="44" t="n"/>
      <c r="Q36" s="44" t="n"/>
      <c r="T36" s="45" t="n"/>
      <c r="U36" s="45" t="n"/>
    </row>
    <row r="37">
      <c r="O37" s="44" t="n"/>
      <c r="Q37" s="44" t="n"/>
      <c r="T37" s="45" t="n"/>
      <c r="U37" s="45" t="n"/>
    </row>
    <row r="38">
      <c r="O38" s="44" t="n"/>
      <c r="Q38" s="44" t="n"/>
      <c r="T38" s="45" t="n"/>
      <c r="U38" s="45" t="n"/>
    </row>
    <row r="39">
      <c r="O39" s="44" t="n"/>
      <c r="Q39" s="44" t="n"/>
      <c r="T39" s="45" t="n"/>
      <c r="U39" s="45" t="n"/>
    </row>
    <row r="40">
      <c r="O40" s="44" t="n"/>
      <c r="Q40" s="44" t="n"/>
      <c r="T40" s="45" t="n"/>
      <c r="U40" s="45" t="n"/>
    </row>
    <row r="41">
      <c r="O41" s="44" t="n"/>
      <c r="Q41" s="44" t="n"/>
      <c r="T41" s="45" t="n"/>
      <c r="U41" s="45" t="n"/>
    </row>
    <row r="42">
      <c r="O42" s="44" t="n"/>
      <c r="Q42" s="44" t="n"/>
      <c r="T42" s="45" t="n"/>
      <c r="U42" s="45" t="n"/>
    </row>
    <row r="43">
      <c r="O43" s="44" t="n"/>
      <c r="Q43" s="44" t="n"/>
      <c r="T43" s="45" t="n"/>
      <c r="U43" s="45" t="n"/>
    </row>
    <row r="44">
      <c r="O44" s="44" t="n"/>
      <c r="Q44" s="44" t="n"/>
      <c r="T44" s="45" t="n"/>
      <c r="U44" s="45" t="n"/>
    </row>
    <row r="45">
      <c r="O45" s="44" t="n"/>
      <c r="Q45" s="44" t="n"/>
      <c r="T45" s="45" t="n"/>
      <c r="U45" s="45" t="n"/>
    </row>
    <row r="46">
      <c r="O46" s="44" t="n"/>
      <c r="Q46" s="44" t="n"/>
      <c r="T46" s="45" t="n"/>
      <c r="U46" s="45" t="n"/>
    </row>
    <row r="47">
      <c r="O47" s="44" t="n"/>
      <c r="Q47" s="44" t="n"/>
      <c r="T47" s="45" t="n"/>
      <c r="U47" s="45" t="n"/>
    </row>
    <row r="48">
      <c r="O48" s="44" t="n"/>
      <c r="Q48" s="44" t="n"/>
      <c r="T48" s="45" t="n"/>
      <c r="U48" s="45" t="n"/>
    </row>
    <row r="49">
      <c r="O49" s="44" t="n"/>
      <c r="Q49" s="44" t="n"/>
      <c r="T49" s="45" t="n"/>
      <c r="U49" s="45" t="n"/>
    </row>
    <row r="50">
      <c r="O50" s="44" t="n"/>
      <c r="Q50" s="44" t="n"/>
      <c r="T50" s="45" t="n"/>
      <c r="U50" s="45" t="n"/>
    </row>
    <row r="51">
      <c r="O51" s="44" t="n"/>
      <c r="Q51" s="44" t="n"/>
      <c r="T51" s="45" t="n"/>
      <c r="U51" s="45" t="n"/>
    </row>
    <row r="52">
      <c r="O52" s="44" t="n"/>
      <c r="Q52" s="44" t="n"/>
      <c r="T52" s="45" t="n"/>
      <c r="U52" s="45" t="n"/>
    </row>
    <row r="53">
      <c r="O53" s="44" t="n"/>
      <c r="Q53" s="44" t="n"/>
      <c r="T53" s="45" t="n"/>
      <c r="U53" s="45" t="n"/>
    </row>
    <row r="54">
      <c r="O54" s="44" t="n"/>
      <c r="Q54" s="44" t="n"/>
      <c r="T54" s="45" t="n"/>
      <c r="U54" s="45" t="n"/>
    </row>
    <row r="55">
      <c r="O55" s="44" t="n"/>
      <c r="Q55" s="44" t="n"/>
      <c r="T55" s="45" t="n"/>
      <c r="U55" s="45" t="n"/>
    </row>
    <row r="56">
      <c r="O56" s="44" t="n"/>
      <c r="Q56" s="44" t="n"/>
      <c r="T56" s="45" t="n"/>
      <c r="U56" s="45" t="n"/>
    </row>
    <row r="57">
      <c r="O57" s="44" t="n"/>
      <c r="Q57" s="44" t="n"/>
      <c r="T57" s="45" t="n"/>
      <c r="U57" s="45" t="n"/>
    </row>
    <row r="58">
      <c r="O58" s="44" t="n"/>
      <c r="Q58" s="44" t="n"/>
      <c r="T58" s="45" t="n"/>
      <c r="U58" s="45" t="n"/>
    </row>
    <row r="59">
      <c r="O59" s="44" t="n"/>
      <c r="Q59" s="44" t="n"/>
      <c r="T59" s="45" t="n"/>
      <c r="U59" s="45" t="n"/>
    </row>
    <row r="60">
      <c r="O60" s="44" t="n"/>
      <c r="Q60" s="44" t="n"/>
      <c r="T60" s="45" t="n"/>
      <c r="U60" s="45" t="n"/>
    </row>
    <row r="61">
      <c r="O61" s="44" t="n"/>
      <c r="Q61" s="44" t="n"/>
      <c r="T61" s="45" t="n"/>
      <c r="U61" s="45" t="n"/>
    </row>
    <row r="62">
      <c r="O62" s="44" t="n"/>
      <c r="Q62" s="44" t="n"/>
      <c r="T62" s="45" t="n"/>
      <c r="U62" s="45" t="n"/>
    </row>
    <row r="63">
      <c r="O63" s="44" t="n"/>
      <c r="Q63" s="44" t="n"/>
      <c r="T63" s="45" t="n"/>
      <c r="U63" s="45" t="n"/>
    </row>
    <row r="64">
      <c r="O64" s="44" t="n"/>
      <c r="Q64" s="44" t="n"/>
      <c r="T64" s="45" t="n"/>
      <c r="U64" s="45" t="n"/>
    </row>
    <row r="65">
      <c r="O65" s="44" t="n"/>
      <c r="Q65" s="44" t="n"/>
      <c r="T65" s="45" t="n"/>
      <c r="U65" s="45" t="n"/>
    </row>
    <row r="66">
      <c r="O66" s="44" t="n"/>
      <c r="Q66" s="44" t="n"/>
      <c r="T66" s="45" t="n"/>
      <c r="U66" s="45" t="n"/>
    </row>
    <row r="67">
      <c r="O67" s="44" t="n"/>
      <c r="Q67" s="44" t="n"/>
      <c r="T67" s="45" t="n"/>
      <c r="U67" s="45" t="n"/>
    </row>
    <row r="68">
      <c r="O68" s="44" t="n"/>
      <c r="Q68" s="44" t="n"/>
      <c r="T68" s="45" t="n"/>
      <c r="U68" s="45" t="n"/>
    </row>
    <row r="69">
      <c r="O69" s="44" t="n"/>
      <c r="Q69" s="44" t="n"/>
      <c r="T69" s="45" t="n"/>
      <c r="U69" s="45" t="n"/>
    </row>
    <row r="70">
      <c r="O70" s="44" t="n"/>
      <c r="Q70" s="44" t="n"/>
      <c r="T70" s="45" t="n"/>
      <c r="U70" s="45" t="n"/>
    </row>
    <row r="71">
      <c r="O71" s="44" t="n"/>
      <c r="Q71" s="44" t="n"/>
      <c r="T71" s="45" t="n"/>
      <c r="U71" s="45" t="n"/>
    </row>
    <row r="72">
      <c r="O72" s="44" t="n"/>
      <c r="Q72" s="44" t="n"/>
      <c r="T72" s="45" t="n"/>
      <c r="U72" s="45" t="n"/>
    </row>
    <row r="73">
      <c r="O73" s="44" t="n"/>
      <c r="Q73" s="44" t="n"/>
      <c r="T73" s="45" t="n"/>
      <c r="U73" s="45" t="n"/>
    </row>
    <row r="74">
      <c r="O74" s="44" t="n"/>
      <c r="Q74" s="44" t="n"/>
      <c r="T74" s="45" t="n"/>
      <c r="U74" s="45" t="n"/>
    </row>
    <row r="75">
      <c r="O75" s="44" t="n"/>
      <c r="Q75" s="44" t="n"/>
      <c r="T75" s="45" t="n"/>
      <c r="U75" s="45" t="n"/>
    </row>
    <row r="76">
      <c r="O76" s="44" t="n"/>
      <c r="Q76" s="44" t="n"/>
      <c r="T76" s="45" t="n"/>
      <c r="U76" s="45" t="n"/>
    </row>
    <row r="77">
      <c r="O77" s="44" t="n"/>
      <c r="Q77" s="44" t="n"/>
      <c r="T77" s="45" t="n"/>
      <c r="U77" s="45" t="n"/>
    </row>
    <row r="78">
      <c r="O78" s="44" t="n"/>
      <c r="Q78" s="44" t="n"/>
      <c r="T78" s="45" t="n"/>
      <c r="U78" s="45" t="n"/>
    </row>
    <row r="79">
      <c r="O79" s="44" t="n"/>
      <c r="Q79" s="44" t="n"/>
      <c r="T79" s="45" t="n"/>
      <c r="U79" s="45" t="n"/>
    </row>
    <row r="80">
      <c r="O80" s="44" t="n"/>
      <c r="Q80" s="44" t="n"/>
      <c r="T80" s="45" t="n"/>
      <c r="U80" s="45" t="n"/>
    </row>
    <row r="81">
      <c r="O81" s="44" t="n"/>
      <c r="Q81" s="44" t="n"/>
      <c r="T81" s="45" t="n"/>
      <c r="U81" s="45" t="n"/>
    </row>
    <row r="82">
      <c r="O82" s="44" t="n"/>
      <c r="Q82" s="44" t="n"/>
      <c r="T82" s="45" t="n"/>
      <c r="U82" s="45" t="n"/>
    </row>
    <row r="83">
      <c r="O83" s="44" t="n"/>
      <c r="Q83" s="44" t="n"/>
      <c r="T83" s="45" t="n"/>
      <c r="U83" s="45" t="n"/>
    </row>
    <row r="84">
      <c r="O84" s="44" t="n"/>
      <c r="Q84" s="44" t="n"/>
      <c r="T84" s="45" t="n"/>
      <c r="U84" s="45" t="n"/>
    </row>
    <row r="85">
      <c r="O85" s="44" t="n"/>
      <c r="Q85" s="44" t="n"/>
      <c r="T85" s="45" t="n"/>
      <c r="U85" s="45" t="n"/>
    </row>
    <row r="86">
      <c r="O86" s="44" t="n"/>
      <c r="Q86" s="44" t="n"/>
      <c r="T86" s="45" t="n"/>
      <c r="U86" s="45" t="n"/>
    </row>
    <row r="87">
      <c r="O87" s="44" t="n"/>
      <c r="Q87" s="44" t="n"/>
      <c r="T87" s="45" t="n"/>
      <c r="U87" s="45" t="n"/>
    </row>
    <row r="88">
      <c r="O88" s="44" t="n"/>
      <c r="Q88" s="44" t="n"/>
      <c r="T88" s="45" t="n"/>
      <c r="U88" s="45" t="n"/>
    </row>
    <row r="89">
      <c r="O89" s="44" t="n"/>
      <c r="Q89" s="44" t="n"/>
      <c r="T89" s="45" t="n"/>
      <c r="U89" s="45" t="n"/>
    </row>
    <row r="90">
      <c r="O90" s="44" t="n"/>
      <c r="Q90" s="44" t="n"/>
      <c r="T90" s="45" t="n"/>
      <c r="U90" s="45" t="n"/>
    </row>
    <row r="91">
      <c r="O91" s="44" t="n"/>
      <c r="Q91" s="44" t="n"/>
      <c r="T91" s="45" t="n"/>
      <c r="U91" s="45" t="n"/>
    </row>
    <row r="92">
      <c r="O92" s="44" t="n"/>
      <c r="Q92" s="44" t="n"/>
      <c r="T92" s="45" t="n"/>
      <c r="U92" s="45" t="n"/>
    </row>
    <row r="93">
      <c r="O93" s="44" t="n"/>
      <c r="Q93" s="44" t="n"/>
      <c r="T93" s="45" t="n"/>
      <c r="U93" s="45" t="n"/>
    </row>
    <row r="94">
      <c r="O94" s="44" t="n"/>
      <c r="Q94" s="44" t="n"/>
      <c r="T94" s="45" t="n"/>
      <c r="U94" s="45" t="n"/>
    </row>
    <row r="95">
      <c r="O95" s="44" t="n"/>
      <c r="Q95" s="44" t="n"/>
      <c r="T95" s="45" t="n"/>
      <c r="U95" s="45" t="n"/>
    </row>
    <row r="96">
      <c r="O96" s="44" t="n"/>
      <c r="Q96" s="44" t="n"/>
      <c r="T96" s="45" t="n"/>
      <c r="U96" s="45" t="n"/>
    </row>
    <row r="97">
      <c r="O97" s="44" t="n"/>
      <c r="Q97" s="44" t="n"/>
      <c r="T97" s="45" t="n"/>
      <c r="U97" s="45" t="n"/>
    </row>
    <row r="98">
      <c r="O98" s="44" t="n"/>
      <c r="Q98" s="44" t="n"/>
      <c r="T98" s="45" t="n"/>
      <c r="U98" s="45" t="n"/>
    </row>
    <row r="99">
      <c r="O99" s="44" t="n"/>
      <c r="Q99" s="44" t="n"/>
      <c r="T99" s="45" t="n"/>
      <c r="U99" s="45" t="n"/>
    </row>
    <row r="100">
      <c r="O100" s="44" t="n"/>
      <c r="Q100" s="44" t="n"/>
      <c r="T100" s="45" t="n"/>
      <c r="U100" s="45" t="n"/>
    </row>
    <row r="101">
      <c r="O101" s="44" t="n"/>
      <c r="Q101" s="44" t="n"/>
      <c r="T101" s="45" t="n"/>
      <c r="U101" s="45" t="n"/>
    </row>
    <row r="102">
      <c r="O102" s="44" t="n"/>
      <c r="Q102" s="44" t="n"/>
      <c r="T102" s="45" t="n"/>
      <c r="U102" s="45" t="n"/>
    </row>
    <row r="103">
      <c r="O103" s="44" t="n"/>
      <c r="Q103" s="44" t="n"/>
      <c r="T103" s="45" t="n"/>
      <c r="U103" s="45" t="n"/>
    </row>
    <row r="104">
      <c r="O104" s="44" t="n"/>
      <c r="Q104" s="44" t="n"/>
      <c r="T104" s="45" t="n"/>
      <c r="U104" s="45" t="n"/>
    </row>
    <row r="105">
      <c r="O105" s="44" t="n"/>
      <c r="Q105" s="44" t="n"/>
      <c r="T105" s="45" t="n"/>
      <c r="U105" s="45" t="n"/>
    </row>
    <row r="106">
      <c r="O106" s="44" t="n"/>
      <c r="Q106" s="44" t="n"/>
      <c r="T106" s="45" t="n"/>
      <c r="U106" s="45" t="n"/>
    </row>
    <row r="107">
      <c r="O107" s="44" t="n"/>
      <c r="Q107" s="44" t="n"/>
      <c r="T107" s="45" t="n"/>
      <c r="U107" s="45" t="n"/>
    </row>
    <row r="108">
      <c r="O108" s="44" t="n"/>
      <c r="Q108" s="44" t="n"/>
      <c r="T108" s="45" t="n"/>
      <c r="U108" s="45" t="n"/>
    </row>
    <row r="109">
      <c r="O109" s="44" t="n"/>
      <c r="Q109" s="44" t="n"/>
      <c r="T109" s="45" t="n"/>
      <c r="U109" s="45" t="n"/>
    </row>
    <row r="110">
      <c r="O110" s="44" t="n"/>
      <c r="Q110" s="44" t="n"/>
      <c r="T110" s="45" t="n"/>
      <c r="U110" s="45" t="n"/>
    </row>
    <row r="111">
      <c r="O111" s="44" t="n"/>
      <c r="Q111" s="44" t="n"/>
      <c r="T111" s="45" t="n"/>
      <c r="U111" s="45" t="n"/>
    </row>
    <row r="112">
      <c r="O112" s="44" t="n"/>
      <c r="Q112" s="44" t="n"/>
      <c r="T112" s="45" t="n"/>
      <c r="U112" s="45" t="n"/>
    </row>
    <row r="113">
      <c r="O113" s="44" t="n"/>
      <c r="Q113" s="44" t="n"/>
      <c r="T113" s="45" t="n"/>
      <c r="U113" s="45" t="n"/>
    </row>
    <row r="114">
      <c r="O114" s="44" t="n"/>
      <c r="Q114" s="44" t="n"/>
      <c r="T114" s="45" t="n"/>
      <c r="U114" s="45" t="n"/>
    </row>
    <row r="115">
      <c r="O115" s="44" t="n"/>
      <c r="Q115" s="44" t="n"/>
      <c r="T115" s="45" t="n"/>
      <c r="U115" s="45" t="n"/>
    </row>
    <row r="116">
      <c r="O116" s="44" t="n"/>
      <c r="Q116" s="44" t="n"/>
      <c r="T116" s="45" t="n"/>
      <c r="U116" s="45" t="n"/>
    </row>
    <row r="117">
      <c r="O117" s="44" t="n"/>
      <c r="Q117" s="44" t="n"/>
      <c r="T117" s="45" t="n"/>
      <c r="U117" s="45" t="n"/>
    </row>
    <row r="118">
      <c r="O118" s="44" t="n"/>
      <c r="Q118" s="44" t="n"/>
      <c r="T118" s="45" t="n"/>
      <c r="U118" s="45" t="n"/>
    </row>
    <row r="119">
      <c r="O119" s="44" t="n"/>
      <c r="Q119" s="44" t="n"/>
      <c r="T119" s="45" t="n"/>
      <c r="U119" s="45" t="n"/>
    </row>
    <row r="120">
      <c r="O120" s="44" t="n"/>
      <c r="Q120" s="44" t="n"/>
      <c r="T120" s="45" t="n"/>
      <c r="U120" s="45" t="n"/>
    </row>
    <row r="121">
      <c r="O121" s="44" t="n"/>
      <c r="Q121" s="44" t="n"/>
      <c r="T121" s="45" t="n"/>
      <c r="U121" s="45" t="n"/>
    </row>
    <row r="122">
      <c r="O122" s="44" t="n"/>
      <c r="Q122" s="44" t="n"/>
      <c r="T122" s="45" t="n"/>
      <c r="U122" s="45" t="n"/>
    </row>
    <row r="123">
      <c r="O123" s="44" t="n"/>
      <c r="Q123" s="44" t="n"/>
      <c r="T123" s="45" t="n"/>
      <c r="U123" s="45" t="n"/>
    </row>
    <row r="124">
      <c r="O124" s="44" t="n"/>
      <c r="Q124" s="44" t="n"/>
      <c r="T124" s="45" t="n"/>
      <c r="U124" s="45" t="n"/>
    </row>
    <row r="125">
      <c r="O125" s="44" t="n"/>
      <c r="Q125" s="44" t="n"/>
      <c r="T125" s="45" t="n"/>
      <c r="U125" s="45" t="n"/>
    </row>
    <row r="126">
      <c r="O126" s="44" t="n"/>
      <c r="Q126" s="44" t="n"/>
      <c r="T126" s="45" t="n"/>
      <c r="U126" s="45" t="n"/>
    </row>
    <row r="127">
      <c r="O127" s="44" t="n"/>
      <c r="Q127" s="44" t="n"/>
      <c r="T127" s="45" t="n"/>
      <c r="U127" s="45" t="n"/>
    </row>
    <row r="128">
      <c r="O128" s="44" t="n"/>
      <c r="Q128" s="44" t="n"/>
      <c r="T128" s="45" t="n"/>
      <c r="U128" s="45" t="n"/>
    </row>
    <row r="129">
      <c r="O129" s="44" t="n"/>
      <c r="Q129" s="44" t="n"/>
      <c r="T129" s="45" t="n"/>
      <c r="U129" s="45" t="n"/>
    </row>
    <row r="130">
      <c r="O130" s="44" t="n"/>
      <c r="Q130" s="44" t="n"/>
      <c r="T130" s="45" t="n"/>
      <c r="U130" s="45" t="n"/>
    </row>
    <row r="131">
      <c r="O131" s="44" t="n"/>
      <c r="Q131" s="44" t="n"/>
      <c r="T131" s="45" t="n"/>
      <c r="U131" s="45" t="n"/>
    </row>
    <row r="132">
      <c r="O132" s="44" t="n"/>
      <c r="Q132" s="44" t="n"/>
      <c r="T132" s="45" t="n"/>
      <c r="U132" s="45" t="n"/>
    </row>
    <row r="133">
      <c r="O133" s="44" t="n"/>
      <c r="Q133" s="44" t="n"/>
      <c r="T133" s="45" t="n"/>
      <c r="U133" s="45" t="n"/>
    </row>
    <row r="134">
      <c r="O134" s="44" t="n"/>
      <c r="Q134" s="44" t="n"/>
      <c r="T134" s="45" t="n"/>
      <c r="U134" s="45" t="n"/>
    </row>
    <row r="135">
      <c r="O135" s="44" t="n"/>
      <c r="Q135" s="44" t="n"/>
      <c r="T135" s="45" t="n"/>
      <c r="U135" s="45" t="n"/>
    </row>
    <row r="136">
      <c r="O136" s="44" t="n"/>
      <c r="Q136" s="44" t="n"/>
      <c r="T136" s="45" t="n"/>
      <c r="U136" s="45" t="n"/>
    </row>
    <row r="137">
      <c r="O137" s="44" t="n"/>
      <c r="Q137" s="44" t="n"/>
      <c r="T137" s="45" t="n"/>
      <c r="U137" s="45" t="n"/>
    </row>
    <row r="138">
      <c r="O138" s="44" t="n"/>
      <c r="Q138" s="44" t="n"/>
      <c r="T138" s="45" t="n"/>
      <c r="U138" s="45" t="n"/>
    </row>
    <row r="139">
      <c r="O139" s="44" t="n"/>
      <c r="Q139" s="44" t="n"/>
      <c r="T139" s="45" t="n"/>
      <c r="U139" s="45" t="n"/>
    </row>
    <row r="140">
      <c r="O140" s="44" t="n"/>
      <c r="Q140" s="44" t="n"/>
      <c r="T140" s="45" t="n"/>
      <c r="U140" s="45" t="n"/>
    </row>
    <row r="141">
      <c r="O141" s="44" t="n"/>
      <c r="Q141" s="44" t="n"/>
      <c r="T141" s="45" t="n"/>
      <c r="U141" s="45" t="n"/>
    </row>
    <row r="142">
      <c r="O142" s="44" t="n"/>
      <c r="Q142" s="44" t="n"/>
      <c r="T142" s="45" t="n"/>
      <c r="U142" s="45" t="n"/>
    </row>
    <row r="143">
      <c r="O143" s="44" t="n"/>
      <c r="Q143" s="44" t="n"/>
      <c r="T143" s="45" t="n"/>
      <c r="U143" s="45" t="n"/>
    </row>
    <row r="144">
      <c r="O144" s="44" t="n"/>
      <c r="Q144" s="44" t="n"/>
      <c r="T144" s="45" t="n"/>
      <c r="U144" s="45" t="n"/>
    </row>
    <row r="145">
      <c r="O145" s="44" t="n"/>
      <c r="Q145" s="44" t="n"/>
      <c r="T145" s="45" t="n"/>
      <c r="U145" s="45" t="n"/>
    </row>
    <row r="146">
      <c r="O146" s="44" t="n"/>
      <c r="Q146" s="44" t="n"/>
      <c r="T146" s="45" t="n"/>
      <c r="U146" s="45" t="n"/>
    </row>
    <row r="147">
      <c r="O147" s="44" t="n"/>
      <c r="Q147" s="44" t="n"/>
      <c r="T147" s="45" t="n"/>
      <c r="U147" s="45" t="n"/>
    </row>
    <row r="148">
      <c r="O148" s="44" t="n"/>
      <c r="Q148" s="44" t="n"/>
      <c r="T148" s="45" t="n"/>
      <c r="U148" s="45" t="n"/>
    </row>
    <row r="149">
      <c r="O149" s="44" t="n"/>
      <c r="Q149" s="44" t="n"/>
      <c r="T149" s="45" t="n"/>
      <c r="U149" s="45" t="n"/>
    </row>
    <row r="150">
      <c r="O150" s="44" t="n"/>
      <c r="Q150" s="44" t="n"/>
      <c r="T150" s="45" t="n"/>
      <c r="U150" s="45" t="n"/>
    </row>
    <row r="151">
      <c r="O151" s="44" t="n"/>
      <c r="Q151" s="44" t="n"/>
      <c r="T151" s="45" t="n"/>
      <c r="U151" s="45" t="n"/>
    </row>
    <row r="152">
      <c r="O152" s="44" t="n"/>
      <c r="Q152" s="44" t="n"/>
      <c r="T152" s="45" t="n"/>
      <c r="U152" s="45" t="n"/>
    </row>
    <row r="153">
      <c r="O153" s="44" t="n"/>
      <c r="Q153" s="44" t="n"/>
      <c r="T153" s="45" t="n"/>
      <c r="U153" s="45" t="n"/>
    </row>
    <row r="154">
      <c r="O154" s="44" t="n"/>
      <c r="Q154" s="44" t="n"/>
      <c r="T154" s="45" t="n"/>
      <c r="U154" s="45" t="n"/>
    </row>
    <row r="155">
      <c r="O155" s="44" t="n"/>
      <c r="Q155" s="44" t="n"/>
      <c r="T155" s="45" t="n"/>
      <c r="U155" s="45" t="n"/>
    </row>
    <row r="156">
      <c r="O156" s="44" t="n"/>
      <c r="Q156" s="44" t="n"/>
      <c r="T156" s="45" t="n"/>
      <c r="U156" s="45" t="n"/>
    </row>
    <row r="157">
      <c r="O157" s="44" t="n"/>
      <c r="Q157" s="44" t="n"/>
      <c r="T157" s="45" t="n"/>
      <c r="U157" s="45" t="n"/>
    </row>
    <row r="158">
      <c r="O158" s="44" t="n"/>
      <c r="Q158" s="44" t="n"/>
      <c r="T158" s="45" t="n"/>
      <c r="U158" s="45" t="n"/>
    </row>
    <row r="159">
      <c r="O159" s="44" t="n"/>
      <c r="Q159" s="44" t="n"/>
      <c r="T159" s="45" t="n"/>
      <c r="U159" s="45" t="n"/>
    </row>
    <row r="160">
      <c r="O160" s="44" t="n"/>
      <c r="Q160" s="44" t="n"/>
      <c r="T160" s="45" t="n"/>
      <c r="U160" s="45" t="n"/>
    </row>
    <row r="161">
      <c r="O161" s="44" t="n"/>
      <c r="Q161" s="44" t="n"/>
      <c r="T161" s="45" t="n"/>
      <c r="U161" s="45" t="n"/>
    </row>
    <row r="162">
      <c r="O162" s="44" t="n"/>
      <c r="Q162" s="44" t="n"/>
      <c r="T162" s="45" t="n"/>
      <c r="U162" s="45" t="n"/>
    </row>
    <row r="163">
      <c r="O163" s="44" t="n"/>
      <c r="Q163" s="44" t="n"/>
      <c r="T163" s="45" t="n"/>
      <c r="U163" s="45" t="n"/>
    </row>
    <row r="164">
      <c r="O164" s="44" t="n"/>
      <c r="Q164" s="44" t="n"/>
      <c r="T164" s="45" t="n"/>
      <c r="U164" s="45" t="n"/>
    </row>
    <row r="165">
      <c r="O165" s="44" t="n"/>
      <c r="Q165" s="44" t="n"/>
      <c r="T165" s="45" t="n"/>
      <c r="U165" s="45" t="n"/>
    </row>
    <row r="166">
      <c r="O166" s="44" t="n"/>
      <c r="Q166" s="44" t="n"/>
      <c r="T166" s="45" t="n"/>
      <c r="U166" s="45" t="n"/>
    </row>
    <row r="167">
      <c r="O167" s="44" t="n"/>
      <c r="Q167" s="44" t="n"/>
      <c r="T167" s="45" t="n"/>
      <c r="U167" s="45" t="n"/>
    </row>
    <row r="168">
      <c r="O168" s="44" t="n"/>
      <c r="Q168" s="44" t="n"/>
      <c r="T168" s="45" t="n"/>
      <c r="U168" s="45" t="n"/>
    </row>
    <row r="169">
      <c r="O169" s="44" t="n"/>
      <c r="Q169" s="44" t="n"/>
      <c r="T169" s="45" t="n"/>
      <c r="U169" s="45" t="n"/>
    </row>
    <row r="170">
      <c r="O170" s="44" t="n"/>
      <c r="Q170" s="44" t="n"/>
      <c r="T170" s="45" t="n"/>
      <c r="U170" s="45" t="n"/>
    </row>
    <row r="171">
      <c r="O171" s="44" t="n"/>
      <c r="Q171" s="44" t="n"/>
      <c r="T171" s="45" t="n"/>
      <c r="U171" s="45" t="n"/>
    </row>
    <row r="172">
      <c r="O172" s="44" t="n"/>
      <c r="Q172" s="44" t="n"/>
      <c r="T172" s="45" t="n"/>
      <c r="U172" s="45" t="n"/>
    </row>
    <row r="173">
      <c r="O173" s="44" t="n"/>
      <c r="Q173" s="44" t="n"/>
      <c r="T173" s="45" t="n"/>
      <c r="U173" s="45" t="n"/>
    </row>
    <row r="174">
      <c r="O174" s="44" t="n"/>
      <c r="Q174" s="44" t="n"/>
      <c r="T174" s="45" t="n"/>
      <c r="U174" s="45" t="n"/>
    </row>
    <row r="175">
      <c r="O175" s="44" t="n"/>
      <c r="Q175" s="44" t="n"/>
      <c r="T175" s="45" t="n"/>
      <c r="U175" s="45" t="n"/>
    </row>
    <row r="176">
      <c r="O176" s="44" t="n"/>
      <c r="Q176" s="44" t="n"/>
      <c r="T176" s="45" t="n"/>
      <c r="U176" s="45" t="n"/>
    </row>
    <row r="177">
      <c r="O177" s="44" t="n"/>
      <c r="Q177" s="44" t="n"/>
      <c r="T177" s="45" t="n"/>
      <c r="U177" s="45" t="n"/>
    </row>
    <row r="178">
      <c r="O178" s="44" t="n"/>
      <c r="Q178" s="44" t="n"/>
      <c r="T178" s="45" t="n"/>
      <c r="U178" s="45" t="n"/>
    </row>
    <row r="179">
      <c r="O179" s="44" t="n"/>
      <c r="Q179" s="44" t="n"/>
      <c r="T179" s="45" t="n"/>
      <c r="U179" s="45" t="n"/>
    </row>
    <row r="180">
      <c r="O180" s="44" t="n"/>
      <c r="Q180" s="44" t="n"/>
      <c r="T180" s="45" t="n"/>
      <c r="U180" s="45" t="n"/>
    </row>
    <row r="181">
      <c r="O181" s="44" t="n"/>
      <c r="Q181" s="44" t="n"/>
      <c r="T181" s="45" t="n"/>
      <c r="U181" s="45" t="n"/>
    </row>
    <row r="182">
      <c r="O182" s="44" t="n"/>
      <c r="Q182" s="44" t="n"/>
      <c r="T182" s="45" t="n"/>
      <c r="U182" s="45" t="n"/>
    </row>
    <row r="183">
      <c r="O183" s="44" t="n"/>
      <c r="Q183" s="44" t="n"/>
      <c r="T183" s="45" t="n"/>
      <c r="U183" s="45" t="n"/>
    </row>
    <row r="184">
      <c r="O184" s="44" t="n"/>
      <c r="Q184" s="44" t="n"/>
      <c r="T184" s="45" t="n"/>
      <c r="U184" s="45" t="n"/>
    </row>
    <row r="185">
      <c r="O185" s="44" t="n"/>
      <c r="Q185" s="44" t="n"/>
      <c r="T185" s="45" t="n"/>
      <c r="U185" s="45" t="n"/>
    </row>
    <row r="186">
      <c r="O186" s="44" t="n"/>
      <c r="Q186" s="44" t="n"/>
      <c r="T186" s="45" t="n"/>
      <c r="U186" s="45" t="n"/>
    </row>
    <row r="187">
      <c r="O187" s="44" t="n"/>
      <c r="Q187" s="44" t="n"/>
      <c r="T187" s="45" t="n"/>
      <c r="U187" s="45" t="n"/>
    </row>
    <row r="188">
      <c r="O188" s="44" t="n"/>
      <c r="Q188" s="44" t="n"/>
      <c r="T188" s="45" t="n"/>
      <c r="U188" s="45" t="n"/>
    </row>
    <row r="189">
      <c r="O189" s="44" t="n"/>
      <c r="Q189" s="44" t="n"/>
      <c r="T189" s="45" t="n"/>
      <c r="U189" s="45" t="n"/>
    </row>
    <row r="190">
      <c r="O190" s="44" t="n"/>
      <c r="Q190" s="44" t="n"/>
      <c r="T190" s="45" t="n"/>
      <c r="U190" s="45" t="n"/>
    </row>
    <row r="191">
      <c r="O191" s="44" t="n"/>
      <c r="Q191" s="44" t="n"/>
      <c r="T191" s="45" t="n"/>
      <c r="U191" s="45" t="n"/>
    </row>
    <row r="192">
      <c r="O192" s="44" t="n"/>
      <c r="Q192" s="44" t="n"/>
      <c r="T192" s="45" t="n"/>
      <c r="U192" s="45" t="n"/>
    </row>
    <row r="193">
      <c r="O193" s="44" t="n"/>
      <c r="Q193" s="44" t="n"/>
      <c r="T193" s="45" t="n"/>
      <c r="U193" s="45" t="n"/>
    </row>
    <row r="194">
      <c r="O194" s="44" t="n"/>
      <c r="Q194" s="44" t="n"/>
      <c r="T194" s="45" t="n"/>
      <c r="U194" s="45" t="n"/>
    </row>
    <row r="195">
      <c r="O195" s="44" t="n"/>
      <c r="Q195" s="44" t="n"/>
      <c r="T195" s="45" t="n"/>
      <c r="U195" s="45" t="n"/>
    </row>
    <row r="196">
      <c r="O196" s="44" t="n"/>
      <c r="Q196" s="44" t="n"/>
      <c r="T196" s="45" t="n"/>
      <c r="U196" s="45" t="n"/>
    </row>
    <row r="197">
      <c r="O197" s="44" t="n"/>
      <c r="Q197" s="44" t="n"/>
      <c r="T197" s="45" t="n"/>
      <c r="U197" s="45" t="n"/>
    </row>
    <row r="198">
      <c r="O198" s="44" t="n"/>
      <c r="Q198" s="44" t="n"/>
      <c r="T198" s="45" t="n"/>
      <c r="U198" s="45" t="n"/>
    </row>
    <row r="199">
      <c r="O199" s="44" t="n"/>
      <c r="Q199" s="44" t="n"/>
      <c r="T199" s="45" t="n"/>
      <c r="U199" s="45" t="n"/>
    </row>
    <row r="200">
      <c r="O200" s="44" t="n"/>
      <c r="Q200" s="44" t="n"/>
      <c r="T200" s="45" t="n"/>
      <c r="U200" s="45" t="n"/>
    </row>
    <row r="201">
      <c r="O201" s="44" t="n"/>
      <c r="Q201" s="44" t="n"/>
      <c r="T201" s="45" t="n"/>
      <c r="U201" s="45" t="n"/>
    </row>
    <row r="202">
      <c r="O202" s="44" t="n"/>
      <c r="Q202" s="44" t="n"/>
      <c r="T202" s="45" t="n"/>
      <c r="U202" s="45" t="n"/>
    </row>
    <row r="203">
      <c r="O203" s="44" t="n"/>
      <c r="Q203" s="44" t="n"/>
      <c r="T203" s="45" t="n"/>
      <c r="U203" s="45" t="n"/>
    </row>
    <row r="204">
      <c r="O204" s="44" t="n"/>
      <c r="Q204" s="44" t="n"/>
      <c r="T204" s="45" t="n"/>
      <c r="U204" s="45" t="n"/>
    </row>
    <row r="205">
      <c r="O205" s="44" t="n"/>
      <c r="Q205" s="44" t="n"/>
      <c r="T205" s="45" t="n"/>
      <c r="U205" s="45" t="n"/>
    </row>
    <row r="206">
      <c r="O206" s="44" t="n"/>
      <c r="Q206" s="44" t="n"/>
      <c r="T206" s="45" t="n"/>
      <c r="U206" s="45" t="n"/>
    </row>
    <row r="207">
      <c r="O207" s="44" t="n"/>
      <c r="Q207" s="44" t="n"/>
      <c r="T207" s="45" t="n"/>
      <c r="U207" s="45" t="n"/>
    </row>
    <row r="208">
      <c r="O208" s="44" t="n"/>
      <c r="Q208" s="44" t="n"/>
      <c r="T208" s="45" t="n"/>
      <c r="U208" s="45" t="n"/>
    </row>
    <row r="209">
      <c r="O209" s="44" t="n"/>
      <c r="Q209" s="44" t="n"/>
      <c r="T209" s="45" t="n"/>
      <c r="U209" s="45" t="n"/>
    </row>
    <row r="210">
      <c r="O210" s="44" t="n"/>
      <c r="Q210" s="44" t="n"/>
      <c r="T210" s="45" t="n"/>
      <c r="U210" s="45" t="n"/>
    </row>
    <row r="211">
      <c r="O211" s="44" t="n"/>
      <c r="Q211" s="44" t="n"/>
      <c r="T211" s="45" t="n"/>
      <c r="U211" s="45" t="n"/>
    </row>
    <row r="212">
      <c r="O212" s="44" t="n"/>
      <c r="Q212" s="44" t="n"/>
      <c r="T212" s="45" t="n"/>
      <c r="U212" s="45" t="n"/>
    </row>
    <row r="213">
      <c r="O213" s="44" t="n"/>
      <c r="Q213" s="44" t="n"/>
      <c r="T213" s="45" t="n"/>
      <c r="U213" s="45" t="n"/>
    </row>
    <row r="214">
      <c r="O214" s="44" t="n"/>
      <c r="Q214" s="44" t="n"/>
      <c r="T214" s="45" t="n"/>
      <c r="U214" s="45" t="n"/>
    </row>
    <row r="215">
      <c r="O215" s="44" t="n"/>
      <c r="Q215" s="44" t="n"/>
      <c r="T215" s="45" t="n"/>
      <c r="U215" s="45" t="n"/>
    </row>
    <row r="216">
      <c r="O216" s="44" t="n"/>
      <c r="Q216" s="44" t="n"/>
      <c r="T216" s="45" t="n"/>
      <c r="U216" s="45" t="n"/>
    </row>
    <row r="217">
      <c r="O217" s="44" t="n"/>
      <c r="Q217" s="44" t="n"/>
      <c r="T217" s="45" t="n"/>
      <c r="U217" s="45" t="n"/>
    </row>
    <row r="218">
      <c r="O218" s="44" t="n"/>
      <c r="Q218" s="44" t="n"/>
      <c r="T218" s="45" t="n"/>
      <c r="U218" s="45" t="n"/>
    </row>
    <row r="219">
      <c r="O219" s="44" t="n"/>
      <c r="Q219" s="44" t="n"/>
      <c r="T219" s="45" t="n"/>
      <c r="U219" s="45" t="n"/>
    </row>
    <row r="220">
      <c r="O220" s="44" t="n"/>
      <c r="Q220" s="44" t="n"/>
      <c r="T220" s="45" t="n"/>
      <c r="U220" s="45" t="n"/>
    </row>
    <row r="221">
      <c r="O221" s="44" t="n"/>
      <c r="Q221" s="44" t="n"/>
      <c r="T221" s="45" t="n"/>
      <c r="U221" s="45" t="n"/>
    </row>
    <row r="222">
      <c r="O222" s="44" t="n"/>
      <c r="Q222" s="44" t="n"/>
      <c r="T222" s="45" t="n"/>
      <c r="U222" s="45" t="n"/>
    </row>
    <row r="223">
      <c r="O223" s="44" t="n"/>
      <c r="Q223" s="44" t="n"/>
      <c r="T223" s="45" t="n"/>
      <c r="U223" s="45" t="n"/>
    </row>
    <row r="224">
      <c r="O224" s="44" t="n"/>
      <c r="Q224" s="44" t="n"/>
      <c r="T224" s="45" t="n"/>
      <c r="U224" s="45" t="n"/>
    </row>
    <row r="225">
      <c r="O225" s="44" t="n"/>
      <c r="Q225" s="44" t="n"/>
      <c r="T225" s="45" t="n"/>
      <c r="U225" s="45" t="n"/>
    </row>
    <row r="226">
      <c r="O226" s="44" t="n"/>
      <c r="Q226" s="44" t="n"/>
      <c r="T226" s="45" t="n"/>
      <c r="U226" s="45" t="n"/>
    </row>
    <row r="227">
      <c r="O227" s="44" t="n"/>
      <c r="Q227" s="44" t="n"/>
      <c r="T227" s="45" t="n"/>
      <c r="U227" s="45" t="n"/>
    </row>
    <row r="228">
      <c r="O228" s="44" t="n"/>
      <c r="Q228" s="44" t="n"/>
      <c r="T228" s="45" t="n"/>
      <c r="U228" s="45" t="n"/>
    </row>
    <row r="229">
      <c r="O229" s="44" t="n"/>
      <c r="Q229" s="44" t="n"/>
      <c r="T229" s="45" t="n"/>
      <c r="U229" s="45" t="n"/>
    </row>
    <row r="230">
      <c r="O230" s="44" t="n"/>
      <c r="Q230" s="44" t="n"/>
      <c r="T230" s="45" t="n"/>
      <c r="U230" s="45" t="n"/>
    </row>
    <row r="231">
      <c r="O231" s="44" t="n"/>
      <c r="Q231" s="44" t="n"/>
      <c r="T231" s="45" t="n"/>
      <c r="U231" s="45" t="n"/>
    </row>
    <row r="232">
      <c r="O232" s="44" t="n"/>
      <c r="Q232" s="44" t="n"/>
      <c r="T232" s="45" t="n"/>
      <c r="U232" s="45" t="n"/>
    </row>
    <row r="233">
      <c r="O233" s="44" t="n"/>
      <c r="Q233" s="44" t="n"/>
      <c r="T233" s="45" t="n"/>
      <c r="U233" s="45" t="n"/>
    </row>
    <row r="234">
      <c r="O234" s="44" t="n"/>
      <c r="Q234" s="44" t="n"/>
      <c r="T234" s="45" t="n"/>
      <c r="U234" s="45" t="n"/>
    </row>
    <row r="235">
      <c r="O235" s="44" t="n"/>
      <c r="Q235" s="44" t="n"/>
      <c r="T235" s="45" t="n"/>
      <c r="U235" s="45" t="n"/>
    </row>
    <row r="236">
      <c r="O236" s="44" t="n"/>
      <c r="Q236" s="44" t="n"/>
      <c r="T236" s="45" t="n"/>
      <c r="U236" s="45" t="n"/>
    </row>
    <row r="237">
      <c r="O237" s="44" t="n"/>
      <c r="Q237" s="44" t="n"/>
      <c r="T237" s="45" t="n"/>
      <c r="U237" s="45" t="n"/>
    </row>
    <row r="238">
      <c r="O238" s="44" t="n"/>
      <c r="Q238" s="44" t="n"/>
      <c r="T238" s="45" t="n"/>
      <c r="U238" s="45" t="n"/>
    </row>
    <row r="239">
      <c r="O239" s="44" t="n"/>
      <c r="Q239" s="44" t="n"/>
      <c r="T239" s="45" t="n"/>
      <c r="U239" s="45" t="n"/>
    </row>
    <row r="240">
      <c r="O240" s="44" t="n"/>
      <c r="Q240" s="44" t="n"/>
      <c r="T240" s="45" t="n"/>
      <c r="U240" s="45" t="n"/>
    </row>
    <row r="241">
      <c r="O241" s="44" t="n"/>
      <c r="Q241" s="44" t="n"/>
      <c r="T241" s="45" t="n"/>
      <c r="U241" s="45" t="n"/>
    </row>
    <row r="242">
      <c r="O242" s="44" t="n"/>
      <c r="Q242" s="44" t="n"/>
      <c r="T242" s="45" t="n"/>
      <c r="U242" s="45" t="n"/>
    </row>
    <row r="243">
      <c r="O243" s="44" t="n"/>
      <c r="Q243" s="44" t="n"/>
      <c r="T243" s="45" t="n"/>
      <c r="U243" s="45" t="n"/>
    </row>
    <row r="244">
      <c r="O244" s="44" t="n"/>
      <c r="Q244" s="44" t="n"/>
      <c r="T244" s="45" t="n"/>
      <c r="U244" s="45" t="n"/>
    </row>
    <row r="245">
      <c r="O245" s="44" t="n"/>
      <c r="Q245" s="44" t="n"/>
      <c r="T245" s="45" t="n"/>
      <c r="U245" s="45" t="n"/>
    </row>
    <row r="246">
      <c r="O246" s="44" t="n"/>
      <c r="Q246" s="44" t="n"/>
      <c r="T246" s="45" t="n"/>
      <c r="U246" s="45" t="n"/>
    </row>
    <row r="247">
      <c r="O247" s="44" t="n"/>
      <c r="Q247" s="44" t="n"/>
      <c r="T247" s="45" t="n"/>
      <c r="U247" s="45" t="n"/>
    </row>
    <row r="248">
      <c r="O248" s="44" t="n"/>
      <c r="Q248" s="44" t="n"/>
      <c r="T248" s="45" t="n"/>
      <c r="U248" s="45" t="n"/>
    </row>
    <row r="249">
      <c r="O249" s="44" t="n"/>
      <c r="Q249" s="44" t="n"/>
      <c r="T249" s="45" t="n"/>
      <c r="U249" s="45" t="n"/>
    </row>
    <row r="250">
      <c r="O250" s="44" t="n"/>
      <c r="Q250" s="44" t="n"/>
      <c r="T250" s="45" t="n"/>
      <c r="U250" s="45" t="n"/>
    </row>
    <row r="251">
      <c r="O251" s="44" t="n"/>
      <c r="Q251" s="44" t="n"/>
      <c r="T251" s="45" t="n"/>
      <c r="U251" s="45" t="n"/>
    </row>
    <row r="252">
      <c r="O252" s="44" t="n"/>
      <c r="Q252" s="44" t="n"/>
      <c r="T252" s="45" t="n"/>
      <c r="U252" s="45" t="n"/>
    </row>
    <row r="253">
      <c r="O253" s="44" t="n"/>
      <c r="Q253" s="44" t="n"/>
      <c r="T253" s="45" t="n"/>
      <c r="U253" s="45" t="n"/>
    </row>
    <row r="254">
      <c r="O254" s="44" t="n"/>
      <c r="Q254" s="44" t="n"/>
      <c r="T254" s="45" t="n"/>
      <c r="U254" s="45" t="n"/>
    </row>
    <row r="255">
      <c r="O255" s="44" t="n"/>
      <c r="Q255" s="44" t="n"/>
      <c r="T255" s="45" t="n"/>
      <c r="U255" s="45" t="n"/>
    </row>
    <row r="256">
      <c r="O256" s="44" t="n"/>
      <c r="Q256" s="44" t="n"/>
      <c r="T256" s="45" t="n"/>
      <c r="U256" s="45" t="n"/>
    </row>
    <row r="257">
      <c r="O257" s="44" t="n"/>
      <c r="Q257" s="44" t="n"/>
      <c r="T257" s="45" t="n"/>
      <c r="U257" s="45" t="n"/>
    </row>
    <row r="258">
      <c r="O258" s="44" t="n"/>
      <c r="Q258" s="44" t="n"/>
      <c r="T258" s="45" t="n"/>
      <c r="U258" s="45" t="n"/>
    </row>
    <row r="259">
      <c r="O259" s="44" t="n"/>
      <c r="Q259" s="44" t="n"/>
      <c r="T259" s="45" t="n"/>
      <c r="U259" s="45" t="n"/>
    </row>
    <row r="260">
      <c r="O260" s="44" t="n"/>
      <c r="Q260" s="44" t="n"/>
      <c r="T260" s="45" t="n"/>
      <c r="U260" s="45" t="n"/>
    </row>
    <row r="261">
      <c r="O261" s="44" t="n"/>
      <c r="Q261" s="44" t="n"/>
      <c r="T261" s="45" t="n"/>
      <c r="U261" s="45" t="n"/>
    </row>
    <row r="262">
      <c r="O262" s="44" t="n"/>
      <c r="Q262" s="44" t="n"/>
      <c r="T262" s="45" t="n"/>
      <c r="U262" s="45" t="n"/>
    </row>
    <row r="263">
      <c r="O263" s="44" t="n"/>
      <c r="Q263" s="44" t="n"/>
      <c r="T263" s="45" t="n"/>
      <c r="U263" s="45" t="n"/>
    </row>
    <row r="264">
      <c r="O264" s="44" t="n"/>
      <c r="Q264" s="44" t="n"/>
      <c r="T264" s="45" t="n"/>
      <c r="U264" s="45" t="n"/>
    </row>
    <row r="265">
      <c r="O265" s="44" t="n"/>
      <c r="Q265" s="44" t="n"/>
      <c r="T265" s="45" t="n"/>
      <c r="U265" s="45" t="n"/>
    </row>
    <row r="266">
      <c r="O266" s="44" t="n"/>
      <c r="Q266" s="44" t="n"/>
      <c r="T266" s="45" t="n"/>
      <c r="U266" s="45" t="n"/>
    </row>
    <row r="267">
      <c r="O267" s="44" t="n"/>
      <c r="Q267" s="44" t="n"/>
      <c r="T267" s="45" t="n"/>
      <c r="U267" s="45" t="n"/>
    </row>
    <row r="268">
      <c r="O268" s="44" t="n"/>
      <c r="Q268" s="44" t="n"/>
      <c r="T268" s="45" t="n"/>
      <c r="U268" s="45" t="n"/>
    </row>
    <row r="269">
      <c r="O269" s="44" t="n"/>
      <c r="Q269" s="44" t="n"/>
      <c r="T269" s="45" t="n"/>
      <c r="U269" s="45" t="n"/>
    </row>
    <row r="270">
      <c r="O270" s="44" t="n"/>
      <c r="Q270" s="44" t="n"/>
      <c r="T270" s="45" t="n"/>
      <c r="U270" s="45" t="n"/>
    </row>
    <row r="271">
      <c r="O271" s="44" t="n"/>
      <c r="Q271" s="44" t="n"/>
      <c r="T271" s="45" t="n"/>
      <c r="U271" s="45" t="n"/>
    </row>
    <row r="272">
      <c r="O272" s="44" t="n"/>
      <c r="Q272" s="44" t="n"/>
      <c r="T272" s="45" t="n"/>
      <c r="U272" s="45" t="n"/>
    </row>
    <row r="273">
      <c r="O273" s="44" t="n"/>
      <c r="Q273" s="44" t="n"/>
      <c r="T273" s="45" t="n"/>
      <c r="U273" s="45" t="n"/>
    </row>
    <row r="274">
      <c r="O274" s="44" t="n"/>
      <c r="Q274" s="44" t="n"/>
      <c r="T274" s="45" t="n"/>
      <c r="U274" s="45" t="n"/>
    </row>
    <row r="275">
      <c r="O275" s="44" t="n"/>
      <c r="Q275" s="44" t="n"/>
      <c r="T275" s="45" t="n"/>
      <c r="U275" s="45" t="n"/>
    </row>
    <row r="276">
      <c r="O276" s="44" t="n"/>
      <c r="Q276" s="44" t="n"/>
      <c r="T276" s="45" t="n"/>
      <c r="U276" s="45" t="n"/>
    </row>
    <row r="277">
      <c r="O277" s="44" t="n"/>
      <c r="Q277" s="44" t="n"/>
      <c r="T277" s="45" t="n"/>
      <c r="U277" s="45" t="n"/>
    </row>
    <row r="278">
      <c r="O278" s="44" t="n"/>
      <c r="Q278" s="44" t="n"/>
      <c r="T278" s="45" t="n"/>
      <c r="U278" s="45" t="n"/>
    </row>
    <row r="279">
      <c r="O279" s="44" t="n"/>
      <c r="Q279" s="44" t="n"/>
      <c r="T279" s="45" t="n"/>
      <c r="U279" s="45" t="n"/>
    </row>
    <row r="280">
      <c r="O280" s="44" t="n"/>
      <c r="Q280" s="44" t="n"/>
      <c r="T280" s="45" t="n"/>
      <c r="U280" s="45" t="n"/>
    </row>
    <row r="281">
      <c r="O281" s="44" t="n"/>
      <c r="Q281" s="44" t="n"/>
      <c r="T281" s="45" t="n"/>
      <c r="U281" s="45" t="n"/>
    </row>
    <row r="282">
      <c r="O282" s="44" t="n"/>
      <c r="Q282" s="44" t="n"/>
      <c r="T282" s="45" t="n"/>
      <c r="U282" s="45" t="n"/>
    </row>
    <row r="283">
      <c r="O283" s="44" t="n"/>
      <c r="Q283" s="44" t="n"/>
      <c r="T283" s="45" t="n"/>
      <c r="U283" s="45" t="n"/>
    </row>
    <row r="284">
      <c r="O284" s="44" t="n"/>
      <c r="Q284" s="44" t="n"/>
      <c r="T284" s="45" t="n"/>
      <c r="U284" s="45" t="n"/>
    </row>
    <row r="285">
      <c r="O285" s="44" t="n"/>
      <c r="Q285" s="44" t="n"/>
      <c r="T285" s="45" t="n"/>
      <c r="U285" s="45" t="n"/>
    </row>
    <row r="286">
      <c r="O286" s="44" t="n"/>
      <c r="Q286" s="44" t="n"/>
      <c r="T286" s="45" t="n"/>
      <c r="U286" s="45" t="n"/>
    </row>
    <row r="287">
      <c r="O287" s="44" t="n"/>
      <c r="Q287" s="44" t="n"/>
      <c r="T287" s="45" t="n"/>
      <c r="U287" s="45" t="n"/>
    </row>
    <row r="288">
      <c r="O288" s="44" t="n"/>
      <c r="Q288" s="44" t="n"/>
      <c r="T288" s="45" t="n"/>
      <c r="U288" s="45" t="n"/>
    </row>
    <row r="289">
      <c r="O289" s="44" t="n"/>
      <c r="Q289" s="44" t="n"/>
      <c r="T289" s="45" t="n"/>
      <c r="U289" s="45" t="n"/>
    </row>
    <row r="290">
      <c r="O290" s="44" t="n"/>
      <c r="Q290" s="44" t="n"/>
      <c r="T290" s="45" t="n"/>
      <c r="U290" s="45" t="n"/>
    </row>
    <row r="291">
      <c r="O291" s="44" t="n"/>
      <c r="Q291" s="44" t="n"/>
      <c r="T291" s="45" t="n"/>
      <c r="U291" s="45" t="n"/>
    </row>
    <row r="292">
      <c r="O292" s="44" t="n"/>
      <c r="Q292" s="44" t="n"/>
      <c r="T292" s="45" t="n"/>
      <c r="U292" s="45" t="n"/>
    </row>
    <row r="293">
      <c r="O293" s="44" t="n"/>
      <c r="Q293" s="44" t="n"/>
      <c r="T293" s="45" t="n"/>
      <c r="U293" s="45" t="n"/>
    </row>
    <row r="294">
      <c r="O294" s="44" t="n"/>
      <c r="Q294" s="44" t="n"/>
      <c r="T294" s="45" t="n"/>
      <c r="U294" s="45" t="n"/>
    </row>
    <row r="295">
      <c r="O295" s="44" t="n"/>
      <c r="Q295" s="44" t="n"/>
      <c r="T295" s="45" t="n"/>
      <c r="U295" s="45" t="n"/>
    </row>
    <row r="296">
      <c r="O296" s="44" t="n"/>
      <c r="Q296" s="44" t="n"/>
      <c r="T296" s="45" t="n"/>
      <c r="U296" s="45" t="n"/>
    </row>
    <row r="297">
      <c r="O297" s="44" t="n"/>
      <c r="Q297" s="44" t="n"/>
      <c r="T297" s="45" t="n"/>
      <c r="U297" s="45" t="n"/>
    </row>
    <row r="298">
      <c r="O298" s="44" t="n"/>
      <c r="Q298" s="44" t="n"/>
      <c r="T298" s="45" t="n"/>
      <c r="U298" s="45" t="n"/>
    </row>
    <row r="299">
      <c r="O299" s="44" t="n"/>
      <c r="Q299" s="44" t="n"/>
      <c r="T299" s="45" t="n"/>
      <c r="U299" s="45" t="n"/>
    </row>
    <row r="300">
      <c r="O300" s="44" t="n"/>
      <c r="Q300" s="44" t="n"/>
      <c r="T300" s="45" t="n"/>
      <c r="U300" s="45" t="n"/>
    </row>
    <row r="301">
      <c r="O301" s="44" t="n"/>
      <c r="Q301" s="44" t="n"/>
      <c r="T301" s="45" t="n"/>
      <c r="U301" s="45" t="n"/>
    </row>
    <row r="302">
      <c r="O302" s="44" t="n"/>
      <c r="Q302" s="44" t="n"/>
      <c r="T302" s="45" t="n"/>
      <c r="U302" s="45" t="n"/>
    </row>
    <row r="303">
      <c r="O303" s="44" t="n"/>
      <c r="Q303" s="44" t="n"/>
      <c r="T303" s="45" t="n"/>
      <c r="U303" s="45" t="n"/>
    </row>
    <row r="304">
      <c r="O304" s="44" t="n"/>
      <c r="Q304" s="44" t="n"/>
      <c r="T304" s="45" t="n"/>
      <c r="U304" s="45" t="n"/>
    </row>
    <row r="305">
      <c r="O305" s="44" t="n"/>
      <c r="Q305" s="44" t="n"/>
      <c r="T305" s="45" t="n"/>
      <c r="U305" s="45" t="n"/>
    </row>
    <row r="306">
      <c r="O306" s="44" t="n"/>
      <c r="Q306" s="44" t="n"/>
      <c r="T306" s="45" t="n"/>
      <c r="U306" s="45" t="n"/>
    </row>
    <row r="307">
      <c r="O307" s="44" t="n"/>
      <c r="Q307" s="44" t="n"/>
      <c r="T307" s="45" t="n"/>
      <c r="U307" s="45" t="n"/>
    </row>
    <row r="308">
      <c r="O308" s="44" t="n"/>
      <c r="Q308" s="44" t="n"/>
      <c r="T308" s="45" t="n"/>
      <c r="U308" s="45" t="n"/>
    </row>
    <row r="309">
      <c r="O309" s="44" t="n"/>
      <c r="Q309" s="44" t="n"/>
      <c r="T309" s="45" t="n"/>
      <c r="U309" s="45" t="n"/>
    </row>
    <row r="310">
      <c r="O310" s="44" t="n"/>
      <c r="Q310" s="44" t="n"/>
      <c r="T310" s="45" t="n"/>
      <c r="U310" s="45" t="n"/>
    </row>
    <row r="311">
      <c r="O311" s="44" t="n"/>
      <c r="Q311" s="44" t="n"/>
      <c r="T311" s="45" t="n"/>
      <c r="U311" s="45" t="n"/>
    </row>
    <row r="312">
      <c r="O312" s="44" t="n"/>
      <c r="Q312" s="44" t="n"/>
      <c r="T312" s="45" t="n"/>
      <c r="U312" s="45" t="n"/>
    </row>
    <row r="313">
      <c r="O313" s="44" t="n"/>
      <c r="Q313" s="44" t="n"/>
      <c r="T313" s="45" t="n"/>
      <c r="U313" s="45" t="n"/>
    </row>
    <row r="314">
      <c r="O314" s="44" t="n"/>
      <c r="Q314" s="44" t="n"/>
      <c r="T314" s="45" t="n"/>
      <c r="U314" s="45" t="n"/>
    </row>
    <row r="315">
      <c r="O315" s="44" t="n"/>
      <c r="Q315" s="44" t="n"/>
      <c r="T315" s="45" t="n"/>
      <c r="U315" s="45" t="n"/>
    </row>
    <row r="316">
      <c r="O316" s="44" t="n"/>
      <c r="Q316" s="44" t="n"/>
      <c r="T316" s="45" t="n"/>
      <c r="U316" s="45" t="n"/>
    </row>
    <row r="317">
      <c r="O317" s="44" t="n"/>
      <c r="Q317" s="44" t="n"/>
      <c r="T317" s="45" t="n"/>
      <c r="U317" s="45" t="n"/>
    </row>
    <row r="318">
      <c r="O318" s="44" t="n"/>
      <c r="Q318" s="44" t="n"/>
      <c r="T318" s="45" t="n"/>
      <c r="U318" s="45" t="n"/>
    </row>
    <row r="319">
      <c r="O319" s="44" t="n"/>
      <c r="Q319" s="44" t="n"/>
      <c r="T319" s="45" t="n"/>
      <c r="U319" s="45" t="n"/>
    </row>
    <row r="320">
      <c r="O320" s="44" t="n"/>
      <c r="Q320" s="44" t="n"/>
      <c r="T320" s="45" t="n"/>
      <c r="U320" s="45" t="n"/>
    </row>
    <row r="321">
      <c r="O321" s="44" t="n"/>
      <c r="Q321" s="44" t="n"/>
      <c r="T321" s="45" t="n"/>
      <c r="U321" s="45" t="n"/>
    </row>
    <row r="322">
      <c r="O322" s="44" t="n"/>
      <c r="Q322" s="44" t="n"/>
      <c r="T322" s="45" t="n"/>
      <c r="U322" s="45" t="n"/>
    </row>
    <row r="323">
      <c r="O323" s="44" t="n"/>
      <c r="Q323" s="44" t="n"/>
      <c r="T323" s="45" t="n"/>
      <c r="U323" s="45" t="n"/>
    </row>
    <row r="324">
      <c r="O324" s="44" t="n"/>
      <c r="Q324" s="44" t="n"/>
      <c r="T324" s="45" t="n"/>
      <c r="U324" s="45" t="n"/>
    </row>
    <row r="325">
      <c r="O325" s="44" t="n"/>
      <c r="Q325" s="44" t="n"/>
      <c r="T325" s="45" t="n"/>
      <c r="U325" s="45" t="n"/>
    </row>
    <row r="326">
      <c r="O326" s="44" t="n"/>
      <c r="Q326" s="44" t="n"/>
      <c r="T326" s="45" t="n"/>
      <c r="U326" s="45" t="n"/>
    </row>
    <row r="327">
      <c r="O327" s="44" t="n"/>
      <c r="Q327" s="44" t="n"/>
      <c r="T327" s="45" t="n"/>
      <c r="U327" s="45" t="n"/>
    </row>
    <row r="328">
      <c r="O328" s="44" t="n"/>
      <c r="Q328" s="44" t="n"/>
      <c r="T328" s="45" t="n"/>
      <c r="U328" s="45" t="n"/>
    </row>
    <row r="329">
      <c r="O329" s="44" t="n"/>
      <c r="Q329" s="44" t="n"/>
      <c r="T329" s="45" t="n"/>
      <c r="U329" s="45" t="n"/>
    </row>
    <row r="330">
      <c r="O330" s="44" t="n"/>
      <c r="Q330" s="44" t="n"/>
      <c r="T330" s="45" t="n"/>
      <c r="U330" s="45" t="n"/>
    </row>
    <row r="331">
      <c r="O331" s="44" t="n"/>
      <c r="Q331" s="44" t="n"/>
      <c r="T331" s="45" t="n"/>
      <c r="U331" s="45" t="n"/>
    </row>
    <row r="332">
      <c r="O332" s="44" t="n"/>
      <c r="Q332" s="44" t="n"/>
      <c r="T332" s="45" t="n"/>
      <c r="U332" s="45" t="n"/>
    </row>
    <row r="333">
      <c r="O333" s="44" t="n"/>
      <c r="Q333" s="44" t="n"/>
      <c r="T333" s="45" t="n"/>
      <c r="U333" s="45" t="n"/>
    </row>
    <row r="334">
      <c r="O334" s="44" t="n"/>
      <c r="Q334" s="44" t="n"/>
      <c r="T334" s="45" t="n"/>
      <c r="U334" s="45" t="n"/>
    </row>
    <row r="335">
      <c r="O335" s="44" t="n"/>
      <c r="Q335" s="44" t="n"/>
      <c r="T335" s="45" t="n"/>
      <c r="U335" s="45" t="n"/>
    </row>
    <row r="336">
      <c r="O336" s="44" t="n"/>
      <c r="Q336" s="44" t="n"/>
      <c r="T336" s="45" t="n"/>
      <c r="U336" s="45" t="n"/>
    </row>
    <row r="337">
      <c r="O337" s="44" t="n"/>
      <c r="Q337" s="44" t="n"/>
      <c r="T337" s="45" t="n"/>
      <c r="U337" s="45" t="n"/>
    </row>
    <row r="338">
      <c r="O338" s="44" t="n"/>
      <c r="Q338" s="44" t="n"/>
      <c r="T338" s="45" t="n"/>
      <c r="U338" s="45" t="n"/>
    </row>
    <row r="339">
      <c r="O339" s="44" t="n"/>
      <c r="Q339" s="44" t="n"/>
      <c r="T339" s="45" t="n"/>
      <c r="U339" s="45" t="n"/>
    </row>
    <row r="340">
      <c r="O340" s="44" t="n"/>
      <c r="Q340" s="44" t="n"/>
      <c r="T340" s="45" t="n"/>
      <c r="U340" s="45" t="n"/>
    </row>
    <row r="341">
      <c r="O341" s="44" t="n"/>
      <c r="Q341" s="44" t="n"/>
      <c r="T341" s="45" t="n"/>
      <c r="U341" s="45" t="n"/>
    </row>
    <row r="342">
      <c r="O342" s="44" t="n"/>
      <c r="Q342" s="44" t="n"/>
      <c r="T342" s="45" t="n"/>
      <c r="U342" s="45" t="n"/>
    </row>
    <row r="343">
      <c r="O343" s="44" t="n"/>
      <c r="Q343" s="44" t="n"/>
      <c r="T343" s="45" t="n"/>
      <c r="U343" s="45" t="n"/>
    </row>
    <row r="344">
      <c r="O344" s="44" t="n"/>
      <c r="Q344" s="44" t="n"/>
      <c r="T344" s="45" t="n"/>
      <c r="U344" s="45" t="n"/>
    </row>
    <row r="345">
      <c r="O345" s="44" t="n"/>
      <c r="Q345" s="44" t="n"/>
      <c r="T345" s="45" t="n"/>
      <c r="U345" s="45" t="n"/>
    </row>
    <row r="346">
      <c r="O346" s="44" t="n"/>
      <c r="Q346" s="44" t="n"/>
      <c r="T346" s="45" t="n"/>
      <c r="U346" s="45" t="n"/>
    </row>
    <row r="347">
      <c r="O347" s="44" t="n"/>
      <c r="Q347" s="44" t="n"/>
      <c r="T347" s="45" t="n"/>
      <c r="U347" s="45" t="n"/>
    </row>
    <row r="348">
      <c r="O348" s="44" t="n"/>
      <c r="Q348" s="44" t="n"/>
      <c r="T348" s="45" t="n"/>
      <c r="U348" s="45" t="n"/>
    </row>
    <row r="349">
      <c r="O349" s="44" t="n"/>
      <c r="Q349" s="44" t="n"/>
      <c r="T349" s="45" t="n"/>
      <c r="U349" s="45" t="n"/>
    </row>
    <row r="350">
      <c r="O350" s="44" t="n"/>
      <c r="Q350" s="44" t="n"/>
      <c r="T350" s="45" t="n"/>
      <c r="U350" s="45" t="n"/>
    </row>
    <row r="351">
      <c r="O351" s="44" t="n"/>
      <c r="Q351" s="44" t="n"/>
      <c r="T351" s="45" t="n"/>
      <c r="U351" s="45" t="n"/>
    </row>
    <row r="352">
      <c r="O352" s="44" t="n"/>
      <c r="Q352" s="44" t="n"/>
      <c r="T352" s="45" t="n"/>
      <c r="U352" s="45" t="n"/>
    </row>
    <row r="353">
      <c r="O353" s="44" t="n"/>
      <c r="Q353" s="44" t="n"/>
      <c r="T353" s="45" t="n"/>
      <c r="U353" s="45" t="n"/>
    </row>
    <row r="354">
      <c r="O354" s="44" t="n"/>
      <c r="Q354" s="44" t="n"/>
      <c r="T354" s="45" t="n"/>
      <c r="U354" s="45" t="n"/>
    </row>
    <row r="355">
      <c r="O355" s="44" t="n"/>
      <c r="Q355" s="44" t="n"/>
      <c r="T355" s="45" t="n"/>
      <c r="U355" s="45" t="n"/>
    </row>
    <row r="356">
      <c r="O356" s="44" t="n"/>
      <c r="Q356" s="44" t="n"/>
      <c r="T356" s="45" t="n"/>
      <c r="U356" s="45" t="n"/>
    </row>
    <row r="357">
      <c r="O357" s="44" t="n"/>
      <c r="Q357" s="44" t="n"/>
      <c r="T357" s="45" t="n"/>
      <c r="U357" s="45" t="n"/>
    </row>
    <row r="358">
      <c r="O358" s="44" t="n"/>
      <c r="Q358" s="44" t="n"/>
      <c r="T358" s="45" t="n"/>
      <c r="U358" s="45" t="n"/>
    </row>
    <row r="359">
      <c r="O359" s="44" t="n"/>
      <c r="Q359" s="44" t="n"/>
      <c r="T359" s="45" t="n"/>
      <c r="U359" s="45" t="n"/>
    </row>
    <row r="360">
      <c r="O360" s="44" t="n"/>
      <c r="Q360" s="44" t="n"/>
      <c r="T360" s="45" t="n"/>
      <c r="U360" s="45" t="n"/>
    </row>
    <row r="361">
      <c r="O361" s="44" t="n"/>
      <c r="Q361" s="44" t="n"/>
      <c r="T361" s="45" t="n"/>
      <c r="U361" s="45" t="n"/>
    </row>
    <row r="362">
      <c r="O362" s="44" t="n"/>
      <c r="Q362" s="44" t="n"/>
      <c r="T362" s="45" t="n"/>
      <c r="U362" s="45" t="n"/>
    </row>
    <row r="363">
      <c r="O363" s="44" t="n"/>
      <c r="Q363" s="44" t="n"/>
      <c r="T363" s="45" t="n"/>
      <c r="U363" s="45" t="n"/>
    </row>
    <row r="364">
      <c r="O364" s="44" t="n"/>
      <c r="Q364" s="44" t="n"/>
      <c r="T364" s="45" t="n"/>
      <c r="U364" s="45" t="n"/>
    </row>
    <row r="365">
      <c r="O365" s="44" t="n"/>
      <c r="Q365" s="44" t="n"/>
      <c r="T365" s="45" t="n"/>
      <c r="U365" s="45" t="n"/>
    </row>
    <row r="366">
      <c r="O366" s="44" t="n"/>
      <c r="Q366" s="44" t="n"/>
      <c r="T366" s="45" t="n"/>
      <c r="U366" s="45" t="n"/>
    </row>
    <row r="367">
      <c r="O367" s="44" t="n"/>
      <c r="Q367" s="44" t="n"/>
      <c r="T367" s="45" t="n"/>
      <c r="U367" s="45" t="n"/>
    </row>
    <row r="368">
      <c r="O368" s="44" t="n"/>
      <c r="Q368" s="44" t="n"/>
      <c r="T368" s="45" t="n"/>
      <c r="U368" s="45" t="n"/>
    </row>
    <row r="369">
      <c r="O369" s="44" t="n"/>
      <c r="Q369" s="44" t="n"/>
      <c r="T369" s="45" t="n"/>
      <c r="U369" s="45" t="n"/>
    </row>
    <row r="370">
      <c r="O370" s="44" t="n"/>
      <c r="Q370" s="44" t="n"/>
      <c r="T370" s="45" t="n"/>
      <c r="U370" s="45" t="n"/>
    </row>
    <row r="371">
      <c r="O371" s="44" t="n"/>
      <c r="Q371" s="44" t="n"/>
      <c r="T371" s="45" t="n"/>
      <c r="U371" s="45" t="n"/>
    </row>
    <row r="372">
      <c r="O372" s="44" t="n"/>
      <c r="Q372" s="44" t="n"/>
      <c r="T372" s="45" t="n"/>
      <c r="U372" s="45" t="n"/>
    </row>
    <row r="373">
      <c r="O373" s="44" t="n"/>
      <c r="Q373" s="44" t="n"/>
      <c r="T373" s="45" t="n"/>
      <c r="U373" s="45" t="n"/>
    </row>
    <row r="374">
      <c r="O374" s="44" t="n"/>
      <c r="Q374" s="44" t="n"/>
      <c r="T374" s="45" t="n"/>
      <c r="U374" s="45" t="n"/>
    </row>
    <row r="375">
      <c r="O375" s="44" t="n"/>
      <c r="Q375" s="44" t="n"/>
      <c r="T375" s="45" t="n"/>
      <c r="U375" s="45" t="n"/>
    </row>
    <row r="376">
      <c r="O376" s="44" t="n"/>
      <c r="Q376" s="44" t="n"/>
      <c r="T376" s="45" t="n"/>
      <c r="U376" s="45" t="n"/>
    </row>
    <row r="377">
      <c r="O377" s="44" t="n"/>
      <c r="Q377" s="44" t="n"/>
      <c r="T377" s="45" t="n"/>
      <c r="U377" s="45" t="n"/>
    </row>
    <row r="378">
      <c r="O378" s="44" t="n"/>
      <c r="Q378" s="44" t="n"/>
      <c r="T378" s="45" t="n"/>
      <c r="U378" s="45" t="n"/>
    </row>
    <row r="379">
      <c r="O379" s="44" t="n"/>
      <c r="Q379" s="44" t="n"/>
      <c r="T379" s="45" t="n"/>
      <c r="U379" s="45" t="n"/>
    </row>
    <row r="380">
      <c r="O380" s="44" t="n"/>
      <c r="Q380" s="44" t="n"/>
      <c r="T380" s="45" t="n"/>
      <c r="U380" s="45" t="n"/>
    </row>
    <row r="381">
      <c r="O381" s="44" t="n"/>
      <c r="Q381" s="44" t="n"/>
      <c r="T381" s="45" t="n"/>
      <c r="U381" s="45" t="n"/>
    </row>
    <row r="382">
      <c r="O382" s="44" t="n"/>
      <c r="Q382" s="44" t="n"/>
      <c r="T382" s="45" t="n"/>
      <c r="U382" s="45" t="n"/>
    </row>
    <row r="383">
      <c r="O383" s="44" t="n"/>
      <c r="Q383" s="44" t="n"/>
      <c r="T383" s="45" t="n"/>
      <c r="U383" s="45" t="n"/>
    </row>
    <row r="384">
      <c r="O384" s="44" t="n"/>
      <c r="Q384" s="44" t="n"/>
      <c r="T384" s="45" t="n"/>
      <c r="U384" s="45" t="n"/>
    </row>
    <row r="385">
      <c r="O385" s="44" t="n"/>
      <c r="Q385" s="44" t="n"/>
      <c r="T385" s="45" t="n"/>
      <c r="U385" s="45" t="n"/>
    </row>
    <row r="386">
      <c r="O386" s="44" t="n"/>
      <c r="Q386" s="44" t="n"/>
      <c r="T386" s="45" t="n"/>
      <c r="U386" s="45" t="n"/>
    </row>
    <row r="387">
      <c r="O387" s="44" t="n"/>
      <c r="Q387" s="44" t="n"/>
      <c r="T387" s="45" t="n"/>
      <c r="U387" s="45" t="n"/>
    </row>
    <row r="388">
      <c r="O388" s="44" t="n"/>
      <c r="Q388" s="44" t="n"/>
      <c r="T388" s="45" t="n"/>
      <c r="U388" s="45" t="n"/>
    </row>
    <row r="389">
      <c r="O389" s="44" t="n"/>
      <c r="Q389" s="44" t="n"/>
      <c r="T389" s="45" t="n"/>
      <c r="U389" s="45" t="n"/>
    </row>
    <row r="390">
      <c r="O390" s="44" t="n"/>
      <c r="Q390" s="44" t="n"/>
      <c r="T390" s="45" t="n"/>
      <c r="U390" s="45" t="n"/>
    </row>
    <row r="391">
      <c r="O391" s="44" t="n"/>
      <c r="Q391" s="44" t="n"/>
      <c r="T391" s="45" t="n"/>
      <c r="U391" s="45" t="n"/>
    </row>
    <row r="392">
      <c r="O392" s="44" t="n"/>
      <c r="Q392" s="44" t="n"/>
      <c r="T392" s="45" t="n"/>
      <c r="U392" s="45" t="n"/>
    </row>
    <row r="393">
      <c r="O393" s="44" t="n"/>
      <c r="Q393" s="44" t="n"/>
      <c r="T393" s="45" t="n"/>
      <c r="U393" s="45" t="n"/>
    </row>
    <row r="394">
      <c r="O394" s="44" t="n"/>
      <c r="Q394" s="44" t="n"/>
      <c r="T394" s="45" t="n"/>
      <c r="U394" s="45" t="n"/>
    </row>
    <row r="395">
      <c r="O395" s="44" t="n"/>
      <c r="Q395" s="44" t="n"/>
      <c r="T395" s="45" t="n"/>
      <c r="U395" s="45" t="n"/>
    </row>
    <row r="396">
      <c r="O396" s="44" t="n"/>
      <c r="Q396" s="44" t="n"/>
      <c r="T396" s="45" t="n"/>
      <c r="U396" s="45" t="n"/>
    </row>
    <row r="397">
      <c r="O397" s="44" t="n"/>
      <c r="Q397" s="44" t="n"/>
      <c r="T397" s="45" t="n"/>
      <c r="U397" s="45" t="n"/>
    </row>
    <row r="398">
      <c r="O398" s="44" t="n"/>
      <c r="Q398" s="44" t="n"/>
      <c r="T398" s="45" t="n"/>
      <c r="U398" s="45" t="n"/>
    </row>
    <row r="399">
      <c r="O399" s="44" t="n"/>
      <c r="Q399" s="44" t="n"/>
      <c r="T399" s="45" t="n"/>
      <c r="U399" s="45" t="n"/>
    </row>
    <row r="400">
      <c r="O400" s="44" t="n"/>
      <c r="Q400" s="44" t="n"/>
      <c r="T400" s="45" t="n"/>
      <c r="U400" s="45" t="n"/>
    </row>
    <row r="401">
      <c r="O401" s="44" t="n"/>
      <c r="Q401" s="44" t="n"/>
      <c r="T401" s="45" t="n"/>
      <c r="U401" s="45" t="n"/>
    </row>
    <row r="402">
      <c r="O402" s="44" t="n"/>
      <c r="Q402" s="44" t="n"/>
      <c r="T402" s="45" t="n"/>
      <c r="U402" s="45" t="n"/>
    </row>
    <row r="403">
      <c r="O403" s="44" t="n"/>
      <c r="Q403" s="44" t="n"/>
      <c r="T403" s="45" t="n"/>
      <c r="U403" s="45" t="n"/>
    </row>
    <row r="404">
      <c r="O404" s="44" t="n"/>
      <c r="Q404" s="44" t="n"/>
      <c r="T404" s="45" t="n"/>
      <c r="U404" s="45" t="n"/>
    </row>
    <row r="405">
      <c r="O405" s="44" t="n"/>
      <c r="Q405" s="44" t="n"/>
      <c r="T405" s="45" t="n"/>
      <c r="U405" s="45" t="n"/>
    </row>
    <row r="406">
      <c r="O406" s="44" t="n"/>
      <c r="Q406" s="44" t="n"/>
      <c r="T406" s="45" t="n"/>
      <c r="U406" s="45" t="n"/>
    </row>
    <row r="407">
      <c r="O407" s="44" t="n"/>
      <c r="Q407" s="44" t="n"/>
      <c r="T407" s="45" t="n"/>
      <c r="U407" s="45" t="n"/>
    </row>
    <row r="408">
      <c r="O408" s="44" t="n"/>
      <c r="Q408" s="44" t="n"/>
      <c r="T408" s="45" t="n"/>
      <c r="U408" s="45" t="n"/>
    </row>
    <row r="409">
      <c r="O409" s="44" t="n"/>
      <c r="Q409" s="44" t="n"/>
      <c r="T409" s="45" t="n"/>
      <c r="U409" s="45" t="n"/>
    </row>
    <row r="410">
      <c r="O410" s="44" t="n"/>
      <c r="Q410" s="44" t="n"/>
      <c r="T410" s="45" t="n"/>
      <c r="U410" s="45" t="n"/>
    </row>
    <row r="411">
      <c r="O411" s="44" t="n"/>
      <c r="Q411" s="44" t="n"/>
      <c r="T411" s="45" t="n"/>
      <c r="U411" s="45" t="n"/>
    </row>
    <row r="412">
      <c r="O412" s="44" t="n"/>
      <c r="Q412" s="44" t="n"/>
      <c r="T412" s="45" t="n"/>
      <c r="U412" s="45" t="n"/>
    </row>
    <row r="413">
      <c r="O413" s="44" t="n"/>
      <c r="Q413" s="44" t="n"/>
      <c r="T413" s="45" t="n"/>
      <c r="U413" s="45" t="n"/>
    </row>
    <row r="414">
      <c r="O414" s="44" t="n"/>
      <c r="Q414" s="44" t="n"/>
      <c r="T414" s="45" t="n"/>
      <c r="U414" s="45" t="n"/>
    </row>
    <row r="415">
      <c r="O415" s="44" t="n"/>
      <c r="Q415" s="44" t="n"/>
      <c r="T415" s="45" t="n"/>
      <c r="U415" s="45" t="n"/>
    </row>
    <row r="416">
      <c r="O416" s="44" t="n"/>
      <c r="Q416" s="44" t="n"/>
      <c r="T416" s="45" t="n"/>
      <c r="U416" s="45" t="n"/>
    </row>
    <row r="417">
      <c r="O417" s="44" t="n"/>
      <c r="Q417" s="44" t="n"/>
      <c r="T417" s="45" t="n"/>
      <c r="U417" s="45" t="n"/>
    </row>
    <row r="418">
      <c r="O418" s="44" t="n"/>
      <c r="Q418" s="44" t="n"/>
      <c r="T418" s="45" t="n"/>
      <c r="U418" s="45" t="n"/>
    </row>
    <row r="419">
      <c r="O419" s="44" t="n"/>
      <c r="Q419" s="44" t="n"/>
      <c r="T419" s="45" t="n"/>
      <c r="U419" s="45" t="n"/>
    </row>
    <row r="420">
      <c r="O420" s="44" t="n"/>
      <c r="Q420" s="44" t="n"/>
      <c r="T420" s="45" t="n"/>
      <c r="U420" s="45" t="n"/>
    </row>
    <row r="421">
      <c r="O421" s="44" t="n"/>
      <c r="Q421" s="44" t="n"/>
      <c r="T421" s="45" t="n"/>
      <c r="U421" s="45" t="n"/>
    </row>
    <row r="422">
      <c r="O422" s="44" t="n"/>
      <c r="Q422" s="44" t="n"/>
      <c r="T422" s="45" t="n"/>
      <c r="U422" s="45" t="n"/>
    </row>
    <row r="423">
      <c r="O423" s="44" t="n"/>
      <c r="Q423" s="44" t="n"/>
      <c r="T423" s="45" t="n"/>
      <c r="U423" s="45" t="n"/>
    </row>
    <row r="424">
      <c r="O424" s="44" t="n"/>
      <c r="Q424" s="44" t="n"/>
      <c r="T424" s="45" t="n"/>
      <c r="U424" s="45" t="n"/>
    </row>
    <row r="425">
      <c r="O425" s="44" t="n"/>
      <c r="Q425" s="44" t="n"/>
      <c r="T425" s="45" t="n"/>
      <c r="U425" s="45" t="n"/>
    </row>
    <row r="426">
      <c r="O426" s="44" t="n"/>
      <c r="Q426" s="44" t="n"/>
      <c r="T426" s="45" t="n"/>
      <c r="U426" s="45" t="n"/>
    </row>
    <row r="427">
      <c r="O427" s="44" t="n"/>
      <c r="Q427" s="44" t="n"/>
      <c r="T427" s="45" t="n"/>
      <c r="U427" s="45" t="n"/>
    </row>
    <row r="428">
      <c r="O428" s="44" t="n"/>
      <c r="Q428" s="44" t="n"/>
      <c r="T428" s="45" t="n"/>
      <c r="U428" s="45" t="n"/>
    </row>
    <row r="429">
      <c r="O429" s="44" t="n"/>
      <c r="Q429" s="44" t="n"/>
      <c r="T429" s="45" t="n"/>
      <c r="U429" s="45" t="n"/>
    </row>
    <row r="430">
      <c r="O430" s="44" t="n"/>
      <c r="Q430" s="44" t="n"/>
      <c r="T430" s="45" t="n"/>
      <c r="U430" s="45" t="n"/>
    </row>
    <row r="431">
      <c r="O431" s="44" t="n"/>
      <c r="Q431" s="44" t="n"/>
      <c r="T431" s="45" t="n"/>
      <c r="U431" s="45" t="n"/>
    </row>
    <row r="432">
      <c r="O432" s="44" t="n"/>
      <c r="Q432" s="44" t="n"/>
      <c r="T432" s="45" t="n"/>
      <c r="U432" s="45" t="n"/>
    </row>
    <row r="433">
      <c r="O433" s="44" t="n"/>
      <c r="Q433" s="44" t="n"/>
      <c r="T433" s="45" t="n"/>
      <c r="U433" s="45" t="n"/>
    </row>
    <row r="434">
      <c r="O434" s="44" t="n"/>
      <c r="Q434" s="44" t="n"/>
      <c r="T434" s="45" t="n"/>
      <c r="U434" s="45" t="n"/>
    </row>
    <row r="435">
      <c r="O435" s="44" t="n"/>
      <c r="Q435" s="44" t="n"/>
      <c r="T435" s="45" t="n"/>
      <c r="U435" s="45" t="n"/>
    </row>
    <row r="436">
      <c r="O436" s="44" t="n"/>
      <c r="Q436" s="44" t="n"/>
      <c r="T436" s="45" t="n"/>
      <c r="U436" s="45" t="n"/>
    </row>
    <row r="437">
      <c r="O437" s="44" t="n"/>
      <c r="Q437" s="44" t="n"/>
      <c r="T437" s="45" t="n"/>
      <c r="U437" s="45" t="n"/>
    </row>
    <row r="438">
      <c r="O438" s="44" t="n"/>
      <c r="Q438" s="44" t="n"/>
      <c r="T438" s="45" t="n"/>
      <c r="U438" s="45" t="n"/>
    </row>
    <row r="439">
      <c r="O439" s="44" t="n"/>
      <c r="Q439" s="44" t="n"/>
      <c r="T439" s="45" t="n"/>
      <c r="U439" s="45" t="n"/>
    </row>
    <row r="440">
      <c r="O440" s="44" t="n"/>
      <c r="Q440" s="44" t="n"/>
      <c r="T440" s="45" t="n"/>
      <c r="U440" s="45" t="n"/>
    </row>
    <row r="441">
      <c r="O441" s="44" t="n"/>
      <c r="Q441" s="44" t="n"/>
      <c r="T441" s="45" t="n"/>
      <c r="U441" s="45" t="n"/>
    </row>
    <row r="442">
      <c r="O442" s="44" t="n"/>
      <c r="Q442" s="44" t="n"/>
      <c r="T442" s="45" t="n"/>
      <c r="U442" s="45" t="n"/>
    </row>
    <row r="443">
      <c r="O443" s="44" t="n"/>
      <c r="Q443" s="44" t="n"/>
      <c r="T443" s="45" t="n"/>
      <c r="U443" s="45" t="n"/>
    </row>
    <row r="444">
      <c r="O444" s="44" t="n"/>
      <c r="Q444" s="44" t="n"/>
      <c r="T444" s="45" t="n"/>
      <c r="U444" s="45" t="n"/>
    </row>
    <row r="445">
      <c r="O445" s="44" t="n"/>
      <c r="Q445" s="44" t="n"/>
      <c r="T445" s="45" t="n"/>
      <c r="U445" s="45" t="n"/>
    </row>
    <row r="446">
      <c r="O446" s="44" t="n"/>
      <c r="Q446" s="44" t="n"/>
      <c r="T446" s="45" t="n"/>
      <c r="U446" s="45" t="n"/>
    </row>
    <row r="447">
      <c r="O447" s="44" t="n"/>
      <c r="Q447" s="44" t="n"/>
      <c r="T447" s="45" t="n"/>
      <c r="U447" s="45" t="n"/>
    </row>
    <row r="448">
      <c r="O448" s="44" t="n"/>
      <c r="Q448" s="44" t="n"/>
      <c r="T448" s="45" t="n"/>
      <c r="U448" s="45" t="n"/>
    </row>
    <row r="449">
      <c r="O449" s="44" t="n"/>
      <c r="Q449" s="44" t="n"/>
      <c r="T449" s="45" t="n"/>
      <c r="U449" s="45" t="n"/>
    </row>
    <row r="450">
      <c r="O450" s="44" t="n"/>
      <c r="Q450" s="44" t="n"/>
      <c r="T450" s="45" t="n"/>
      <c r="U450" s="45" t="n"/>
    </row>
    <row r="451">
      <c r="O451" s="44" t="n"/>
      <c r="Q451" s="44" t="n"/>
      <c r="T451" s="45" t="n"/>
      <c r="U451" s="45" t="n"/>
    </row>
    <row r="452">
      <c r="O452" s="44" t="n"/>
      <c r="Q452" s="44" t="n"/>
      <c r="T452" s="45" t="n"/>
      <c r="U452" s="45" t="n"/>
    </row>
    <row r="453">
      <c r="O453" s="44" t="n"/>
      <c r="Q453" s="44" t="n"/>
      <c r="T453" s="45" t="n"/>
      <c r="U453" s="45" t="n"/>
    </row>
    <row r="454">
      <c r="O454" s="44" t="n"/>
      <c r="Q454" s="44" t="n"/>
      <c r="T454" s="45" t="n"/>
      <c r="U454" s="45" t="n"/>
    </row>
    <row r="455">
      <c r="O455" s="44" t="n"/>
      <c r="Q455" s="44" t="n"/>
      <c r="T455" s="45" t="n"/>
      <c r="U455" s="45" t="n"/>
    </row>
    <row r="456">
      <c r="O456" s="44" t="n"/>
      <c r="Q456" s="44" t="n"/>
      <c r="T456" s="45" t="n"/>
      <c r="U456" s="45" t="n"/>
    </row>
    <row r="457">
      <c r="O457" s="44" t="n"/>
      <c r="Q457" s="44" t="n"/>
      <c r="T457" s="45" t="n"/>
      <c r="U457" s="45" t="n"/>
    </row>
    <row r="458">
      <c r="O458" s="44" t="n"/>
      <c r="Q458" s="44" t="n"/>
      <c r="T458" s="45" t="n"/>
      <c r="U458" s="45" t="n"/>
    </row>
    <row r="459">
      <c r="O459" s="44" t="n"/>
      <c r="Q459" s="44" t="n"/>
      <c r="T459" s="45" t="n"/>
      <c r="U459" s="45" t="n"/>
    </row>
    <row r="460">
      <c r="O460" s="44" t="n"/>
      <c r="Q460" s="44" t="n"/>
      <c r="T460" s="45" t="n"/>
      <c r="U460" s="45" t="n"/>
    </row>
    <row r="461">
      <c r="O461" s="44" t="n"/>
      <c r="Q461" s="44" t="n"/>
      <c r="T461" s="45" t="n"/>
      <c r="U461" s="45" t="n"/>
    </row>
    <row r="462">
      <c r="O462" s="44" t="n"/>
      <c r="Q462" s="44" t="n"/>
      <c r="T462" s="45" t="n"/>
      <c r="U462" s="45" t="n"/>
    </row>
    <row r="463">
      <c r="O463" s="44" t="n"/>
      <c r="Q463" s="44" t="n"/>
      <c r="T463" s="45" t="n"/>
      <c r="U463" s="45" t="n"/>
    </row>
    <row r="464">
      <c r="O464" s="44" t="n"/>
      <c r="Q464" s="44" t="n"/>
      <c r="T464" s="45" t="n"/>
      <c r="U464" s="45" t="n"/>
    </row>
    <row r="465">
      <c r="O465" s="44" t="n"/>
      <c r="Q465" s="44" t="n"/>
      <c r="T465" s="45" t="n"/>
      <c r="U465" s="45" t="n"/>
    </row>
    <row r="466">
      <c r="O466" s="44" t="n"/>
      <c r="Q466" s="44" t="n"/>
      <c r="T466" s="45" t="n"/>
      <c r="U466" s="45" t="n"/>
    </row>
    <row r="467">
      <c r="O467" s="44" t="n"/>
      <c r="Q467" s="44" t="n"/>
      <c r="T467" s="45" t="n"/>
      <c r="U467" s="45" t="n"/>
    </row>
    <row r="468">
      <c r="O468" s="44" t="n"/>
      <c r="Q468" s="44" t="n"/>
      <c r="T468" s="45" t="n"/>
      <c r="U468" s="45" t="n"/>
    </row>
    <row r="469">
      <c r="O469" s="44" t="n"/>
      <c r="Q469" s="44" t="n"/>
      <c r="T469" s="45" t="n"/>
      <c r="U469" s="45" t="n"/>
    </row>
    <row r="470">
      <c r="O470" s="44" t="n"/>
      <c r="Q470" s="44" t="n"/>
      <c r="T470" s="45" t="n"/>
      <c r="U470" s="45" t="n"/>
    </row>
    <row r="471">
      <c r="O471" s="44" t="n"/>
      <c r="Q471" s="44" t="n"/>
      <c r="T471" s="45" t="n"/>
      <c r="U471" s="45" t="n"/>
    </row>
    <row r="472">
      <c r="O472" s="44" t="n"/>
      <c r="Q472" s="44" t="n"/>
      <c r="T472" s="45" t="n"/>
      <c r="U472" s="45" t="n"/>
    </row>
    <row r="473">
      <c r="O473" s="44" t="n"/>
      <c r="Q473" s="44" t="n"/>
      <c r="T473" s="45" t="n"/>
      <c r="U473" s="45" t="n"/>
    </row>
    <row r="474">
      <c r="O474" s="44" t="n"/>
      <c r="Q474" s="44" t="n"/>
      <c r="T474" s="45" t="n"/>
      <c r="U474" s="45" t="n"/>
    </row>
    <row r="475">
      <c r="O475" s="44" t="n"/>
      <c r="Q475" s="44" t="n"/>
      <c r="T475" s="45" t="n"/>
      <c r="U475" s="45" t="n"/>
    </row>
    <row r="476">
      <c r="O476" s="44" t="n"/>
      <c r="Q476" s="44" t="n"/>
      <c r="T476" s="45" t="n"/>
      <c r="U476" s="45" t="n"/>
    </row>
    <row r="477">
      <c r="O477" s="44" t="n"/>
      <c r="Q477" s="44" t="n"/>
      <c r="T477" s="45" t="n"/>
      <c r="U477" s="45" t="n"/>
    </row>
    <row r="478">
      <c r="O478" s="44" t="n"/>
      <c r="Q478" s="44" t="n"/>
      <c r="T478" s="45" t="n"/>
      <c r="U478" s="45" t="n"/>
    </row>
    <row r="479">
      <c r="O479" s="44" t="n"/>
      <c r="Q479" s="44" t="n"/>
      <c r="T479" s="45" t="n"/>
      <c r="U479" s="45" t="n"/>
    </row>
    <row r="480">
      <c r="O480" s="44" t="n"/>
      <c r="Q480" s="44" t="n"/>
      <c r="T480" s="45" t="n"/>
      <c r="U480" s="45" t="n"/>
    </row>
    <row r="481">
      <c r="O481" s="44" t="n"/>
      <c r="Q481" s="44" t="n"/>
      <c r="T481" s="45" t="n"/>
      <c r="U481" s="45" t="n"/>
    </row>
    <row r="482">
      <c r="O482" s="44" t="n"/>
      <c r="Q482" s="44" t="n"/>
      <c r="T482" s="45" t="n"/>
      <c r="U482" s="45" t="n"/>
    </row>
    <row r="483">
      <c r="O483" s="44" t="n"/>
      <c r="Q483" s="44" t="n"/>
      <c r="T483" s="45" t="n"/>
      <c r="U483" s="45" t="n"/>
    </row>
    <row r="484">
      <c r="O484" s="44" t="n"/>
      <c r="Q484" s="44" t="n"/>
      <c r="T484" s="45" t="n"/>
      <c r="U484" s="45" t="n"/>
    </row>
    <row r="485">
      <c r="O485" s="44" t="n"/>
      <c r="Q485" s="44" t="n"/>
      <c r="T485" s="45" t="n"/>
      <c r="U485" s="45" t="n"/>
    </row>
    <row r="486">
      <c r="O486" s="44" t="n"/>
      <c r="Q486" s="44" t="n"/>
      <c r="T486" s="45" t="n"/>
      <c r="U486" s="45" t="n"/>
    </row>
    <row r="487">
      <c r="O487" s="44" t="n"/>
      <c r="Q487" s="44" t="n"/>
      <c r="T487" s="45" t="n"/>
      <c r="U487" s="45" t="n"/>
    </row>
    <row r="488">
      <c r="O488" s="44" t="n"/>
      <c r="Q488" s="44" t="n"/>
      <c r="T488" s="45" t="n"/>
      <c r="U488" s="45" t="n"/>
    </row>
    <row r="489">
      <c r="O489" s="44" t="n"/>
      <c r="Q489" s="44" t="n"/>
      <c r="T489" s="45" t="n"/>
      <c r="U489" s="45" t="n"/>
    </row>
    <row r="490">
      <c r="O490" s="44" t="n"/>
      <c r="Q490" s="44" t="n"/>
      <c r="T490" s="45" t="n"/>
      <c r="U490" s="45" t="n"/>
    </row>
    <row r="491">
      <c r="O491" s="44" t="n"/>
      <c r="Q491" s="44" t="n"/>
      <c r="T491" s="45" t="n"/>
      <c r="U491" s="45" t="n"/>
    </row>
    <row r="492">
      <c r="O492" s="44" t="n"/>
      <c r="Q492" s="44" t="n"/>
      <c r="T492" s="45" t="n"/>
      <c r="U492" s="45" t="n"/>
    </row>
    <row r="493">
      <c r="O493" s="44" t="n"/>
      <c r="Q493" s="44" t="n"/>
      <c r="T493" s="45" t="n"/>
      <c r="U493" s="45" t="n"/>
    </row>
    <row r="494">
      <c r="O494" s="44" t="n"/>
      <c r="Q494" s="44" t="n"/>
      <c r="T494" s="45" t="n"/>
      <c r="U494" s="45" t="n"/>
    </row>
    <row r="495">
      <c r="O495" s="44" t="n"/>
      <c r="Q495" s="44" t="n"/>
      <c r="T495" s="45" t="n"/>
      <c r="U495" s="45" t="n"/>
    </row>
    <row r="496">
      <c r="O496" s="44" t="n"/>
      <c r="Q496" s="44" t="n"/>
      <c r="T496" s="45" t="n"/>
      <c r="U496" s="45" t="n"/>
    </row>
    <row r="497">
      <c r="O497" s="44" t="n"/>
      <c r="Q497" s="44" t="n"/>
      <c r="T497" s="45" t="n"/>
      <c r="U497" s="45" t="n"/>
    </row>
    <row r="498">
      <c r="O498" s="44" t="n"/>
      <c r="Q498" s="44" t="n"/>
      <c r="T498" s="45" t="n"/>
      <c r="U498" s="45" t="n"/>
    </row>
    <row r="499">
      <c r="O499" s="44" t="n"/>
      <c r="Q499" s="44" t="n"/>
      <c r="T499" s="45" t="n"/>
      <c r="U499" s="45" t="n"/>
    </row>
    <row r="500">
      <c r="O500" s="44" t="n"/>
      <c r="Q500" s="44" t="n"/>
      <c r="T500" s="45" t="n"/>
      <c r="U500" s="45" t="n"/>
    </row>
    <row r="501">
      <c r="O501" s="44" t="n"/>
      <c r="Q501" s="44" t="n"/>
      <c r="T501" s="45" t="n"/>
      <c r="U501" s="45" t="n"/>
    </row>
    <row r="502">
      <c r="O502" s="44" t="n"/>
      <c r="Q502" s="44" t="n"/>
      <c r="T502" s="45" t="n"/>
      <c r="U502" s="45" t="n"/>
    </row>
    <row r="503">
      <c r="O503" s="44" t="n"/>
      <c r="Q503" s="44" t="n"/>
      <c r="T503" s="45" t="n"/>
      <c r="U503" s="45" t="n"/>
    </row>
    <row r="504">
      <c r="O504" s="44" t="n"/>
      <c r="Q504" s="44" t="n"/>
      <c r="T504" s="45" t="n"/>
      <c r="U504" s="45" t="n"/>
    </row>
    <row r="505">
      <c r="O505" s="44" t="n"/>
      <c r="Q505" s="44" t="n"/>
      <c r="T505" s="45" t="n"/>
      <c r="U505" s="45" t="n"/>
    </row>
    <row r="506">
      <c r="O506" s="44" t="n"/>
      <c r="Q506" s="44" t="n"/>
      <c r="T506" s="45" t="n"/>
      <c r="U506" s="45" t="n"/>
    </row>
    <row r="507">
      <c r="O507" s="44" t="n"/>
      <c r="Q507" s="44" t="n"/>
      <c r="T507" s="45" t="n"/>
      <c r="U507" s="45" t="n"/>
    </row>
    <row r="508">
      <c r="O508" s="44" t="n"/>
      <c r="Q508" s="44" t="n"/>
      <c r="T508" s="45" t="n"/>
      <c r="U508" s="45" t="n"/>
    </row>
    <row r="509">
      <c r="O509" s="44" t="n"/>
      <c r="Q509" s="44" t="n"/>
      <c r="T509" s="45" t="n"/>
      <c r="U509" s="45" t="n"/>
    </row>
    <row r="510">
      <c r="O510" s="44" t="n"/>
      <c r="Q510" s="44" t="n"/>
      <c r="T510" s="45" t="n"/>
      <c r="U510" s="45" t="n"/>
    </row>
    <row r="511">
      <c r="O511" s="44" t="n"/>
      <c r="Q511" s="44" t="n"/>
      <c r="T511" s="45" t="n"/>
      <c r="U511" s="45" t="n"/>
    </row>
    <row r="512">
      <c r="O512" s="44" t="n"/>
      <c r="Q512" s="44" t="n"/>
      <c r="T512" s="45" t="n"/>
      <c r="U512" s="45" t="n"/>
    </row>
    <row r="513">
      <c r="O513" s="44" t="n"/>
      <c r="Q513" s="44" t="n"/>
      <c r="T513" s="45" t="n"/>
      <c r="U513" s="45" t="n"/>
    </row>
    <row r="514">
      <c r="O514" s="44" t="n"/>
      <c r="Q514" s="44" t="n"/>
      <c r="T514" s="45" t="n"/>
      <c r="U514" s="45" t="n"/>
    </row>
    <row r="515">
      <c r="O515" s="44" t="n"/>
      <c r="Q515" s="44" t="n"/>
      <c r="T515" s="45" t="n"/>
      <c r="U515" s="45" t="n"/>
    </row>
    <row r="516">
      <c r="O516" s="44" t="n"/>
      <c r="Q516" s="44" t="n"/>
      <c r="T516" s="45" t="n"/>
      <c r="U516" s="45" t="n"/>
    </row>
    <row r="517">
      <c r="O517" s="44" t="n"/>
      <c r="Q517" s="44" t="n"/>
      <c r="T517" s="45" t="n"/>
      <c r="U517" s="45" t="n"/>
    </row>
    <row r="518">
      <c r="O518" s="44" t="n"/>
      <c r="Q518" s="44" t="n"/>
      <c r="T518" s="45" t="n"/>
      <c r="U518" s="45" t="n"/>
    </row>
    <row r="519">
      <c r="O519" s="44" t="n"/>
      <c r="Q519" s="44" t="n"/>
      <c r="T519" s="45" t="n"/>
      <c r="U519" s="45" t="n"/>
    </row>
    <row r="520">
      <c r="O520" s="44" t="n"/>
      <c r="Q520" s="44" t="n"/>
      <c r="T520" s="45" t="n"/>
      <c r="U520" s="45" t="n"/>
    </row>
    <row r="521">
      <c r="O521" s="44" t="n"/>
      <c r="Q521" s="44" t="n"/>
      <c r="T521" s="45" t="n"/>
      <c r="U521" s="45" t="n"/>
    </row>
    <row r="522">
      <c r="O522" s="44" t="n"/>
      <c r="Q522" s="44" t="n"/>
      <c r="T522" s="45" t="n"/>
      <c r="U522" s="45" t="n"/>
    </row>
    <row r="523">
      <c r="O523" s="44" t="n"/>
      <c r="Q523" s="44" t="n"/>
      <c r="T523" s="45" t="n"/>
      <c r="U523" s="45" t="n"/>
    </row>
    <row r="524">
      <c r="O524" s="44" t="n"/>
      <c r="Q524" s="44" t="n"/>
      <c r="T524" s="45" t="n"/>
      <c r="U524" s="45" t="n"/>
    </row>
    <row r="525">
      <c r="O525" s="44" t="n"/>
      <c r="Q525" s="44" t="n"/>
      <c r="T525" s="45" t="n"/>
      <c r="U525" s="45" t="n"/>
    </row>
    <row r="526">
      <c r="O526" s="44" t="n"/>
      <c r="Q526" s="44" t="n"/>
      <c r="T526" s="45" t="n"/>
      <c r="U526" s="45" t="n"/>
    </row>
    <row r="527">
      <c r="O527" s="44" t="n"/>
      <c r="Q527" s="44" t="n"/>
      <c r="T527" s="45" t="n"/>
      <c r="U527" s="45" t="n"/>
    </row>
    <row r="528">
      <c r="O528" s="44" t="n"/>
      <c r="Q528" s="44" t="n"/>
      <c r="T528" s="45" t="n"/>
      <c r="U528" s="45" t="n"/>
    </row>
    <row r="529">
      <c r="O529" s="44" t="n"/>
      <c r="Q529" s="44" t="n"/>
      <c r="T529" s="45" t="n"/>
      <c r="U529" s="45" t="n"/>
    </row>
    <row r="530">
      <c r="O530" s="44" t="n"/>
      <c r="Q530" s="44" t="n"/>
      <c r="T530" s="45" t="n"/>
      <c r="U530" s="45" t="n"/>
    </row>
    <row r="531">
      <c r="O531" s="44" t="n"/>
      <c r="Q531" s="44" t="n"/>
      <c r="T531" s="45" t="n"/>
      <c r="U531" s="45" t="n"/>
    </row>
    <row r="532">
      <c r="O532" s="44" t="n"/>
      <c r="Q532" s="44" t="n"/>
      <c r="T532" s="45" t="n"/>
      <c r="U532" s="45" t="n"/>
    </row>
    <row r="533">
      <c r="O533" s="44" t="n"/>
      <c r="Q533" s="44" t="n"/>
      <c r="T533" s="45" t="n"/>
      <c r="U533" s="45" t="n"/>
    </row>
    <row r="534">
      <c r="O534" s="44" t="n"/>
      <c r="Q534" s="44" t="n"/>
      <c r="T534" s="45" t="n"/>
      <c r="U534" s="45" t="n"/>
    </row>
    <row r="535">
      <c r="O535" s="44" t="n"/>
      <c r="Q535" s="44" t="n"/>
      <c r="T535" s="45" t="n"/>
      <c r="U535" s="45" t="n"/>
    </row>
    <row r="536">
      <c r="O536" s="44" t="n"/>
      <c r="Q536" s="44" t="n"/>
      <c r="T536" s="45" t="n"/>
      <c r="U536" s="45" t="n"/>
    </row>
    <row r="537">
      <c r="O537" s="44" t="n"/>
      <c r="Q537" s="44" t="n"/>
      <c r="T537" s="45" t="n"/>
      <c r="U537" s="45" t="n"/>
    </row>
    <row r="538">
      <c r="O538" s="44" t="n"/>
      <c r="Q538" s="44" t="n"/>
      <c r="T538" s="45" t="n"/>
      <c r="U538" s="45" t="n"/>
    </row>
    <row r="539">
      <c r="O539" s="44" t="n"/>
      <c r="Q539" s="44" t="n"/>
      <c r="T539" s="45" t="n"/>
      <c r="U539" s="45" t="n"/>
    </row>
    <row r="540">
      <c r="O540" s="44" t="n"/>
      <c r="Q540" s="44" t="n"/>
      <c r="T540" s="45" t="n"/>
      <c r="U540" s="45" t="n"/>
    </row>
    <row r="541">
      <c r="O541" s="44" t="n"/>
      <c r="Q541" s="44" t="n"/>
      <c r="T541" s="45" t="n"/>
      <c r="U541" s="45" t="n"/>
    </row>
    <row r="542">
      <c r="O542" s="44" t="n"/>
      <c r="Q542" s="44" t="n"/>
      <c r="T542" s="45" t="n"/>
      <c r="U542" s="45" t="n"/>
    </row>
    <row r="543">
      <c r="O543" s="44" t="n"/>
      <c r="Q543" s="44" t="n"/>
      <c r="T543" s="45" t="n"/>
      <c r="U543" s="45" t="n"/>
    </row>
    <row r="544">
      <c r="O544" s="44" t="n"/>
      <c r="Q544" s="44" t="n"/>
      <c r="T544" s="45" t="n"/>
      <c r="U544" s="45" t="n"/>
    </row>
    <row r="545">
      <c r="O545" s="44" t="n"/>
      <c r="Q545" s="44" t="n"/>
      <c r="T545" s="45" t="n"/>
      <c r="U545" s="45" t="n"/>
    </row>
    <row r="546">
      <c r="O546" s="44" t="n"/>
      <c r="Q546" s="44" t="n"/>
      <c r="T546" s="45" t="n"/>
      <c r="U546" s="45" t="n"/>
    </row>
    <row r="547">
      <c r="O547" s="44" t="n"/>
      <c r="Q547" s="44" t="n"/>
      <c r="T547" s="45" t="n"/>
      <c r="U547" s="45" t="n"/>
    </row>
    <row r="548">
      <c r="O548" s="44" t="n"/>
      <c r="Q548" s="44" t="n"/>
      <c r="T548" s="45" t="n"/>
      <c r="U548" s="45" t="n"/>
    </row>
    <row r="549">
      <c r="O549" s="44" t="n"/>
      <c r="Q549" s="44" t="n"/>
      <c r="T549" s="45" t="n"/>
      <c r="U549" s="45" t="n"/>
    </row>
    <row r="550">
      <c r="O550" s="44" t="n"/>
      <c r="Q550" s="44" t="n"/>
      <c r="T550" s="45" t="n"/>
      <c r="U550" s="45" t="n"/>
    </row>
    <row r="551">
      <c r="O551" s="44" t="n"/>
      <c r="Q551" s="44" t="n"/>
      <c r="T551" s="45" t="n"/>
      <c r="U551" s="45" t="n"/>
    </row>
    <row r="552">
      <c r="O552" s="44" t="n"/>
      <c r="Q552" s="44" t="n"/>
      <c r="T552" s="45" t="n"/>
      <c r="U552" s="45" t="n"/>
    </row>
    <row r="553">
      <c r="O553" s="44" t="n"/>
      <c r="Q553" s="44" t="n"/>
      <c r="T553" s="45" t="n"/>
      <c r="U553" s="45" t="n"/>
    </row>
    <row r="554">
      <c r="O554" s="44" t="n"/>
      <c r="Q554" s="44" t="n"/>
      <c r="T554" s="45" t="n"/>
      <c r="U554" s="45" t="n"/>
    </row>
    <row r="555">
      <c r="O555" s="44" t="n"/>
      <c r="Q555" s="44" t="n"/>
      <c r="T555" s="45" t="n"/>
      <c r="U555" s="45" t="n"/>
    </row>
    <row r="556">
      <c r="O556" s="44" t="n"/>
      <c r="Q556" s="44" t="n"/>
      <c r="T556" s="45" t="n"/>
      <c r="U556" s="45" t="n"/>
    </row>
    <row r="557">
      <c r="O557" s="44" t="n"/>
      <c r="Q557" s="44" t="n"/>
      <c r="T557" s="45" t="n"/>
      <c r="U557" s="45" t="n"/>
    </row>
    <row r="558">
      <c r="O558" s="44" t="n"/>
      <c r="Q558" s="44" t="n"/>
      <c r="T558" s="45" t="n"/>
      <c r="U558" s="45" t="n"/>
    </row>
    <row r="559">
      <c r="O559" s="44" t="n"/>
      <c r="Q559" s="44" t="n"/>
      <c r="T559" s="45" t="n"/>
      <c r="U559" s="45" t="n"/>
    </row>
    <row r="560">
      <c r="O560" s="44" t="n"/>
      <c r="Q560" s="44" t="n"/>
      <c r="T560" s="45" t="n"/>
      <c r="U560" s="45" t="n"/>
    </row>
    <row r="561">
      <c r="O561" s="44" t="n"/>
      <c r="Q561" s="44" t="n"/>
      <c r="T561" s="45" t="n"/>
      <c r="U561" s="45" t="n"/>
    </row>
    <row r="562">
      <c r="O562" s="44" t="n"/>
      <c r="Q562" s="44" t="n"/>
      <c r="T562" s="45" t="n"/>
      <c r="U562" s="45" t="n"/>
    </row>
    <row r="563">
      <c r="O563" s="44" t="n"/>
      <c r="Q563" s="44" t="n"/>
      <c r="T563" s="45" t="n"/>
      <c r="U563" s="45" t="n"/>
    </row>
    <row r="564">
      <c r="O564" s="44" t="n"/>
      <c r="Q564" s="44" t="n"/>
      <c r="T564" s="45" t="n"/>
      <c r="U564" s="45" t="n"/>
    </row>
    <row r="565">
      <c r="O565" s="44" t="n"/>
      <c r="Q565" s="44" t="n"/>
      <c r="T565" s="45" t="n"/>
      <c r="U565" s="45" t="n"/>
    </row>
    <row r="566">
      <c r="O566" s="44" t="n"/>
      <c r="Q566" s="44" t="n"/>
      <c r="T566" s="45" t="n"/>
      <c r="U566" s="45" t="n"/>
    </row>
    <row r="567">
      <c r="O567" s="44" t="n"/>
      <c r="Q567" s="44" t="n"/>
      <c r="T567" s="45" t="n"/>
      <c r="U567" s="45" t="n"/>
    </row>
    <row r="568">
      <c r="O568" s="44" t="n"/>
      <c r="Q568" s="44" t="n"/>
      <c r="T568" s="45" t="n"/>
      <c r="U568" s="45" t="n"/>
    </row>
    <row r="569">
      <c r="O569" s="44" t="n"/>
      <c r="Q569" s="44" t="n"/>
      <c r="T569" s="45" t="n"/>
      <c r="U569" s="45" t="n"/>
    </row>
    <row r="570">
      <c r="O570" s="44" t="n"/>
      <c r="Q570" s="44" t="n"/>
      <c r="T570" s="45" t="n"/>
      <c r="U570" s="45" t="n"/>
    </row>
    <row r="571">
      <c r="O571" s="44" t="n"/>
      <c r="Q571" s="44" t="n"/>
      <c r="T571" s="45" t="n"/>
      <c r="U571" s="45" t="n"/>
    </row>
    <row r="572">
      <c r="O572" s="44" t="n"/>
      <c r="Q572" s="44" t="n"/>
      <c r="T572" s="45" t="n"/>
      <c r="U572" s="45" t="n"/>
    </row>
    <row r="573">
      <c r="O573" s="44" t="n"/>
      <c r="Q573" s="44" t="n"/>
      <c r="T573" s="45" t="n"/>
      <c r="U573" s="45" t="n"/>
    </row>
    <row r="574">
      <c r="O574" s="44" t="n"/>
      <c r="Q574" s="44" t="n"/>
      <c r="T574" s="45" t="n"/>
      <c r="U574" s="45" t="n"/>
    </row>
    <row r="575">
      <c r="O575" s="44" t="n"/>
      <c r="Q575" s="44" t="n"/>
      <c r="T575" s="45" t="n"/>
      <c r="U575" s="45" t="n"/>
    </row>
    <row r="576">
      <c r="O576" s="44" t="n"/>
      <c r="Q576" s="44" t="n"/>
      <c r="T576" s="45" t="n"/>
      <c r="U576" s="45" t="n"/>
    </row>
    <row r="577">
      <c r="O577" s="44" t="n"/>
      <c r="Q577" s="44" t="n"/>
      <c r="T577" s="45" t="n"/>
      <c r="U577" s="45" t="n"/>
    </row>
    <row r="578">
      <c r="O578" s="44" t="n"/>
      <c r="Q578" s="44" t="n"/>
      <c r="T578" s="45" t="n"/>
      <c r="U578" s="45" t="n"/>
    </row>
    <row r="579">
      <c r="O579" s="44" t="n"/>
      <c r="Q579" s="44" t="n"/>
      <c r="T579" s="45" t="n"/>
      <c r="U579" s="45" t="n"/>
    </row>
    <row r="580">
      <c r="O580" s="44" t="n"/>
      <c r="Q580" s="44" t="n"/>
      <c r="T580" s="45" t="n"/>
      <c r="U580" s="45" t="n"/>
    </row>
    <row r="581">
      <c r="O581" s="44" t="n"/>
      <c r="Q581" s="44" t="n"/>
      <c r="T581" s="45" t="n"/>
      <c r="U581" s="45" t="n"/>
    </row>
    <row r="582">
      <c r="O582" s="44" t="n"/>
      <c r="Q582" s="44" t="n"/>
      <c r="T582" s="45" t="n"/>
      <c r="U582" s="45" t="n"/>
    </row>
    <row r="583">
      <c r="O583" s="44" t="n"/>
      <c r="Q583" s="44" t="n"/>
      <c r="T583" s="45" t="n"/>
      <c r="U583" s="45" t="n"/>
    </row>
    <row r="584">
      <c r="O584" s="44" t="n"/>
      <c r="Q584" s="44" t="n"/>
      <c r="T584" s="45" t="n"/>
      <c r="U584" s="45" t="n"/>
    </row>
    <row r="585">
      <c r="O585" s="44" t="n"/>
      <c r="Q585" s="44" t="n"/>
      <c r="T585" s="45" t="n"/>
      <c r="U585" s="45" t="n"/>
    </row>
    <row r="586">
      <c r="O586" s="44" t="n"/>
      <c r="Q586" s="44" t="n"/>
      <c r="T586" s="45" t="n"/>
      <c r="U586" s="45" t="n"/>
    </row>
    <row r="587">
      <c r="O587" s="44" t="n"/>
      <c r="Q587" s="44" t="n"/>
      <c r="T587" s="45" t="n"/>
      <c r="U587" s="45" t="n"/>
    </row>
    <row r="588">
      <c r="O588" s="44" t="n"/>
      <c r="Q588" s="44" t="n"/>
      <c r="T588" s="45" t="n"/>
      <c r="U588" s="45" t="n"/>
    </row>
    <row r="589">
      <c r="O589" s="44" t="n"/>
      <c r="Q589" s="44" t="n"/>
      <c r="T589" s="45" t="n"/>
      <c r="U589" s="45" t="n"/>
    </row>
    <row r="590">
      <c r="O590" s="44" t="n"/>
      <c r="Q590" s="44" t="n"/>
      <c r="T590" s="45" t="n"/>
      <c r="U590" s="45" t="n"/>
    </row>
    <row r="591">
      <c r="O591" s="44" t="n"/>
      <c r="Q591" s="44" t="n"/>
      <c r="T591" s="45" t="n"/>
      <c r="U591" s="45" t="n"/>
    </row>
    <row r="592">
      <c r="O592" s="44" t="n"/>
      <c r="Q592" s="44" t="n"/>
      <c r="T592" s="45" t="n"/>
      <c r="U592" s="45" t="n"/>
    </row>
    <row r="593">
      <c r="O593" s="44" t="n"/>
      <c r="Q593" s="44" t="n"/>
      <c r="T593" s="45" t="n"/>
      <c r="U593" s="45" t="n"/>
    </row>
    <row r="594">
      <c r="O594" s="44" t="n"/>
      <c r="Q594" s="44" t="n"/>
      <c r="T594" s="45" t="n"/>
      <c r="U594" s="45" t="n"/>
    </row>
    <row r="595">
      <c r="O595" s="44" t="n"/>
      <c r="Q595" s="44" t="n"/>
      <c r="T595" s="45" t="n"/>
      <c r="U595" s="45" t="n"/>
    </row>
    <row r="596">
      <c r="O596" s="44" t="n"/>
      <c r="Q596" s="44" t="n"/>
      <c r="T596" s="45" t="n"/>
      <c r="U596" s="45" t="n"/>
    </row>
    <row r="597">
      <c r="O597" s="44" t="n"/>
      <c r="Q597" s="44" t="n"/>
      <c r="T597" s="45" t="n"/>
      <c r="U597" s="45" t="n"/>
    </row>
    <row r="598">
      <c r="O598" s="44" t="n"/>
      <c r="Q598" s="44" t="n"/>
      <c r="T598" s="45" t="n"/>
      <c r="U598" s="45" t="n"/>
    </row>
    <row r="599">
      <c r="O599" s="44" t="n"/>
      <c r="Q599" s="44" t="n"/>
      <c r="T599" s="45" t="n"/>
      <c r="U599" s="45" t="n"/>
    </row>
    <row r="600">
      <c r="O600" s="44" t="n"/>
      <c r="Q600" s="44" t="n"/>
      <c r="T600" s="45" t="n"/>
      <c r="U600" s="45" t="n"/>
    </row>
    <row r="601">
      <c r="O601" s="44" t="n"/>
      <c r="Q601" s="44" t="n"/>
      <c r="T601" s="45" t="n"/>
      <c r="U601" s="45" t="n"/>
    </row>
    <row r="602">
      <c r="O602" s="44" t="n"/>
      <c r="Q602" s="44" t="n"/>
      <c r="T602" s="45" t="n"/>
      <c r="U602" s="45" t="n"/>
    </row>
    <row r="603">
      <c r="O603" s="44" t="n"/>
      <c r="Q603" s="44" t="n"/>
      <c r="T603" s="45" t="n"/>
      <c r="U603" s="45" t="n"/>
    </row>
    <row r="604">
      <c r="O604" s="44" t="n"/>
      <c r="Q604" s="44" t="n"/>
      <c r="T604" s="45" t="n"/>
      <c r="U604" s="45" t="n"/>
    </row>
    <row r="605">
      <c r="O605" s="44" t="n"/>
      <c r="Q605" s="44" t="n"/>
      <c r="T605" s="45" t="n"/>
      <c r="U605" s="45" t="n"/>
    </row>
    <row r="606">
      <c r="O606" s="44" t="n"/>
      <c r="Q606" s="44" t="n"/>
      <c r="T606" s="45" t="n"/>
      <c r="U606" s="45" t="n"/>
    </row>
    <row r="607">
      <c r="O607" s="44" t="n"/>
      <c r="Q607" s="44" t="n"/>
      <c r="T607" s="45" t="n"/>
      <c r="U607" s="45" t="n"/>
    </row>
    <row r="608">
      <c r="O608" s="44" t="n"/>
      <c r="Q608" s="44" t="n"/>
      <c r="T608" s="45" t="n"/>
      <c r="U608" s="45" t="n"/>
    </row>
    <row r="609">
      <c r="O609" s="44" t="n"/>
      <c r="Q609" s="44" t="n"/>
      <c r="T609" s="45" t="n"/>
      <c r="U609" s="45" t="n"/>
    </row>
    <row r="610">
      <c r="O610" s="44" t="n"/>
      <c r="Q610" s="44" t="n"/>
      <c r="T610" s="45" t="n"/>
      <c r="U610" s="45" t="n"/>
    </row>
    <row r="611">
      <c r="O611" s="44" t="n"/>
      <c r="Q611" s="44" t="n"/>
      <c r="T611" s="45" t="n"/>
      <c r="U611" s="45" t="n"/>
    </row>
    <row r="612">
      <c r="O612" s="44" t="n"/>
      <c r="Q612" s="44" t="n"/>
      <c r="T612" s="45" t="n"/>
      <c r="U612" s="45" t="n"/>
    </row>
    <row r="613">
      <c r="O613" s="44" t="n"/>
      <c r="Q613" s="44" t="n"/>
      <c r="T613" s="45" t="n"/>
      <c r="U613" s="45" t="n"/>
    </row>
    <row r="614">
      <c r="O614" s="44" t="n"/>
      <c r="Q614" s="44" t="n"/>
      <c r="T614" s="45" t="n"/>
      <c r="U614" s="45" t="n"/>
    </row>
    <row r="615">
      <c r="O615" s="44" t="n"/>
      <c r="Q615" s="44" t="n"/>
      <c r="T615" s="45" t="n"/>
      <c r="U615" s="45" t="n"/>
    </row>
    <row r="616">
      <c r="O616" s="44" t="n"/>
      <c r="Q616" s="44" t="n"/>
      <c r="T616" s="45" t="n"/>
      <c r="U616" s="45" t="n"/>
    </row>
    <row r="617">
      <c r="O617" s="44" t="n"/>
      <c r="Q617" s="44" t="n"/>
      <c r="T617" s="45" t="n"/>
      <c r="U617" s="45" t="n"/>
    </row>
    <row r="618">
      <c r="O618" s="44" t="n"/>
      <c r="Q618" s="44" t="n"/>
      <c r="T618" s="45" t="n"/>
      <c r="U618" s="45" t="n"/>
    </row>
    <row r="619">
      <c r="O619" s="44" t="n"/>
      <c r="Q619" s="44" t="n"/>
      <c r="T619" s="45" t="n"/>
      <c r="U619" s="45" t="n"/>
    </row>
    <row r="620">
      <c r="O620" s="44" t="n"/>
      <c r="Q620" s="44" t="n"/>
      <c r="T620" s="45" t="n"/>
      <c r="U620" s="45" t="n"/>
    </row>
    <row r="621">
      <c r="O621" s="44" t="n"/>
      <c r="Q621" s="44" t="n"/>
      <c r="T621" s="45" t="n"/>
      <c r="U621" s="45" t="n"/>
    </row>
    <row r="622">
      <c r="O622" s="44" t="n"/>
      <c r="Q622" s="44" t="n"/>
      <c r="T622" s="45" t="n"/>
      <c r="U622" s="45" t="n"/>
    </row>
    <row r="623">
      <c r="O623" s="44" t="n"/>
      <c r="Q623" s="44" t="n"/>
      <c r="T623" s="45" t="n"/>
      <c r="U623" s="45" t="n"/>
    </row>
    <row r="624">
      <c r="O624" s="44" t="n"/>
      <c r="Q624" s="44" t="n"/>
      <c r="T624" s="45" t="n"/>
      <c r="U624" s="45" t="n"/>
    </row>
    <row r="625">
      <c r="O625" s="44" t="n"/>
      <c r="Q625" s="44" t="n"/>
      <c r="T625" s="45" t="n"/>
      <c r="U625" s="45" t="n"/>
    </row>
    <row r="626">
      <c r="O626" s="44" t="n"/>
      <c r="Q626" s="44" t="n"/>
      <c r="T626" s="45" t="n"/>
      <c r="U626" s="45" t="n"/>
    </row>
    <row r="627">
      <c r="O627" s="44" t="n"/>
      <c r="Q627" s="44" t="n"/>
      <c r="T627" s="45" t="n"/>
      <c r="U627" s="45" t="n"/>
    </row>
    <row r="628">
      <c r="O628" s="44" t="n"/>
      <c r="Q628" s="44" t="n"/>
      <c r="T628" s="45" t="n"/>
      <c r="U628" s="45" t="n"/>
    </row>
    <row r="629">
      <c r="O629" s="44" t="n"/>
      <c r="Q629" s="44" t="n"/>
      <c r="T629" s="45" t="n"/>
      <c r="U629" s="45" t="n"/>
    </row>
    <row r="630">
      <c r="O630" s="44" t="n"/>
      <c r="Q630" s="44" t="n"/>
      <c r="T630" s="45" t="n"/>
      <c r="U630" s="45" t="n"/>
    </row>
    <row r="631">
      <c r="O631" s="44" t="n"/>
      <c r="Q631" s="44" t="n"/>
      <c r="T631" s="45" t="n"/>
      <c r="U631" s="45" t="n"/>
    </row>
    <row r="632">
      <c r="O632" s="44" t="n"/>
      <c r="Q632" s="44" t="n"/>
      <c r="T632" s="45" t="n"/>
      <c r="U632" s="45" t="n"/>
    </row>
    <row r="633">
      <c r="O633" s="44" t="n"/>
      <c r="Q633" s="44" t="n"/>
      <c r="T633" s="45" t="n"/>
      <c r="U633" s="45" t="n"/>
    </row>
    <row r="634">
      <c r="O634" s="44" t="n"/>
      <c r="Q634" s="44" t="n"/>
      <c r="T634" s="45" t="n"/>
      <c r="U634" s="45" t="n"/>
    </row>
    <row r="635">
      <c r="O635" s="44" t="n"/>
      <c r="Q635" s="44" t="n"/>
      <c r="T635" s="45" t="n"/>
      <c r="U635" s="45" t="n"/>
    </row>
    <row r="636">
      <c r="O636" s="44" t="n"/>
      <c r="Q636" s="44" t="n"/>
      <c r="T636" s="45" t="n"/>
      <c r="U636" s="45" t="n"/>
    </row>
    <row r="637">
      <c r="O637" s="44" t="n"/>
      <c r="Q637" s="44" t="n"/>
      <c r="T637" s="45" t="n"/>
      <c r="U637" s="45" t="n"/>
    </row>
    <row r="638">
      <c r="O638" s="44" t="n"/>
      <c r="Q638" s="44" t="n"/>
      <c r="T638" s="45" t="n"/>
      <c r="U638" s="45" t="n"/>
    </row>
    <row r="639">
      <c r="O639" s="44" t="n"/>
      <c r="Q639" s="44" t="n"/>
      <c r="T639" s="45" t="n"/>
      <c r="U639" s="45" t="n"/>
    </row>
    <row r="640">
      <c r="O640" s="44" t="n"/>
      <c r="Q640" s="44" t="n"/>
      <c r="T640" s="45" t="n"/>
      <c r="U640" s="45" t="n"/>
    </row>
    <row r="641">
      <c r="O641" s="44" t="n"/>
      <c r="Q641" s="44" t="n"/>
      <c r="T641" s="45" t="n"/>
      <c r="U641" s="45" t="n"/>
    </row>
    <row r="642">
      <c r="O642" s="44" t="n"/>
      <c r="Q642" s="44" t="n"/>
      <c r="T642" s="45" t="n"/>
      <c r="U642" s="45" t="n"/>
    </row>
    <row r="643">
      <c r="O643" s="44" t="n"/>
      <c r="Q643" s="44" t="n"/>
      <c r="T643" s="45" t="n"/>
      <c r="U643" s="45" t="n"/>
    </row>
    <row r="644">
      <c r="O644" s="44" t="n"/>
      <c r="Q644" s="44" t="n"/>
      <c r="T644" s="45" t="n"/>
      <c r="U644" s="45" t="n"/>
    </row>
    <row r="645">
      <c r="O645" s="44" t="n"/>
      <c r="Q645" s="44" t="n"/>
      <c r="T645" s="45" t="n"/>
      <c r="U645" s="45" t="n"/>
    </row>
    <row r="646">
      <c r="O646" s="44" t="n"/>
      <c r="Q646" s="44" t="n"/>
      <c r="T646" s="45" t="n"/>
      <c r="U646" s="45" t="n"/>
    </row>
    <row r="647">
      <c r="O647" s="44" t="n"/>
      <c r="Q647" s="44" t="n"/>
      <c r="T647" s="45" t="n"/>
      <c r="U647" s="45" t="n"/>
    </row>
    <row r="648">
      <c r="O648" s="44" t="n"/>
      <c r="Q648" s="44" t="n"/>
      <c r="T648" s="45" t="n"/>
      <c r="U648" s="45" t="n"/>
    </row>
    <row r="649">
      <c r="O649" s="44" t="n"/>
      <c r="Q649" s="44" t="n"/>
      <c r="T649" s="45" t="n"/>
      <c r="U649" s="45" t="n"/>
    </row>
    <row r="650">
      <c r="O650" s="44" t="n"/>
      <c r="Q650" s="44" t="n"/>
      <c r="T650" s="45" t="n"/>
      <c r="U650" s="45" t="n"/>
    </row>
    <row r="651">
      <c r="O651" s="44" t="n"/>
      <c r="Q651" s="44" t="n"/>
      <c r="T651" s="45" t="n"/>
      <c r="U651" s="45" t="n"/>
    </row>
    <row r="652">
      <c r="O652" s="44" t="n"/>
      <c r="Q652" s="44" t="n"/>
      <c r="T652" s="45" t="n"/>
      <c r="U652" s="45" t="n"/>
    </row>
    <row r="653">
      <c r="O653" s="44" t="n"/>
      <c r="Q653" s="44" t="n"/>
      <c r="T653" s="45" t="n"/>
      <c r="U653" s="45" t="n"/>
    </row>
    <row r="654">
      <c r="O654" s="44" t="n"/>
      <c r="Q654" s="44" t="n"/>
      <c r="T654" s="45" t="n"/>
      <c r="U654" s="45" t="n"/>
    </row>
    <row r="655">
      <c r="O655" s="44" t="n"/>
      <c r="Q655" s="44" t="n"/>
      <c r="T655" s="45" t="n"/>
      <c r="U655" s="45" t="n"/>
    </row>
    <row r="656">
      <c r="O656" s="44" t="n"/>
      <c r="Q656" s="44" t="n"/>
      <c r="T656" s="45" t="n"/>
      <c r="U656" s="45" t="n"/>
    </row>
    <row r="657">
      <c r="O657" s="44" t="n"/>
      <c r="Q657" s="44" t="n"/>
      <c r="T657" s="45" t="n"/>
      <c r="U657" s="45" t="n"/>
    </row>
    <row r="658">
      <c r="O658" s="44" t="n"/>
      <c r="Q658" s="44" t="n"/>
      <c r="T658" s="45" t="n"/>
      <c r="U658" s="45" t="n"/>
    </row>
    <row r="659">
      <c r="O659" s="44" t="n"/>
      <c r="Q659" s="44" t="n"/>
      <c r="T659" s="45" t="n"/>
      <c r="U659" s="45" t="n"/>
    </row>
    <row r="660">
      <c r="O660" s="44" t="n"/>
      <c r="Q660" s="44" t="n"/>
      <c r="T660" s="45" t="n"/>
      <c r="U660" s="45" t="n"/>
    </row>
    <row r="661">
      <c r="O661" s="44" t="n"/>
      <c r="Q661" s="44" t="n"/>
      <c r="T661" s="45" t="n"/>
      <c r="U661" s="45" t="n"/>
    </row>
    <row r="662">
      <c r="O662" s="44" t="n"/>
      <c r="Q662" s="44" t="n"/>
      <c r="T662" s="45" t="n"/>
      <c r="U662" s="45" t="n"/>
    </row>
    <row r="663">
      <c r="O663" s="44" t="n"/>
      <c r="Q663" s="44" t="n"/>
      <c r="T663" s="45" t="n"/>
      <c r="U663" s="45" t="n"/>
    </row>
    <row r="664">
      <c r="O664" s="44" t="n"/>
      <c r="Q664" s="44" t="n"/>
      <c r="T664" s="45" t="n"/>
      <c r="U664" s="45" t="n"/>
    </row>
    <row r="665">
      <c r="O665" s="44" t="n"/>
      <c r="Q665" s="44" t="n"/>
      <c r="T665" s="45" t="n"/>
      <c r="U665" s="45" t="n"/>
    </row>
    <row r="666">
      <c r="O666" s="44" t="n"/>
      <c r="Q666" s="44" t="n"/>
      <c r="T666" s="45" t="n"/>
      <c r="U666" s="45" t="n"/>
    </row>
    <row r="667">
      <c r="O667" s="44" t="n"/>
      <c r="Q667" s="44" t="n"/>
      <c r="T667" s="45" t="n"/>
      <c r="U667" s="45" t="n"/>
    </row>
    <row r="668">
      <c r="O668" s="44" t="n"/>
      <c r="Q668" s="44" t="n"/>
      <c r="T668" s="45" t="n"/>
      <c r="U668" s="45" t="n"/>
    </row>
    <row r="669">
      <c r="O669" s="44" t="n"/>
      <c r="Q669" s="44" t="n"/>
      <c r="T669" s="45" t="n"/>
      <c r="U669" s="45" t="n"/>
    </row>
    <row r="670">
      <c r="O670" s="44" t="n"/>
      <c r="Q670" s="44" t="n"/>
      <c r="T670" s="45" t="n"/>
      <c r="U670" s="45" t="n"/>
    </row>
    <row r="671">
      <c r="O671" s="44" t="n"/>
      <c r="Q671" s="44" t="n"/>
      <c r="T671" s="45" t="n"/>
      <c r="U671" s="45" t="n"/>
    </row>
    <row r="672">
      <c r="O672" s="44" t="n"/>
      <c r="Q672" s="44" t="n"/>
      <c r="T672" s="45" t="n"/>
      <c r="U672" s="45" t="n"/>
    </row>
    <row r="673">
      <c r="O673" s="44" t="n"/>
      <c r="Q673" s="44" t="n"/>
      <c r="T673" s="45" t="n"/>
      <c r="U673" s="45" t="n"/>
    </row>
    <row r="674">
      <c r="O674" s="44" t="n"/>
      <c r="Q674" s="44" t="n"/>
      <c r="T674" s="45" t="n"/>
      <c r="U674" s="45" t="n"/>
    </row>
    <row r="675">
      <c r="O675" s="44" t="n"/>
      <c r="Q675" s="44" t="n"/>
      <c r="T675" s="45" t="n"/>
      <c r="U675" s="45" t="n"/>
    </row>
    <row r="676">
      <c r="O676" s="44" t="n"/>
      <c r="Q676" s="44" t="n"/>
      <c r="T676" s="45" t="n"/>
      <c r="U676" s="45" t="n"/>
    </row>
    <row r="677">
      <c r="O677" s="44" t="n"/>
      <c r="Q677" s="44" t="n"/>
      <c r="T677" s="45" t="n"/>
      <c r="U677" s="45" t="n"/>
    </row>
    <row r="678">
      <c r="O678" s="44" t="n"/>
      <c r="Q678" s="44" t="n"/>
      <c r="T678" s="45" t="n"/>
      <c r="U678" s="45" t="n"/>
    </row>
    <row r="679">
      <c r="O679" s="44" t="n"/>
      <c r="Q679" s="44" t="n"/>
      <c r="T679" s="45" t="n"/>
      <c r="U679" s="45" t="n"/>
    </row>
    <row r="680">
      <c r="O680" s="44" t="n"/>
      <c r="Q680" s="44" t="n"/>
      <c r="T680" s="45" t="n"/>
      <c r="U680" s="45" t="n"/>
    </row>
    <row r="681">
      <c r="O681" s="44" t="n"/>
      <c r="Q681" s="44" t="n"/>
      <c r="T681" s="45" t="n"/>
      <c r="U681" s="45" t="n"/>
    </row>
    <row r="682">
      <c r="O682" s="44" t="n"/>
      <c r="Q682" s="44" t="n"/>
      <c r="T682" s="45" t="n"/>
      <c r="U682" s="45" t="n"/>
    </row>
    <row r="683">
      <c r="O683" s="44" t="n"/>
      <c r="Q683" s="44" t="n"/>
      <c r="T683" s="45" t="n"/>
      <c r="U683" s="45" t="n"/>
    </row>
    <row r="684">
      <c r="O684" s="44" t="n"/>
      <c r="Q684" s="44" t="n"/>
      <c r="T684" s="45" t="n"/>
      <c r="U684" s="45" t="n"/>
    </row>
    <row r="685">
      <c r="O685" s="44" t="n"/>
      <c r="Q685" s="44" t="n"/>
      <c r="T685" s="45" t="n"/>
      <c r="U685" s="45" t="n"/>
    </row>
    <row r="686">
      <c r="O686" s="44" t="n"/>
      <c r="Q686" s="44" t="n"/>
      <c r="T686" s="45" t="n"/>
      <c r="U686" s="45" t="n"/>
    </row>
    <row r="687">
      <c r="O687" s="44" t="n"/>
      <c r="Q687" s="44" t="n"/>
      <c r="T687" s="45" t="n"/>
      <c r="U687" s="45" t="n"/>
    </row>
    <row r="688">
      <c r="O688" s="44" t="n"/>
      <c r="Q688" s="44" t="n"/>
      <c r="T688" s="45" t="n"/>
      <c r="U688" s="45" t="n"/>
    </row>
    <row r="689">
      <c r="O689" s="44" t="n"/>
      <c r="Q689" s="44" t="n"/>
      <c r="T689" s="45" t="n"/>
      <c r="U689" s="45" t="n"/>
    </row>
    <row r="690">
      <c r="O690" s="44" t="n"/>
      <c r="Q690" s="44" t="n"/>
      <c r="T690" s="45" t="n"/>
      <c r="U690" s="45" t="n"/>
    </row>
    <row r="691">
      <c r="O691" s="44" t="n"/>
      <c r="Q691" s="44" t="n"/>
      <c r="T691" s="45" t="n"/>
      <c r="U691" s="45" t="n"/>
    </row>
    <row r="692">
      <c r="O692" s="44" t="n"/>
      <c r="Q692" s="44" t="n"/>
      <c r="T692" s="45" t="n"/>
      <c r="U692" s="45" t="n"/>
    </row>
    <row r="693">
      <c r="O693" s="44" t="n"/>
      <c r="Q693" s="44" t="n"/>
      <c r="T693" s="45" t="n"/>
      <c r="U693" s="45" t="n"/>
    </row>
    <row r="694">
      <c r="O694" s="44" t="n"/>
      <c r="Q694" s="44" t="n"/>
      <c r="T694" s="45" t="n"/>
      <c r="U694" s="45" t="n"/>
    </row>
    <row r="695">
      <c r="O695" s="44" t="n"/>
      <c r="Q695" s="44" t="n"/>
      <c r="T695" s="45" t="n"/>
      <c r="U695" s="45" t="n"/>
    </row>
    <row r="696">
      <c r="O696" s="44" t="n"/>
      <c r="Q696" s="44" t="n"/>
      <c r="T696" s="45" t="n"/>
      <c r="U696" s="45" t="n"/>
    </row>
    <row r="697">
      <c r="O697" s="44" t="n"/>
      <c r="Q697" s="44" t="n"/>
      <c r="T697" s="45" t="n"/>
      <c r="U697" s="45" t="n"/>
    </row>
    <row r="698">
      <c r="O698" s="44" t="n"/>
      <c r="Q698" s="44" t="n"/>
      <c r="T698" s="45" t="n"/>
      <c r="U698" s="45" t="n"/>
    </row>
    <row r="699">
      <c r="O699" s="44" t="n"/>
      <c r="Q699" s="44" t="n"/>
      <c r="T699" s="45" t="n"/>
      <c r="U699" s="45" t="n"/>
    </row>
    <row r="700">
      <c r="O700" s="44" t="n"/>
      <c r="Q700" s="44" t="n"/>
      <c r="T700" s="45" t="n"/>
      <c r="U700" s="45" t="n"/>
    </row>
    <row r="701">
      <c r="O701" s="44" t="n"/>
      <c r="Q701" s="44" t="n"/>
      <c r="T701" s="45" t="n"/>
      <c r="U701" s="45" t="n"/>
    </row>
    <row r="702">
      <c r="O702" s="44" t="n"/>
      <c r="Q702" s="44" t="n"/>
      <c r="T702" s="45" t="n"/>
      <c r="U702" s="45" t="n"/>
    </row>
    <row r="703">
      <c r="O703" s="44" t="n"/>
      <c r="Q703" s="44" t="n"/>
      <c r="T703" s="45" t="n"/>
      <c r="U703" s="45" t="n"/>
    </row>
    <row r="704">
      <c r="O704" s="44" t="n"/>
      <c r="Q704" s="44" t="n"/>
      <c r="T704" s="45" t="n"/>
      <c r="U704" s="45" t="n"/>
    </row>
    <row r="705">
      <c r="O705" s="44" t="n"/>
      <c r="Q705" s="44" t="n"/>
      <c r="T705" s="45" t="n"/>
      <c r="U705" s="45" t="n"/>
    </row>
    <row r="706">
      <c r="O706" s="44" t="n"/>
      <c r="Q706" s="44" t="n"/>
      <c r="T706" s="45" t="n"/>
      <c r="U706" s="45" t="n"/>
    </row>
    <row r="707">
      <c r="O707" s="44" t="n"/>
      <c r="Q707" s="44" t="n"/>
      <c r="T707" s="45" t="n"/>
      <c r="U707" s="45" t="n"/>
    </row>
    <row r="708">
      <c r="O708" s="44" t="n"/>
      <c r="Q708" s="44" t="n"/>
      <c r="T708" s="45" t="n"/>
      <c r="U708" s="45" t="n"/>
    </row>
    <row r="709">
      <c r="O709" s="44" t="n"/>
      <c r="Q709" s="44" t="n"/>
      <c r="T709" s="45" t="n"/>
      <c r="U709" s="45" t="n"/>
    </row>
    <row r="710">
      <c r="O710" s="44" t="n"/>
      <c r="Q710" s="44" t="n"/>
      <c r="T710" s="45" t="n"/>
      <c r="U710" s="45" t="n"/>
    </row>
    <row r="711">
      <c r="O711" s="44" t="n"/>
      <c r="Q711" s="44" t="n"/>
      <c r="T711" s="45" t="n"/>
      <c r="U711" s="45" t="n"/>
    </row>
    <row r="712">
      <c r="O712" s="44" t="n"/>
      <c r="Q712" s="44" t="n"/>
      <c r="T712" s="45" t="n"/>
      <c r="U712" s="45" t="n"/>
    </row>
    <row r="713">
      <c r="O713" s="44" t="n"/>
      <c r="Q713" s="44" t="n"/>
      <c r="T713" s="45" t="n"/>
      <c r="U713" s="45" t="n"/>
    </row>
    <row r="714">
      <c r="O714" s="44" t="n"/>
      <c r="Q714" s="44" t="n"/>
      <c r="T714" s="45" t="n"/>
      <c r="U714" s="45" t="n"/>
    </row>
    <row r="715">
      <c r="O715" s="44" t="n"/>
      <c r="Q715" s="44" t="n"/>
      <c r="T715" s="45" t="n"/>
      <c r="U715" s="45" t="n"/>
    </row>
    <row r="716">
      <c r="O716" s="44" t="n"/>
      <c r="Q716" s="44" t="n"/>
      <c r="T716" s="45" t="n"/>
      <c r="U716" s="45" t="n"/>
    </row>
    <row r="717">
      <c r="O717" s="44" t="n"/>
      <c r="Q717" s="44" t="n"/>
      <c r="T717" s="45" t="n"/>
      <c r="U717" s="45" t="n"/>
    </row>
    <row r="718">
      <c r="O718" s="44" t="n"/>
      <c r="Q718" s="44" t="n"/>
      <c r="T718" s="45" t="n"/>
      <c r="U718" s="45" t="n"/>
    </row>
    <row r="719">
      <c r="O719" s="44" t="n"/>
      <c r="Q719" s="44" t="n"/>
      <c r="T719" s="45" t="n"/>
      <c r="U719" s="45" t="n"/>
    </row>
    <row r="720">
      <c r="O720" s="44" t="n"/>
      <c r="Q720" s="44" t="n"/>
      <c r="T720" s="45" t="n"/>
      <c r="U720" s="45" t="n"/>
    </row>
    <row r="721">
      <c r="O721" s="44" t="n"/>
      <c r="Q721" s="44" t="n"/>
      <c r="T721" s="45" t="n"/>
      <c r="U721" s="45" t="n"/>
    </row>
    <row r="722">
      <c r="O722" s="44" t="n"/>
      <c r="Q722" s="44" t="n"/>
      <c r="T722" s="45" t="n"/>
      <c r="U722" s="45" t="n"/>
    </row>
    <row r="723">
      <c r="O723" s="44" t="n"/>
      <c r="Q723" s="44" t="n"/>
      <c r="T723" s="45" t="n"/>
      <c r="U723" s="45" t="n"/>
    </row>
    <row r="724">
      <c r="O724" s="44" t="n"/>
      <c r="Q724" s="44" t="n"/>
      <c r="T724" s="45" t="n"/>
      <c r="U724" s="45" t="n"/>
    </row>
    <row r="725">
      <c r="O725" s="44" t="n"/>
      <c r="Q725" s="44" t="n"/>
      <c r="T725" s="45" t="n"/>
      <c r="U725" s="45" t="n"/>
    </row>
    <row r="726">
      <c r="O726" s="44" t="n"/>
      <c r="Q726" s="44" t="n"/>
      <c r="T726" s="45" t="n"/>
      <c r="U726" s="45" t="n"/>
    </row>
    <row r="727">
      <c r="O727" s="44" t="n"/>
      <c r="Q727" s="44" t="n"/>
      <c r="T727" s="45" t="n"/>
      <c r="U727" s="45" t="n"/>
    </row>
    <row r="728">
      <c r="O728" s="44" t="n"/>
      <c r="Q728" s="44" t="n"/>
      <c r="T728" s="45" t="n"/>
      <c r="U728" s="45" t="n"/>
    </row>
    <row r="729">
      <c r="O729" s="44" t="n"/>
      <c r="Q729" s="44" t="n"/>
      <c r="T729" s="45" t="n"/>
      <c r="U729" s="45" t="n"/>
    </row>
    <row r="730">
      <c r="O730" s="44" t="n"/>
      <c r="Q730" s="44" t="n"/>
      <c r="T730" s="45" t="n"/>
      <c r="U730" s="45" t="n"/>
    </row>
    <row r="731">
      <c r="O731" s="44" t="n"/>
      <c r="Q731" s="44" t="n"/>
      <c r="T731" s="45" t="n"/>
      <c r="U731" s="45" t="n"/>
    </row>
    <row r="732">
      <c r="O732" s="44" t="n"/>
      <c r="Q732" s="44" t="n"/>
      <c r="T732" s="45" t="n"/>
      <c r="U732" s="45" t="n"/>
    </row>
    <row r="733">
      <c r="O733" s="44" t="n"/>
      <c r="Q733" s="44" t="n"/>
      <c r="T733" s="45" t="n"/>
      <c r="U733" s="45" t="n"/>
    </row>
    <row r="734">
      <c r="O734" s="44" t="n"/>
      <c r="Q734" s="44" t="n"/>
      <c r="T734" s="45" t="n"/>
      <c r="U734" s="45" t="n"/>
    </row>
    <row r="735">
      <c r="O735" s="44" t="n"/>
      <c r="Q735" s="44" t="n"/>
      <c r="T735" s="45" t="n"/>
      <c r="U735" s="45" t="n"/>
    </row>
    <row r="736">
      <c r="O736" s="44" t="n"/>
      <c r="Q736" s="44" t="n"/>
      <c r="T736" s="45" t="n"/>
      <c r="U736" s="45" t="n"/>
    </row>
    <row r="737">
      <c r="O737" s="44" t="n"/>
      <c r="Q737" s="44" t="n"/>
      <c r="T737" s="45" t="n"/>
      <c r="U737" s="45" t="n"/>
    </row>
    <row r="738">
      <c r="O738" s="44" t="n"/>
      <c r="Q738" s="44" t="n"/>
      <c r="T738" s="45" t="n"/>
      <c r="U738" s="45" t="n"/>
    </row>
    <row r="739">
      <c r="O739" s="44" t="n"/>
      <c r="Q739" s="44" t="n"/>
      <c r="T739" s="45" t="n"/>
      <c r="U739" s="45" t="n"/>
    </row>
    <row r="740">
      <c r="O740" s="44" t="n"/>
      <c r="Q740" s="44" t="n"/>
      <c r="T740" s="45" t="n"/>
      <c r="U740" s="45" t="n"/>
    </row>
    <row r="741">
      <c r="O741" s="44" t="n"/>
      <c r="Q741" s="44" t="n"/>
      <c r="T741" s="45" t="n"/>
      <c r="U741" s="45" t="n"/>
    </row>
    <row r="742">
      <c r="O742" s="44" t="n"/>
      <c r="Q742" s="44" t="n"/>
      <c r="T742" s="45" t="n"/>
      <c r="U742" s="45" t="n"/>
    </row>
    <row r="743">
      <c r="O743" s="44" t="n"/>
      <c r="Q743" s="44" t="n"/>
      <c r="T743" s="45" t="n"/>
      <c r="U743" s="45" t="n"/>
    </row>
    <row r="744">
      <c r="O744" s="44" t="n"/>
      <c r="Q744" s="44" t="n"/>
      <c r="T744" s="45" t="n"/>
      <c r="U744" s="45" t="n"/>
    </row>
    <row r="745">
      <c r="O745" s="44" t="n"/>
      <c r="Q745" s="44" t="n"/>
      <c r="T745" s="45" t="n"/>
      <c r="U745" s="45" t="n"/>
    </row>
    <row r="746">
      <c r="O746" s="44" t="n"/>
      <c r="Q746" s="44" t="n"/>
      <c r="T746" s="45" t="n"/>
      <c r="U746" s="45" t="n"/>
    </row>
    <row r="747">
      <c r="O747" s="44" t="n"/>
      <c r="Q747" s="44" t="n"/>
      <c r="T747" s="45" t="n"/>
      <c r="U747" s="45" t="n"/>
    </row>
    <row r="748">
      <c r="O748" s="44" t="n"/>
      <c r="Q748" s="44" t="n"/>
      <c r="T748" s="45" t="n"/>
      <c r="U748" s="45" t="n"/>
    </row>
    <row r="749">
      <c r="O749" s="44" t="n"/>
      <c r="Q749" s="44" t="n"/>
      <c r="T749" s="45" t="n"/>
      <c r="U749" s="45" t="n"/>
    </row>
    <row r="750">
      <c r="O750" s="44" t="n"/>
      <c r="Q750" s="44" t="n"/>
      <c r="T750" s="45" t="n"/>
      <c r="U750" s="45" t="n"/>
    </row>
    <row r="751">
      <c r="O751" s="44" t="n"/>
      <c r="Q751" s="44" t="n"/>
      <c r="T751" s="45" t="n"/>
      <c r="U751" s="45" t="n"/>
    </row>
    <row r="752">
      <c r="O752" s="44" t="n"/>
      <c r="Q752" s="44" t="n"/>
      <c r="T752" s="45" t="n"/>
      <c r="U752" s="45" t="n"/>
    </row>
    <row r="753">
      <c r="O753" s="44" t="n"/>
      <c r="Q753" s="44" t="n"/>
      <c r="T753" s="45" t="n"/>
      <c r="U753" s="45" t="n"/>
    </row>
    <row r="754">
      <c r="O754" s="44" t="n"/>
      <c r="Q754" s="44" t="n"/>
      <c r="T754" s="45" t="n"/>
      <c r="U754" s="45" t="n"/>
    </row>
    <row r="755">
      <c r="O755" s="44" t="n"/>
      <c r="Q755" s="44" t="n"/>
      <c r="T755" s="45" t="n"/>
      <c r="U755" s="45" t="n"/>
    </row>
    <row r="756">
      <c r="O756" s="44" t="n"/>
      <c r="Q756" s="44" t="n"/>
      <c r="T756" s="45" t="n"/>
      <c r="U756" s="45" t="n"/>
    </row>
    <row r="757">
      <c r="O757" s="44" t="n"/>
      <c r="Q757" s="44" t="n"/>
      <c r="T757" s="45" t="n"/>
      <c r="U757" s="45" t="n"/>
    </row>
    <row r="758">
      <c r="O758" s="44" t="n"/>
      <c r="Q758" s="44" t="n"/>
      <c r="T758" s="45" t="n"/>
      <c r="U758" s="45" t="n"/>
    </row>
    <row r="759">
      <c r="O759" s="44" t="n"/>
      <c r="Q759" s="44" t="n"/>
      <c r="T759" s="45" t="n"/>
      <c r="U759" s="45" t="n"/>
    </row>
    <row r="760">
      <c r="O760" s="44" t="n"/>
      <c r="Q760" s="44" t="n"/>
      <c r="T760" s="45" t="n"/>
      <c r="U760" s="45" t="n"/>
    </row>
    <row r="761">
      <c r="O761" s="44" t="n"/>
      <c r="Q761" s="44" t="n"/>
      <c r="T761" s="45" t="n"/>
      <c r="U761" s="45" t="n"/>
    </row>
    <row r="762">
      <c r="O762" s="44" t="n"/>
      <c r="Q762" s="44" t="n"/>
      <c r="T762" s="45" t="n"/>
      <c r="U762" s="45" t="n"/>
    </row>
    <row r="763">
      <c r="O763" s="44" t="n"/>
      <c r="Q763" s="44" t="n"/>
      <c r="T763" s="45" t="n"/>
      <c r="U763" s="45" t="n"/>
    </row>
    <row r="764">
      <c r="O764" s="44" t="n"/>
      <c r="Q764" s="44" t="n"/>
      <c r="T764" s="45" t="n"/>
      <c r="U764" s="45" t="n"/>
    </row>
    <row r="765">
      <c r="O765" s="44" t="n"/>
      <c r="Q765" s="44" t="n"/>
      <c r="T765" s="45" t="n"/>
      <c r="U765" s="45" t="n"/>
    </row>
    <row r="766">
      <c r="O766" s="44" t="n"/>
      <c r="Q766" s="44" t="n"/>
      <c r="T766" s="45" t="n"/>
      <c r="U766" s="45" t="n"/>
    </row>
    <row r="767">
      <c r="O767" s="44" t="n"/>
      <c r="Q767" s="44" t="n"/>
      <c r="T767" s="45" t="n"/>
      <c r="U767" s="45" t="n"/>
    </row>
    <row r="768">
      <c r="O768" s="44" t="n"/>
      <c r="Q768" s="44" t="n"/>
      <c r="T768" s="45" t="n"/>
      <c r="U768" s="45" t="n"/>
    </row>
    <row r="769">
      <c r="O769" s="44" t="n"/>
      <c r="Q769" s="44" t="n"/>
      <c r="T769" s="45" t="n"/>
      <c r="U769" s="45" t="n"/>
    </row>
    <row r="770">
      <c r="O770" s="44" t="n"/>
      <c r="Q770" s="44" t="n"/>
      <c r="T770" s="45" t="n"/>
      <c r="U770" s="45" t="n"/>
    </row>
    <row r="771">
      <c r="O771" s="44" t="n"/>
      <c r="Q771" s="44" t="n"/>
      <c r="T771" s="45" t="n"/>
      <c r="U771" s="45" t="n"/>
    </row>
    <row r="772">
      <c r="O772" s="44" t="n"/>
      <c r="Q772" s="44" t="n"/>
      <c r="T772" s="45" t="n"/>
      <c r="U772" s="45" t="n"/>
    </row>
    <row r="773">
      <c r="O773" s="44" t="n"/>
      <c r="Q773" s="44" t="n"/>
      <c r="T773" s="45" t="n"/>
      <c r="U773" s="45" t="n"/>
    </row>
    <row r="774">
      <c r="O774" s="44" t="n"/>
      <c r="Q774" s="44" t="n"/>
      <c r="T774" s="45" t="n"/>
      <c r="U774" s="45" t="n"/>
    </row>
    <row r="775">
      <c r="O775" s="44" t="n"/>
      <c r="Q775" s="44" t="n"/>
      <c r="T775" s="45" t="n"/>
      <c r="U775" s="45" t="n"/>
    </row>
    <row r="776">
      <c r="O776" s="44" t="n"/>
      <c r="Q776" s="44" t="n"/>
      <c r="T776" s="45" t="n"/>
      <c r="U776" s="45" t="n"/>
    </row>
    <row r="777">
      <c r="O777" s="44" t="n"/>
      <c r="Q777" s="44" t="n"/>
      <c r="T777" s="45" t="n"/>
      <c r="U777" s="45" t="n"/>
    </row>
    <row r="778">
      <c r="O778" s="44" t="n"/>
      <c r="Q778" s="44" t="n"/>
      <c r="T778" s="45" t="n"/>
      <c r="U778" s="45" t="n"/>
    </row>
    <row r="779">
      <c r="O779" s="44" t="n"/>
      <c r="Q779" s="44" t="n"/>
      <c r="T779" s="45" t="n"/>
      <c r="U779" s="45" t="n"/>
    </row>
    <row r="780">
      <c r="O780" s="44" t="n"/>
      <c r="Q780" s="44" t="n"/>
      <c r="T780" s="45" t="n"/>
      <c r="U780" s="45" t="n"/>
    </row>
    <row r="781">
      <c r="O781" s="44" t="n"/>
      <c r="Q781" s="44" t="n"/>
      <c r="T781" s="45" t="n"/>
      <c r="U781" s="45" t="n"/>
    </row>
    <row r="782">
      <c r="O782" s="44" t="n"/>
      <c r="Q782" s="44" t="n"/>
      <c r="T782" s="45" t="n"/>
      <c r="U782" s="45" t="n"/>
    </row>
    <row r="783">
      <c r="O783" s="44" t="n"/>
      <c r="Q783" s="44" t="n"/>
      <c r="T783" s="45" t="n"/>
      <c r="U783" s="45" t="n"/>
    </row>
    <row r="784">
      <c r="O784" s="44" t="n"/>
      <c r="Q784" s="44" t="n"/>
      <c r="T784" s="45" t="n"/>
      <c r="U784" s="45" t="n"/>
    </row>
    <row r="785">
      <c r="O785" s="44" t="n"/>
      <c r="Q785" s="44" t="n"/>
      <c r="T785" s="45" t="n"/>
      <c r="U785" s="45" t="n"/>
    </row>
    <row r="786">
      <c r="O786" s="44" t="n"/>
      <c r="Q786" s="44" t="n"/>
      <c r="T786" s="45" t="n"/>
      <c r="U786" s="45" t="n"/>
    </row>
    <row r="787">
      <c r="O787" s="44" t="n"/>
      <c r="Q787" s="44" t="n"/>
      <c r="T787" s="45" t="n"/>
      <c r="U787" s="45" t="n"/>
    </row>
    <row r="788">
      <c r="O788" s="44" t="n"/>
      <c r="Q788" s="44" t="n"/>
      <c r="T788" s="45" t="n"/>
      <c r="U788" s="45" t="n"/>
    </row>
    <row r="789">
      <c r="O789" s="44" t="n"/>
      <c r="Q789" s="44" t="n"/>
      <c r="T789" s="45" t="n"/>
      <c r="U789" s="45" t="n"/>
    </row>
    <row r="790">
      <c r="O790" s="44" t="n"/>
      <c r="Q790" s="44" t="n"/>
      <c r="T790" s="45" t="n"/>
      <c r="U790" s="45" t="n"/>
    </row>
    <row r="791">
      <c r="O791" s="44" t="n"/>
      <c r="Q791" s="44" t="n"/>
      <c r="T791" s="45" t="n"/>
      <c r="U791" s="45" t="n"/>
    </row>
    <row r="792">
      <c r="O792" s="44" t="n"/>
      <c r="Q792" s="44" t="n"/>
      <c r="T792" s="45" t="n"/>
      <c r="U792" s="45" t="n"/>
    </row>
    <row r="793">
      <c r="O793" s="44" t="n"/>
      <c r="Q793" s="44" t="n"/>
      <c r="T793" s="45" t="n"/>
      <c r="U793" s="45" t="n"/>
    </row>
    <row r="794">
      <c r="O794" s="44" t="n"/>
      <c r="Q794" s="44" t="n"/>
      <c r="T794" s="45" t="n"/>
      <c r="U794" s="45" t="n"/>
    </row>
    <row r="795">
      <c r="O795" s="44" t="n"/>
      <c r="Q795" s="44" t="n"/>
      <c r="T795" s="45" t="n"/>
      <c r="U795" s="45" t="n"/>
    </row>
    <row r="796">
      <c r="O796" s="44" t="n"/>
      <c r="Q796" s="44" t="n"/>
      <c r="T796" s="45" t="n"/>
      <c r="U796" s="45" t="n"/>
    </row>
    <row r="797">
      <c r="O797" s="44" t="n"/>
      <c r="Q797" s="44" t="n"/>
      <c r="T797" s="45" t="n"/>
      <c r="U797" s="45" t="n"/>
    </row>
    <row r="798">
      <c r="O798" s="44" t="n"/>
      <c r="Q798" s="44" t="n"/>
      <c r="T798" s="45" t="n"/>
      <c r="U798" s="45" t="n"/>
    </row>
    <row r="799">
      <c r="O799" s="44" t="n"/>
      <c r="Q799" s="44" t="n"/>
      <c r="T799" s="45" t="n"/>
      <c r="U799" s="45" t="n"/>
    </row>
    <row r="800">
      <c r="O800" s="44" t="n"/>
      <c r="Q800" s="44" t="n"/>
      <c r="T800" s="45" t="n"/>
      <c r="U800" s="45" t="n"/>
    </row>
    <row r="801">
      <c r="O801" s="44" t="n"/>
      <c r="Q801" s="44" t="n"/>
      <c r="T801" s="45" t="n"/>
      <c r="U801" s="45" t="n"/>
    </row>
    <row r="802">
      <c r="O802" s="44" t="n"/>
      <c r="Q802" s="44" t="n"/>
      <c r="T802" s="45" t="n"/>
      <c r="U802" s="45" t="n"/>
    </row>
    <row r="803">
      <c r="O803" s="44" t="n"/>
      <c r="Q803" s="44" t="n"/>
      <c r="T803" s="45" t="n"/>
      <c r="U803" s="45" t="n"/>
    </row>
    <row r="804">
      <c r="O804" s="44" t="n"/>
      <c r="Q804" s="44" t="n"/>
      <c r="T804" s="45" t="n"/>
      <c r="U804" s="45" t="n"/>
    </row>
    <row r="805">
      <c r="O805" s="44" t="n"/>
      <c r="Q805" s="44" t="n"/>
      <c r="T805" s="45" t="n"/>
      <c r="U805" s="45" t="n"/>
    </row>
    <row r="806">
      <c r="O806" s="44" t="n"/>
      <c r="Q806" s="44" t="n"/>
      <c r="T806" s="45" t="n"/>
      <c r="U806" s="45" t="n"/>
    </row>
    <row r="807">
      <c r="O807" s="44" t="n"/>
      <c r="Q807" s="44" t="n"/>
      <c r="T807" s="45" t="n"/>
      <c r="U807" s="45" t="n"/>
    </row>
    <row r="808">
      <c r="O808" s="44" t="n"/>
      <c r="Q808" s="44" t="n"/>
      <c r="T808" s="45" t="n"/>
      <c r="U808" s="45" t="n"/>
    </row>
    <row r="809">
      <c r="O809" s="44" t="n"/>
      <c r="Q809" s="44" t="n"/>
      <c r="T809" s="45" t="n"/>
      <c r="U809" s="45" t="n"/>
    </row>
    <row r="810">
      <c r="O810" s="44" t="n"/>
      <c r="Q810" s="44" t="n"/>
      <c r="T810" s="45" t="n"/>
      <c r="U810" s="45" t="n"/>
    </row>
    <row r="811">
      <c r="O811" s="44" t="n"/>
      <c r="Q811" s="44" t="n"/>
      <c r="T811" s="45" t="n"/>
      <c r="U811" s="45" t="n"/>
    </row>
    <row r="812">
      <c r="O812" s="44" t="n"/>
      <c r="Q812" s="44" t="n"/>
      <c r="T812" s="45" t="n"/>
      <c r="U812" s="45" t="n"/>
    </row>
    <row r="813">
      <c r="O813" s="44" t="n"/>
      <c r="Q813" s="44" t="n"/>
      <c r="T813" s="45" t="n"/>
      <c r="U813" s="45" t="n"/>
    </row>
    <row r="814">
      <c r="O814" s="44" t="n"/>
      <c r="Q814" s="44" t="n"/>
      <c r="T814" s="45" t="n"/>
      <c r="U814" s="45" t="n"/>
    </row>
    <row r="815">
      <c r="O815" s="44" t="n"/>
      <c r="Q815" s="44" t="n"/>
      <c r="T815" s="45" t="n"/>
      <c r="U815" s="45" t="n"/>
    </row>
    <row r="816">
      <c r="O816" s="44" t="n"/>
      <c r="Q816" s="44" t="n"/>
      <c r="T816" s="45" t="n"/>
      <c r="U816" s="45" t="n"/>
    </row>
    <row r="817">
      <c r="O817" s="44" t="n"/>
      <c r="Q817" s="44" t="n"/>
      <c r="T817" s="45" t="n"/>
      <c r="U817" s="45" t="n"/>
    </row>
    <row r="818">
      <c r="O818" s="44" t="n"/>
      <c r="Q818" s="44" t="n"/>
      <c r="T818" s="45" t="n"/>
      <c r="U818" s="45" t="n"/>
    </row>
    <row r="819">
      <c r="O819" s="44" t="n"/>
      <c r="Q819" s="44" t="n"/>
      <c r="T819" s="45" t="n"/>
      <c r="U819" s="45" t="n"/>
    </row>
    <row r="820">
      <c r="O820" s="44" t="n"/>
      <c r="Q820" s="44" t="n"/>
      <c r="T820" s="45" t="n"/>
      <c r="U820" s="45" t="n"/>
    </row>
    <row r="821">
      <c r="O821" s="44" t="n"/>
      <c r="Q821" s="44" t="n"/>
      <c r="T821" s="45" t="n"/>
      <c r="U821" s="45" t="n"/>
    </row>
    <row r="822">
      <c r="O822" s="44" t="n"/>
      <c r="Q822" s="44" t="n"/>
      <c r="T822" s="45" t="n"/>
      <c r="U822" s="45" t="n"/>
    </row>
    <row r="823">
      <c r="O823" s="44" t="n"/>
      <c r="Q823" s="44" t="n"/>
      <c r="T823" s="45" t="n"/>
      <c r="U823" s="45" t="n"/>
    </row>
    <row r="824">
      <c r="O824" s="44" t="n"/>
      <c r="Q824" s="44" t="n"/>
      <c r="T824" s="45" t="n"/>
      <c r="U824" s="45" t="n"/>
    </row>
    <row r="825">
      <c r="O825" s="44" t="n"/>
      <c r="Q825" s="44" t="n"/>
      <c r="T825" s="45" t="n"/>
      <c r="U825" s="45" t="n"/>
    </row>
    <row r="826">
      <c r="O826" s="44" t="n"/>
      <c r="Q826" s="44" t="n"/>
      <c r="T826" s="45" t="n"/>
      <c r="U826" s="45" t="n"/>
    </row>
    <row r="827">
      <c r="O827" s="44" t="n"/>
      <c r="Q827" s="44" t="n"/>
      <c r="T827" s="45" t="n"/>
      <c r="U827" s="45" t="n"/>
    </row>
    <row r="828">
      <c r="O828" s="44" t="n"/>
      <c r="Q828" s="44" t="n"/>
      <c r="T828" s="45" t="n"/>
      <c r="U828" s="45" t="n"/>
    </row>
    <row r="829">
      <c r="O829" s="44" t="n"/>
      <c r="Q829" s="44" t="n"/>
      <c r="T829" s="45" t="n"/>
      <c r="U829" s="45" t="n"/>
    </row>
    <row r="830">
      <c r="O830" s="44" t="n"/>
      <c r="Q830" s="44" t="n"/>
      <c r="T830" s="45" t="n"/>
      <c r="U830" s="45" t="n"/>
    </row>
    <row r="831">
      <c r="O831" s="44" t="n"/>
      <c r="Q831" s="44" t="n"/>
      <c r="T831" s="45" t="n"/>
      <c r="U831" s="45" t="n"/>
    </row>
    <row r="832">
      <c r="O832" s="44" t="n"/>
      <c r="Q832" s="44" t="n"/>
      <c r="T832" s="45" t="n"/>
      <c r="U832" s="45" t="n"/>
    </row>
    <row r="833">
      <c r="O833" s="44" t="n"/>
      <c r="Q833" s="44" t="n"/>
      <c r="T833" s="45" t="n"/>
      <c r="U833" s="45" t="n"/>
    </row>
    <row r="834">
      <c r="O834" s="44" t="n"/>
      <c r="Q834" s="44" t="n"/>
      <c r="T834" s="45" t="n"/>
      <c r="U834" s="45" t="n"/>
    </row>
    <row r="835">
      <c r="O835" s="44" t="n"/>
      <c r="Q835" s="44" t="n"/>
      <c r="T835" s="45" t="n"/>
      <c r="U835" s="45" t="n"/>
    </row>
    <row r="836">
      <c r="O836" s="44" t="n"/>
      <c r="Q836" s="44" t="n"/>
      <c r="T836" s="45" t="n"/>
      <c r="U836" s="45" t="n"/>
    </row>
    <row r="837">
      <c r="O837" s="44" t="n"/>
      <c r="Q837" s="44" t="n"/>
      <c r="T837" s="45" t="n"/>
      <c r="U837" s="45" t="n"/>
    </row>
    <row r="838">
      <c r="O838" s="44" t="n"/>
      <c r="Q838" s="44" t="n"/>
      <c r="T838" s="45" t="n"/>
      <c r="U838" s="45" t="n"/>
    </row>
    <row r="839">
      <c r="O839" s="44" t="n"/>
      <c r="Q839" s="44" t="n"/>
      <c r="T839" s="45" t="n"/>
      <c r="U839" s="45" t="n"/>
    </row>
    <row r="840">
      <c r="O840" s="44" t="n"/>
      <c r="Q840" s="44" t="n"/>
      <c r="T840" s="45" t="n"/>
      <c r="U840" s="45" t="n"/>
    </row>
    <row r="841">
      <c r="O841" s="44" t="n"/>
      <c r="Q841" s="44" t="n"/>
      <c r="T841" s="45" t="n"/>
      <c r="U841" s="45" t="n"/>
    </row>
    <row r="842">
      <c r="O842" s="44" t="n"/>
      <c r="Q842" s="44" t="n"/>
      <c r="T842" s="45" t="n"/>
      <c r="U842" s="45" t="n"/>
    </row>
    <row r="843">
      <c r="O843" s="44" t="n"/>
      <c r="Q843" s="44" t="n"/>
      <c r="T843" s="45" t="n"/>
      <c r="U843" s="45" t="n"/>
    </row>
    <row r="844">
      <c r="O844" s="44" t="n"/>
      <c r="Q844" s="44" t="n"/>
      <c r="T844" s="45" t="n"/>
      <c r="U844" s="45" t="n"/>
    </row>
    <row r="845">
      <c r="O845" s="44" t="n"/>
      <c r="Q845" s="44" t="n"/>
      <c r="T845" s="45" t="n"/>
      <c r="U845" s="45" t="n"/>
    </row>
    <row r="846">
      <c r="O846" s="44" t="n"/>
      <c r="Q846" s="44" t="n"/>
      <c r="T846" s="45" t="n"/>
      <c r="U846" s="45" t="n"/>
    </row>
    <row r="847">
      <c r="O847" s="44" t="n"/>
      <c r="Q847" s="44" t="n"/>
      <c r="T847" s="45" t="n"/>
      <c r="U847" s="45" t="n"/>
    </row>
    <row r="848">
      <c r="O848" s="44" t="n"/>
      <c r="Q848" s="44" t="n"/>
      <c r="T848" s="45" t="n"/>
      <c r="U848" s="45" t="n"/>
    </row>
    <row r="849">
      <c r="O849" s="44" t="n"/>
      <c r="Q849" s="44" t="n"/>
      <c r="T849" s="45" t="n"/>
      <c r="U849" s="45" t="n"/>
    </row>
    <row r="850">
      <c r="O850" s="44" t="n"/>
      <c r="Q850" s="44" t="n"/>
      <c r="T850" s="45" t="n"/>
      <c r="U850" s="45" t="n"/>
    </row>
    <row r="851">
      <c r="O851" s="44" t="n"/>
      <c r="Q851" s="44" t="n"/>
      <c r="T851" s="45" t="n"/>
      <c r="U851" s="45" t="n"/>
    </row>
    <row r="852">
      <c r="O852" s="44" t="n"/>
      <c r="Q852" s="44" t="n"/>
      <c r="T852" s="45" t="n"/>
      <c r="U852" s="45" t="n"/>
    </row>
    <row r="853">
      <c r="O853" s="44" t="n"/>
      <c r="Q853" s="44" t="n"/>
      <c r="T853" s="45" t="n"/>
      <c r="U853" s="45" t="n"/>
    </row>
    <row r="854">
      <c r="O854" s="44" t="n"/>
      <c r="Q854" s="44" t="n"/>
      <c r="T854" s="45" t="n"/>
      <c r="U854" s="45" t="n"/>
    </row>
    <row r="855">
      <c r="O855" s="44" t="n"/>
      <c r="Q855" s="44" t="n"/>
      <c r="T855" s="45" t="n"/>
      <c r="U855" s="45" t="n"/>
    </row>
    <row r="856">
      <c r="O856" s="44" t="n"/>
      <c r="Q856" s="44" t="n"/>
      <c r="T856" s="45" t="n"/>
      <c r="U856" s="45" t="n"/>
    </row>
    <row r="857">
      <c r="O857" s="44" t="n"/>
      <c r="Q857" s="44" t="n"/>
      <c r="T857" s="45" t="n"/>
      <c r="U857" s="45" t="n"/>
    </row>
    <row r="858">
      <c r="O858" s="44" t="n"/>
      <c r="Q858" s="44" t="n"/>
      <c r="T858" s="45" t="n"/>
      <c r="U858" s="45" t="n"/>
    </row>
    <row r="859">
      <c r="O859" s="44" t="n"/>
      <c r="Q859" s="44" t="n"/>
      <c r="T859" s="45" t="n"/>
      <c r="U859" s="45" t="n"/>
    </row>
    <row r="860">
      <c r="O860" s="44" t="n"/>
      <c r="Q860" s="44" t="n"/>
      <c r="T860" s="45" t="n"/>
      <c r="U860" s="45" t="n"/>
    </row>
    <row r="861">
      <c r="O861" s="44" t="n"/>
      <c r="Q861" s="44" t="n"/>
      <c r="T861" s="45" t="n"/>
      <c r="U861" s="45" t="n"/>
    </row>
    <row r="862">
      <c r="O862" s="44" t="n"/>
      <c r="Q862" s="44" t="n"/>
      <c r="T862" s="45" t="n"/>
      <c r="U862" s="45" t="n"/>
    </row>
    <row r="863">
      <c r="O863" s="44" t="n"/>
      <c r="Q863" s="44" t="n"/>
      <c r="T863" s="45" t="n"/>
      <c r="U863" s="45" t="n"/>
    </row>
    <row r="864">
      <c r="O864" s="44" t="n"/>
      <c r="Q864" s="44" t="n"/>
      <c r="T864" s="45" t="n"/>
      <c r="U864" s="45" t="n"/>
    </row>
    <row r="865">
      <c r="O865" s="44" t="n"/>
      <c r="Q865" s="44" t="n"/>
      <c r="T865" s="45" t="n"/>
      <c r="U865" s="45" t="n"/>
    </row>
    <row r="866">
      <c r="O866" s="44" t="n"/>
      <c r="Q866" s="44" t="n"/>
      <c r="T866" s="45" t="n"/>
      <c r="U866" s="45" t="n"/>
    </row>
    <row r="867">
      <c r="O867" s="44" t="n"/>
      <c r="Q867" s="44" t="n"/>
      <c r="T867" s="45" t="n"/>
      <c r="U867" s="45" t="n"/>
    </row>
    <row r="868">
      <c r="O868" s="44" t="n"/>
      <c r="Q868" s="44" t="n"/>
      <c r="T868" s="45" t="n"/>
      <c r="U868" s="45" t="n"/>
    </row>
    <row r="869">
      <c r="O869" s="44" t="n"/>
      <c r="Q869" s="44" t="n"/>
      <c r="T869" s="45" t="n"/>
      <c r="U869" s="45" t="n"/>
    </row>
    <row r="870">
      <c r="O870" s="44" t="n"/>
      <c r="Q870" s="44" t="n"/>
      <c r="T870" s="45" t="n"/>
      <c r="U870" s="45" t="n"/>
    </row>
    <row r="871">
      <c r="O871" s="44" t="n"/>
      <c r="Q871" s="44" t="n"/>
      <c r="T871" s="45" t="n"/>
      <c r="U871" s="45" t="n"/>
    </row>
    <row r="872">
      <c r="O872" s="44" t="n"/>
      <c r="Q872" s="44" t="n"/>
      <c r="T872" s="45" t="n"/>
      <c r="U872" s="45" t="n"/>
    </row>
    <row r="873">
      <c r="O873" s="44" t="n"/>
      <c r="Q873" s="44" t="n"/>
      <c r="T873" s="45" t="n"/>
      <c r="U873" s="45" t="n"/>
    </row>
    <row r="874">
      <c r="O874" s="44" t="n"/>
      <c r="Q874" s="44" t="n"/>
      <c r="T874" s="45" t="n"/>
      <c r="U874" s="45" t="n"/>
    </row>
    <row r="875">
      <c r="O875" s="44" t="n"/>
      <c r="Q875" s="44" t="n"/>
      <c r="T875" s="45" t="n"/>
      <c r="U875" s="45" t="n"/>
    </row>
    <row r="876">
      <c r="O876" s="44" t="n"/>
      <c r="Q876" s="44" t="n"/>
      <c r="T876" s="45" t="n"/>
      <c r="U876" s="45" t="n"/>
    </row>
    <row r="877">
      <c r="O877" s="44" t="n"/>
      <c r="Q877" s="44" t="n"/>
      <c r="T877" s="45" t="n"/>
      <c r="U877" s="45" t="n"/>
    </row>
    <row r="878">
      <c r="O878" s="44" t="n"/>
      <c r="Q878" s="44" t="n"/>
      <c r="T878" s="45" t="n"/>
      <c r="U878" s="45" t="n"/>
    </row>
    <row r="879">
      <c r="O879" s="44" t="n"/>
      <c r="Q879" s="44" t="n"/>
      <c r="T879" s="45" t="n"/>
      <c r="U879" s="45" t="n"/>
    </row>
    <row r="880">
      <c r="O880" s="44" t="n"/>
      <c r="Q880" s="44" t="n"/>
      <c r="T880" s="45" t="n"/>
      <c r="U880" s="45" t="n"/>
    </row>
    <row r="881">
      <c r="O881" s="44" t="n"/>
      <c r="Q881" s="44" t="n"/>
      <c r="T881" s="45" t="n"/>
      <c r="U881" s="45" t="n"/>
    </row>
    <row r="882">
      <c r="O882" s="44" t="n"/>
      <c r="Q882" s="44" t="n"/>
      <c r="T882" s="45" t="n"/>
      <c r="U882" s="45" t="n"/>
    </row>
    <row r="883">
      <c r="O883" s="44" t="n"/>
      <c r="Q883" s="44" t="n"/>
      <c r="T883" s="45" t="n"/>
      <c r="U883" s="45" t="n"/>
    </row>
    <row r="884">
      <c r="O884" s="44" t="n"/>
      <c r="Q884" s="44" t="n"/>
      <c r="T884" s="45" t="n"/>
      <c r="U884" s="45" t="n"/>
    </row>
    <row r="885">
      <c r="O885" s="44" t="n"/>
      <c r="Q885" s="44" t="n"/>
      <c r="T885" s="45" t="n"/>
      <c r="U885" s="45" t="n"/>
    </row>
    <row r="886">
      <c r="O886" s="44" t="n"/>
      <c r="Q886" s="44" t="n"/>
      <c r="T886" s="45" t="n"/>
      <c r="U886" s="45" t="n"/>
    </row>
    <row r="887">
      <c r="O887" s="44" t="n"/>
      <c r="Q887" s="44" t="n"/>
      <c r="T887" s="45" t="n"/>
      <c r="U887" s="45" t="n"/>
    </row>
    <row r="888">
      <c r="O888" s="44" t="n"/>
      <c r="Q888" s="44" t="n"/>
      <c r="T888" s="45" t="n"/>
      <c r="U888" s="45" t="n"/>
    </row>
    <row r="889">
      <c r="O889" s="44" t="n"/>
      <c r="Q889" s="44" t="n"/>
      <c r="T889" s="45" t="n"/>
      <c r="U889" s="45" t="n"/>
    </row>
    <row r="890">
      <c r="O890" s="44" t="n"/>
      <c r="Q890" s="44" t="n"/>
      <c r="T890" s="45" t="n"/>
      <c r="U890" s="45" t="n"/>
    </row>
    <row r="891">
      <c r="O891" s="44" t="n"/>
      <c r="Q891" s="44" t="n"/>
      <c r="T891" s="45" t="n"/>
      <c r="U891" s="45" t="n"/>
    </row>
    <row r="892">
      <c r="O892" s="44" t="n"/>
      <c r="Q892" s="44" t="n"/>
      <c r="T892" s="45" t="n"/>
      <c r="U892" s="45" t="n"/>
    </row>
    <row r="893">
      <c r="O893" s="44" t="n"/>
      <c r="Q893" s="44" t="n"/>
      <c r="T893" s="45" t="n"/>
      <c r="U893" s="45" t="n"/>
    </row>
    <row r="894">
      <c r="O894" s="44" t="n"/>
      <c r="Q894" s="44" t="n"/>
      <c r="T894" s="45" t="n"/>
      <c r="U894" s="45" t="n"/>
    </row>
    <row r="895">
      <c r="O895" s="44" t="n"/>
      <c r="Q895" s="44" t="n"/>
      <c r="T895" s="45" t="n"/>
      <c r="U895" s="45" t="n"/>
    </row>
    <row r="896">
      <c r="O896" s="44" t="n"/>
      <c r="Q896" s="44" t="n"/>
      <c r="T896" s="45" t="n"/>
      <c r="U896" s="45" t="n"/>
    </row>
    <row r="897">
      <c r="O897" s="44" t="n"/>
      <c r="Q897" s="44" t="n"/>
      <c r="T897" s="45" t="n"/>
      <c r="U897" s="45" t="n"/>
    </row>
    <row r="898">
      <c r="O898" s="44" t="n"/>
      <c r="Q898" s="44" t="n"/>
      <c r="T898" s="45" t="n"/>
      <c r="U898" s="45" t="n"/>
    </row>
    <row r="899">
      <c r="O899" s="44" t="n"/>
      <c r="Q899" s="44" t="n"/>
      <c r="T899" s="45" t="n"/>
      <c r="U899" s="45" t="n"/>
    </row>
    <row r="900">
      <c r="O900" s="44" t="n"/>
      <c r="Q900" s="44" t="n"/>
      <c r="T900" s="45" t="n"/>
      <c r="U900" s="45" t="n"/>
    </row>
    <row r="901">
      <c r="O901" s="44" t="n"/>
      <c r="Q901" s="44" t="n"/>
      <c r="T901" s="45" t="n"/>
      <c r="U901" s="45" t="n"/>
    </row>
    <row r="902">
      <c r="O902" s="44" t="n"/>
      <c r="Q902" s="44" t="n"/>
      <c r="T902" s="45" t="n"/>
      <c r="U902" s="45" t="n"/>
    </row>
    <row r="903">
      <c r="O903" s="44" t="n"/>
      <c r="Q903" s="44" t="n"/>
      <c r="T903" s="45" t="n"/>
      <c r="U903" s="45" t="n"/>
    </row>
    <row r="904">
      <c r="O904" s="44" t="n"/>
      <c r="Q904" s="44" t="n"/>
      <c r="T904" s="45" t="n"/>
      <c r="U904" s="45" t="n"/>
    </row>
    <row r="905">
      <c r="O905" s="44" t="n"/>
      <c r="Q905" s="44" t="n"/>
      <c r="T905" s="45" t="n"/>
      <c r="U905" s="45" t="n"/>
    </row>
    <row r="906">
      <c r="O906" s="44" t="n"/>
      <c r="Q906" s="44" t="n"/>
      <c r="T906" s="45" t="n"/>
      <c r="U906" s="45" t="n"/>
    </row>
    <row r="907">
      <c r="O907" s="44" t="n"/>
      <c r="Q907" s="44" t="n"/>
      <c r="T907" s="45" t="n"/>
      <c r="U907" s="45" t="n"/>
    </row>
    <row r="908">
      <c r="O908" s="44" t="n"/>
      <c r="Q908" s="44" t="n"/>
      <c r="T908" s="45" t="n"/>
      <c r="U908" s="45" t="n"/>
    </row>
    <row r="909">
      <c r="O909" s="44" t="n"/>
      <c r="Q909" s="44" t="n"/>
      <c r="T909" s="45" t="n"/>
      <c r="U909" s="45" t="n"/>
    </row>
    <row r="910">
      <c r="O910" s="44" t="n"/>
      <c r="Q910" s="44" t="n"/>
      <c r="T910" s="45" t="n"/>
      <c r="U910" s="45" t="n"/>
    </row>
    <row r="911">
      <c r="O911" s="44" t="n"/>
      <c r="Q911" s="44" t="n"/>
      <c r="T911" s="45" t="n"/>
      <c r="U911" s="45" t="n"/>
    </row>
    <row r="912">
      <c r="O912" s="44" t="n"/>
      <c r="Q912" s="44" t="n"/>
      <c r="T912" s="45" t="n"/>
      <c r="U912" s="45" t="n"/>
    </row>
    <row r="913">
      <c r="O913" s="44" t="n"/>
      <c r="Q913" s="44" t="n"/>
      <c r="T913" s="45" t="n"/>
      <c r="U913" s="45" t="n"/>
    </row>
    <row r="914">
      <c r="O914" s="44" t="n"/>
      <c r="Q914" s="44" t="n"/>
      <c r="T914" s="45" t="n"/>
      <c r="U914" s="45" t="n"/>
    </row>
    <row r="915">
      <c r="O915" s="44" t="n"/>
      <c r="Q915" s="44" t="n"/>
      <c r="T915" s="45" t="n"/>
      <c r="U915" s="45" t="n"/>
    </row>
    <row r="916">
      <c r="O916" s="44" t="n"/>
      <c r="Q916" s="44" t="n"/>
      <c r="T916" s="45" t="n"/>
      <c r="U916" s="45" t="n"/>
    </row>
    <row r="917">
      <c r="O917" s="44" t="n"/>
      <c r="Q917" s="44" t="n"/>
      <c r="T917" s="45" t="n"/>
      <c r="U917" s="45" t="n"/>
    </row>
    <row r="918">
      <c r="O918" s="44" t="n"/>
      <c r="Q918" s="44" t="n"/>
      <c r="T918" s="45" t="n"/>
      <c r="U918" s="45" t="n"/>
    </row>
    <row r="919">
      <c r="O919" s="44" t="n"/>
      <c r="Q919" s="44" t="n"/>
      <c r="T919" s="45" t="n"/>
      <c r="U919" s="45" t="n"/>
    </row>
    <row r="920">
      <c r="O920" s="44" t="n"/>
      <c r="Q920" s="44" t="n"/>
      <c r="T920" s="45" t="n"/>
      <c r="U920" s="45" t="n"/>
    </row>
    <row r="921">
      <c r="O921" s="44" t="n"/>
      <c r="Q921" s="44" t="n"/>
      <c r="T921" s="45" t="n"/>
      <c r="U921" s="45" t="n"/>
    </row>
    <row r="922">
      <c r="O922" s="44" t="n"/>
      <c r="Q922" s="44" t="n"/>
      <c r="T922" s="45" t="n"/>
      <c r="U922" s="45" t="n"/>
    </row>
    <row r="923">
      <c r="O923" s="44" t="n"/>
      <c r="Q923" s="44" t="n"/>
      <c r="T923" s="45" t="n"/>
      <c r="U923" s="45" t="n"/>
    </row>
    <row r="924">
      <c r="O924" s="44" t="n"/>
      <c r="Q924" s="44" t="n"/>
      <c r="T924" s="45" t="n"/>
      <c r="U924" s="45" t="n"/>
    </row>
    <row r="925">
      <c r="O925" s="44" t="n"/>
      <c r="Q925" s="44" t="n"/>
      <c r="T925" s="45" t="n"/>
      <c r="U925" s="45" t="n"/>
    </row>
    <row r="926">
      <c r="O926" s="44" t="n"/>
      <c r="Q926" s="44" t="n"/>
      <c r="T926" s="45" t="n"/>
      <c r="U926" s="45" t="n"/>
    </row>
    <row r="927">
      <c r="O927" s="44" t="n"/>
      <c r="Q927" s="44" t="n"/>
      <c r="T927" s="45" t="n"/>
      <c r="U927" s="45" t="n"/>
    </row>
    <row r="928">
      <c r="O928" s="44" t="n"/>
      <c r="Q928" s="44" t="n"/>
      <c r="T928" s="45" t="n"/>
      <c r="U928" s="45" t="n"/>
    </row>
    <row r="929">
      <c r="O929" s="44" t="n"/>
      <c r="Q929" s="44" t="n"/>
      <c r="T929" s="45" t="n"/>
      <c r="U929" s="45" t="n"/>
    </row>
    <row r="930">
      <c r="O930" s="44" t="n"/>
      <c r="Q930" s="44" t="n"/>
      <c r="T930" s="45" t="n"/>
      <c r="U930" s="45" t="n"/>
    </row>
    <row r="931">
      <c r="O931" s="44" t="n"/>
      <c r="Q931" s="44" t="n"/>
      <c r="T931" s="45" t="n"/>
      <c r="U931" s="45" t="n"/>
    </row>
    <row r="932">
      <c r="O932" s="44" t="n"/>
      <c r="Q932" s="44" t="n"/>
      <c r="T932" s="45" t="n"/>
      <c r="U932" s="45" t="n"/>
    </row>
    <row r="933">
      <c r="O933" s="44" t="n"/>
      <c r="Q933" s="44" t="n"/>
      <c r="T933" s="45" t="n"/>
      <c r="U933" s="45" t="n"/>
    </row>
    <row r="934">
      <c r="O934" s="44" t="n"/>
      <c r="Q934" s="44" t="n"/>
      <c r="T934" s="45" t="n"/>
      <c r="U934" s="45" t="n"/>
    </row>
    <row r="935">
      <c r="O935" s="44" t="n"/>
      <c r="Q935" s="44" t="n"/>
      <c r="T935" s="45" t="n"/>
      <c r="U935" s="45" t="n"/>
    </row>
    <row r="936">
      <c r="O936" s="44" t="n"/>
      <c r="Q936" s="44" t="n"/>
      <c r="T936" s="45" t="n"/>
      <c r="U936" s="45" t="n"/>
    </row>
    <row r="937">
      <c r="O937" s="44" t="n"/>
      <c r="Q937" s="44" t="n"/>
      <c r="T937" s="45" t="n"/>
      <c r="U937" s="45" t="n"/>
    </row>
    <row r="938">
      <c r="O938" s="44" t="n"/>
      <c r="Q938" s="44" t="n"/>
      <c r="T938" s="45" t="n"/>
      <c r="U938" s="45" t="n"/>
    </row>
    <row r="939">
      <c r="O939" s="44" t="n"/>
      <c r="Q939" s="44" t="n"/>
      <c r="T939" s="45" t="n"/>
      <c r="U939" s="45" t="n"/>
    </row>
    <row r="940">
      <c r="O940" s="44" t="n"/>
      <c r="Q940" s="44" t="n"/>
      <c r="T940" s="45" t="n"/>
      <c r="U940" s="45" t="n"/>
    </row>
    <row r="941">
      <c r="O941" s="44" t="n"/>
      <c r="Q941" s="44" t="n"/>
      <c r="T941" s="45" t="n"/>
      <c r="U941" s="45" t="n"/>
    </row>
    <row r="942">
      <c r="O942" s="44" t="n"/>
      <c r="Q942" s="44" t="n"/>
      <c r="T942" s="45" t="n"/>
      <c r="U942" s="45" t="n"/>
    </row>
    <row r="943">
      <c r="O943" s="44" t="n"/>
      <c r="Q943" s="44" t="n"/>
      <c r="T943" s="45" t="n"/>
      <c r="U943" s="45" t="n"/>
    </row>
    <row r="944">
      <c r="O944" s="44" t="n"/>
      <c r="Q944" s="44" t="n"/>
      <c r="T944" s="45" t="n"/>
      <c r="U944" s="45" t="n"/>
    </row>
    <row r="945">
      <c r="O945" s="44" t="n"/>
      <c r="Q945" s="44" t="n"/>
      <c r="T945" s="45" t="n"/>
      <c r="U945" s="45" t="n"/>
    </row>
    <row r="946">
      <c r="O946" s="44" t="n"/>
      <c r="Q946" s="44" t="n"/>
      <c r="T946" s="45" t="n"/>
      <c r="U946" s="45" t="n"/>
    </row>
    <row r="947">
      <c r="O947" s="44" t="n"/>
      <c r="Q947" s="44" t="n"/>
      <c r="T947" s="45" t="n"/>
      <c r="U947" s="45" t="n"/>
    </row>
    <row r="948">
      <c r="O948" s="44" t="n"/>
      <c r="Q948" s="44" t="n"/>
      <c r="T948" s="45" t="n"/>
      <c r="U948" s="45" t="n"/>
    </row>
    <row r="949">
      <c r="O949" s="44" t="n"/>
      <c r="Q949" s="44" t="n"/>
      <c r="T949" s="45" t="n"/>
      <c r="U949" s="45" t="n"/>
    </row>
    <row r="950">
      <c r="O950" s="44" t="n"/>
      <c r="Q950" s="44" t="n"/>
      <c r="T950" s="45" t="n"/>
      <c r="U950" s="45" t="n"/>
    </row>
    <row r="951">
      <c r="O951" s="44" t="n"/>
      <c r="Q951" s="44" t="n"/>
      <c r="T951" s="45" t="n"/>
      <c r="U951" s="45" t="n"/>
    </row>
    <row r="952">
      <c r="O952" s="44" t="n"/>
      <c r="Q952" s="44" t="n"/>
      <c r="T952" s="45" t="n"/>
      <c r="U952" s="45" t="n"/>
    </row>
    <row r="953">
      <c r="O953" s="44" t="n"/>
      <c r="Q953" s="44" t="n"/>
      <c r="T953" s="45" t="n"/>
      <c r="U953" s="45" t="n"/>
    </row>
    <row r="954">
      <c r="O954" s="44" t="n"/>
      <c r="Q954" s="44" t="n"/>
      <c r="T954" s="45" t="n"/>
      <c r="U954" s="45" t="n"/>
    </row>
    <row r="955">
      <c r="O955" s="44" t="n"/>
      <c r="Q955" s="44" t="n"/>
      <c r="T955" s="45" t="n"/>
      <c r="U955" s="45" t="n"/>
    </row>
    <row r="956">
      <c r="O956" s="44" t="n"/>
      <c r="Q956" s="44" t="n"/>
      <c r="T956" s="45" t="n"/>
      <c r="U956" s="45" t="n"/>
    </row>
    <row r="957">
      <c r="O957" s="44" t="n"/>
      <c r="Q957" s="44" t="n"/>
      <c r="T957" s="45" t="n"/>
      <c r="U957" s="45" t="n"/>
    </row>
    <row r="958">
      <c r="O958" s="44" t="n"/>
      <c r="Q958" s="44" t="n"/>
      <c r="T958" s="45" t="n"/>
      <c r="U958" s="45" t="n"/>
    </row>
    <row r="959">
      <c r="O959" s="44" t="n"/>
      <c r="Q959" s="44" t="n"/>
      <c r="T959" s="45" t="n"/>
      <c r="U959" s="45" t="n"/>
    </row>
    <row r="960">
      <c r="O960" s="44" t="n"/>
      <c r="Q960" s="44" t="n"/>
      <c r="T960" s="45" t="n"/>
      <c r="U960" s="45" t="n"/>
    </row>
    <row r="961">
      <c r="O961" s="44" t="n"/>
      <c r="Q961" s="44" t="n"/>
      <c r="T961" s="45" t="n"/>
      <c r="U961" s="45" t="n"/>
    </row>
    <row r="962">
      <c r="O962" s="44" t="n"/>
      <c r="Q962" s="44" t="n"/>
      <c r="T962" s="45" t="n"/>
      <c r="U962" s="45" t="n"/>
    </row>
    <row r="963">
      <c r="O963" s="44" t="n"/>
      <c r="Q963" s="44" t="n"/>
      <c r="T963" s="45" t="n"/>
      <c r="U963" s="45" t="n"/>
    </row>
    <row r="964">
      <c r="O964" s="44" t="n"/>
      <c r="Q964" s="44" t="n"/>
      <c r="T964" s="45" t="n"/>
      <c r="U964" s="45" t="n"/>
    </row>
    <row r="965">
      <c r="O965" s="44" t="n"/>
      <c r="Q965" s="44" t="n"/>
      <c r="T965" s="45" t="n"/>
      <c r="U965" s="45" t="n"/>
    </row>
    <row r="966">
      <c r="O966" s="44" t="n"/>
      <c r="Q966" s="44" t="n"/>
      <c r="T966" s="45" t="n"/>
      <c r="U966" s="45" t="n"/>
    </row>
    <row r="967">
      <c r="O967" s="44" t="n"/>
      <c r="Q967" s="44" t="n"/>
      <c r="T967" s="45" t="n"/>
      <c r="U967" s="45" t="n"/>
    </row>
    <row r="968">
      <c r="O968" s="44" t="n"/>
      <c r="Q968" s="44" t="n"/>
      <c r="T968" s="45" t="n"/>
      <c r="U968" s="45" t="n"/>
    </row>
    <row r="969">
      <c r="O969" s="44" t="n"/>
      <c r="Q969" s="44" t="n"/>
      <c r="T969" s="45" t="n"/>
      <c r="U969" s="45" t="n"/>
    </row>
    <row r="970">
      <c r="O970" s="44" t="n"/>
      <c r="Q970" s="44" t="n"/>
      <c r="T970" s="45" t="n"/>
      <c r="U970" s="45" t="n"/>
    </row>
    <row r="971">
      <c r="O971" s="44" t="n"/>
      <c r="Q971" s="44" t="n"/>
      <c r="T971" s="45" t="n"/>
      <c r="U971" s="45" t="n"/>
    </row>
    <row r="972">
      <c r="O972" s="44" t="n"/>
      <c r="Q972" s="44" t="n"/>
      <c r="T972" s="45" t="n"/>
      <c r="U972" s="45" t="n"/>
    </row>
    <row r="973">
      <c r="O973" s="44" t="n"/>
      <c r="Q973" s="44" t="n"/>
      <c r="T973" s="45" t="n"/>
      <c r="U973" s="45" t="n"/>
    </row>
    <row r="974">
      <c r="O974" s="44" t="n"/>
      <c r="Q974" s="44" t="n"/>
      <c r="T974" s="45" t="n"/>
      <c r="U974" s="45" t="n"/>
    </row>
    <row r="975">
      <c r="O975" s="44" t="n"/>
      <c r="Q975" s="44" t="n"/>
      <c r="T975" s="45" t="n"/>
      <c r="U975" s="45" t="n"/>
    </row>
    <row r="976">
      <c r="O976" s="44" t="n"/>
      <c r="Q976" s="44" t="n"/>
      <c r="T976" s="45" t="n"/>
      <c r="U976" s="45" t="n"/>
    </row>
    <row r="977">
      <c r="O977" s="44" t="n"/>
      <c r="Q977" s="44" t="n"/>
      <c r="T977" s="45" t="n"/>
      <c r="U977" s="45" t="n"/>
    </row>
    <row r="978">
      <c r="O978" s="44" t="n"/>
      <c r="Q978" s="44" t="n"/>
      <c r="T978" s="45" t="n"/>
      <c r="U978" s="45" t="n"/>
    </row>
    <row r="979">
      <c r="O979" s="44" t="n"/>
      <c r="Q979" s="44" t="n"/>
      <c r="T979" s="45" t="n"/>
      <c r="U979" s="45" t="n"/>
    </row>
    <row r="980">
      <c r="O980" s="44" t="n"/>
      <c r="Q980" s="44" t="n"/>
      <c r="T980" s="45" t="n"/>
      <c r="U980" s="45" t="n"/>
    </row>
    <row r="981">
      <c r="O981" s="44" t="n"/>
      <c r="Q981" s="44" t="n"/>
      <c r="T981" s="45" t="n"/>
      <c r="U981" s="45" t="n"/>
    </row>
    <row r="982">
      <c r="O982" s="44" t="n"/>
      <c r="Q982" s="44" t="n"/>
      <c r="T982" s="45" t="n"/>
      <c r="U982" s="45" t="n"/>
    </row>
    <row r="983">
      <c r="O983" s="44" t="n"/>
      <c r="Q983" s="44" t="n"/>
      <c r="T983" s="45" t="n"/>
      <c r="U983" s="45" t="n"/>
    </row>
    <row r="984">
      <c r="O984" s="44" t="n"/>
      <c r="Q984" s="44" t="n"/>
      <c r="T984" s="45" t="n"/>
      <c r="U984" s="45" t="n"/>
    </row>
    <row r="985">
      <c r="O985" s="44" t="n"/>
      <c r="Q985" s="44" t="n"/>
      <c r="T985" s="45" t="n"/>
      <c r="U985" s="45" t="n"/>
    </row>
    <row r="986">
      <c r="O986" s="44" t="n"/>
      <c r="Q986" s="44" t="n"/>
      <c r="T986" s="45" t="n"/>
      <c r="U986" s="45" t="n"/>
    </row>
    <row r="987">
      <c r="O987" s="44" t="n"/>
      <c r="Q987" s="44" t="n"/>
      <c r="T987" s="45" t="n"/>
      <c r="U987" s="45" t="n"/>
    </row>
    <row r="988">
      <c r="O988" s="44" t="n"/>
      <c r="Q988" s="44" t="n"/>
      <c r="T988" s="45" t="n"/>
      <c r="U988" s="45" t="n"/>
    </row>
    <row r="989">
      <c r="O989" s="44" t="n"/>
      <c r="Q989" s="44" t="n"/>
      <c r="T989" s="45" t="n"/>
      <c r="U989" s="45" t="n"/>
    </row>
    <row r="990">
      <c r="O990" s="44" t="n"/>
      <c r="Q990" s="44" t="n"/>
      <c r="T990" s="45" t="n"/>
      <c r="U990" s="45" t="n"/>
    </row>
    <row r="991">
      <c r="O991" s="44" t="n"/>
      <c r="Q991" s="44" t="n"/>
      <c r="T991" s="45" t="n"/>
      <c r="U991" s="45" t="n"/>
    </row>
    <row r="992">
      <c r="O992" s="44" t="n"/>
      <c r="Q992" s="44" t="n"/>
      <c r="T992" s="45" t="n"/>
      <c r="U992" s="45" t="n"/>
    </row>
    <row r="993">
      <c r="O993" s="44" t="n"/>
      <c r="Q993" s="44" t="n"/>
      <c r="T993" s="45" t="n"/>
      <c r="U993" s="45" t="n"/>
    </row>
    <row r="994">
      <c r="O994" s="44" t="n"/>
      <c r="Q994" s="44" t="n"/>
      <c r="T994" s="45" t="n"/>
      <c r="U994" s="45" t="n"/>
    </row>
    <row r="995">
      <c r="O995" s="44" t="n"/>
      <c r="Q995" s="44" t="n"/>
      <c r="T995" s="45" t="n"/>
      <c r="U995" s="45" t="n"/>
    </row>
    <row r="996">
      <c r="O996" s="44" t="n"/>
      <c r="Q996" s="44" t="n"/>
      <c r="T996" s="45" t="n"/>
      <c r="U996" s="45" t="n"/>
    </row>
    <row r="997">
      <c r="O997" s="44" t="n"/>
      <c r="Q997" s="44" t="n"/>
      <c r="T997" s="45" t="n"/>
      <c r="U997" s="45" t="n"/>
    </row>
    <row r="998">
      <c r="O998" s="44" t="n"/>
      <c r="Q998" s="44" t="n"/>
      <c r="T998" s="45" t="n"/>
      <c r="U998" s="45" t="n"/>
    </row>
    <row r="999">
      <c r="O999" s="44" t="n"/>
      <c r="Q999" s="44" t="n"/>
      <c r="T999" s="45" t="n"/>
      <c r="U999" s="45" t="n"/>
    </row>
    <row r="1000">
      <c r="O1000" s="44" t="n"/>
      <c r="Q1000" s="44" t="n"/>
      <c r="T1000" s="45" t="n"/>
      <c r="U1000" s="45" t="n"/>
    </row>
    <row r="1001">
      <c r="O1001" s="44" t="n"/>
      <c r="Q1001" s="44" t="n"/>
      <c r="T1001" s="45" t="n"/>
      <c r="U1001" s="45" t="n"/>
    </row>
    <row r="1002">
      <c r="O1002" s="44" t="n"/>
      <c r="Q1002" s="44" t="n"/>
      <c r="T1002" s="45" t="n"/>
      <c r="U1002" s="45" t="n"/>
    </row>
    <row r="1003">
      <c r="O1003" s="44" t="n"/>
      <c r="Q1003" s="44" t="n"/>
      <c r="T1003" s="45" t="n"/>
      <c r="U1003" s="45" t="n"/>
    </row>
    <row r="1004">
      <c r="O1004" s="44" t="n"/>
      <c r="Q1004" s="44" t="n"/>
      <c r="T1004" s="45" t="n"/>
      <c r="U1004" s="45" t="n"/>
    </row>
    <row r="1005">
      <c r="O1005" s="44" t="n"/>
      <c r="Q1005" s="44" t="n"/>
      <c r="T1005" s="45" t="n"/>
      <c r="U1005" s="45" t="n"/>
    </row>
    <row r="1006">
      <c r="O1006" s="44" t="n"/>
      <c r="Q1006" s="44" t="n"/>
      <c r="T1006" s="45" t="n"/>
      <c r="U1006" s="45" t="n"/>
    </row>
    <row r="1007">
      <c r="O1007" s="44" t="n"/>
      <c r="Q1007" s="44" t="n"/>
      <c r="T1007" s="45" t="n"/>
      <c r="U1007" s="45" t="n"/>
    </row>
    <row r="1008">
      <c r="O1008" s="44" t="n"/>
      <c r="Q1008" s="44" t="n"/>
      <c r="T1008" s="45" t="n"/>
      <c r="U1008" s="45" t="n"/>
    </row>
    <row r="1009">
      <c r="O1009" s="44" t="n"/>
      <c r="Q1009" s="44" t="n"/>
      <c r="T1009" s="45" t="n"/>
      <c r="U1009" s="45" t="n"/>
    </row>
    <row r="1010">
      <c r="O1010" s="44" t="n"/>
      <c r="Q1010" s="44" t="n"/>
      <c r="T1010" s="45" t="n"/>
      <c r="U1010" s="45" t="n"/>
    </row>
    <row r="1011">
      <c r="O1011" s="44" t="n"/>
      <c r="Q1011" s="44" t="n"/>
      <c r="T1011" s="45" t="n"/>
      <c r="U1011" s="45" t="n"/>
    </row>
    <row r="1012">
      <c r="O1012" s="44" t="n"/>
      <c r="Q1012" s="44" t="n"/>
      <c r="T1012" s="45" t="n"/>
      <c r="U1012" s="45" t="n"/>
    </row>
    <row r="1013">
      <c r="O1013" s="44" t="n"/>
      <c r="Q1013" s="44" t="n"/>
      <c r="T1013" s="45" t="n"/>
      <c r="U1013" s="45" t="n"/>
    </row>
    <row r="1014">
      <c r="O1014" s="44" t="n"/>
      <c r="Q1014" s="44" t="n"/>
      <c r="T1014" s="45" t="n"/>
      <c r="U1014" s="45" t="n"/>
    </row>
    <row r="1015">
      <c r="O1015" s="44" t="n"/>
      <c r="Q1015" s="44" t="n"/>
      <c r="T1015" s="45" t="n"/>
      <c r="U1015" s="45" t="n"/>
    </row>
    <row r="1016">
      <c r="O1016" s="44" t="n"/>
      <c r="Q1016" s="44" t="n"/>
      <c r="T1016" s="45" t="n"/>
      <c r="U1016" s="45" t="n"/>
    </row>
    <row r="1017">
      <c r="O1017" s="44" t="n"/>
      <c r="Q1017" s="44" t="n"/>
      <c r="T1017" s="45" t="n"/>
      <c r="U1017" s="45" t="n"/>
    </row>
    <row r="1018">
      <c r="O1018" s="44" t="n"/>
      <c r="Q1018" s="44" t="n"/>
      <c r="T1018" s="45" t="n"/>
      <c r="U1018" s="45" t="n"/>
    </row>
    <row r="1019">
      <c r="O1019" s="44" t="n"/>
      <c r="Q1019" s="44" t="n"/>
      <c r="T1019" s="45" t="n"/>
      <c r="U1019" s="45" t="n"/>
    </row>
    <row r="1020">
      <c r="O1020" s="44" t="n"/>
      <c r="Q1020" s="44" t="n"/>
      <c r="T1020" s="45" t="n"/>
      <c r="U1020" s="45" t="n"/>
    </row>
    <row r="1021">
      <c r="O1021" s="44" t="n"/>
      <c r="Q1021" s="44" t="n"/>
      <c r="T1021" s="45" t="n"/>
      <c r="U1021" s="45" t="n"/>
    </row>
    <row r="1022">
      <c r="O1022" s="44" t="n"/>
      <c r="Q1022" s="44" t="n"/>
      <c r="T1022" s="45" t="n"/>
      <c r="U1022" s="45" t="n"/>
    </row>
    <row r="1023">
      <c r="O1023" s="44" t="n"/>
      <c r="Q1023" s="44" t="n"/>
      <c r="T1023" s="45" t="n"/>
      <c r="U1023" s="45" t="n"/>
    </row>
    <row r="1024">
      <c r="O1024" s="44" t="n"/>
      <c r="Q1024" s="44" t="n"/>
      <c r="T1024" s="45" t="n"/>
      <c r="U1024" s="45" t="n"/>
    </row>
    <row r="1025">
      <c r="O1025" s="44" t="n"/>
      <c r="Q1025" s="44" t="n"/>
      <c r="T1025" s="45" t="n"/>
      <c r="U1025" s="45" t="n"/>
    </row>
    <row r="1026">
      <c r="O1026" s="44" t="n"/>
      <c r="Q1026" s="44" t="n"/>
      <c r="T1026" s="45" t="n"/>
      <c r="U1026" s="45" t="n"/>
    </row>
    <row r="1027">
      <c r="O1027" s="44" t="n"/>
      <c r="Q1027" s="44" t="n"/>
      <c r="T1027" s="45" t="n"/>
      <c r="U1027" s="45" t="n"/>
    </row>
    <row r="1028">
      <c r="O1028" s="44" t="n"/>
      <c r="Q1028" s="44" t="n"/>
      <c r="T1028" s="45" t="n"/>
      <c r="U1028" s="45" t="n"/>
    </row>
    <row r="1029">
      <c r="O1029" s="44" t="n"/>
      <c r="Q1029" s="44" t="n"/>
      <c r="T1029" s="45" t="n"/>
      <c r="U1029" s="45" t="n"/>
    </row>
    <row r="1030">
      <c r="O1030" s="44" t="n"/>
      <c r="Q1030" s="44" t="n"/>
      <c r="T1030" s="45" t="n"/>
      <c r="U1030" s="45" t="n"/>
    </row>
    <row r="1031">
      <c r="O1031" s="44" t="n"/>
      <c r="Q1031" s="44" t="n"/>
      <c r="T1031" s="45" t="n"/>
      <c r="U1031" s="45" t="n"/>
    </row>
    <row r="1032">
      <c r="O1032" s="44" t="n"/>
      <c r="Q1032" s="44" t="n"/>
      <c r="T1032" s="45" t="n"/>
      <c r="U1032" s="45" t="n"/>
    </row>
    <row r="1033">
      <c r="O1033" s="44" t="n"/>
      <c r="Q1033" s="44" t="n"/>
      <c r="T1033" s="45" t="n"/>
      <c r="U1033" s="45" t="n"/>
    </row>
    <row r="1034">
      <c r="O1034" s="44" t="n"/>
      <c r="Q1034" s="44" t="n"/>
      <c r="T1034" s="45" t="n"/>
      <c r="U1034" s="45" t="n"/>
    </row>
    <row r="1035">
      <c r="O1035" s="44" t="n"/>
      <c r="Q1035" s="44" t="n"/>
      <c r="T1035" s="45" t="n"/>
      <c r="U1035" s="45" t="n"/>
    </row>
    <row r="1036">
      <c r="O1036" s="44" t="n"/>
      <c r="Q1036" s="44" t="n"/>
      <c r="T1036" s="45" t="n"/>
      <c r="U1036" s="45" t="n"/>
    </row>
    <row r="1037">
      <c r="O1037" s="44" t="n"/>
      <c r="Q1037" s="44" t="n"/>
      <c r="T1037" s="45" t="n"/>
      <c r="U1037" s="45" t="n"/>
    </row>
    <row r="1038">
      <c r="O1038" s="44" t="n"/>
      <c r="Q1038" s="44" t="n"/>
      <c r="T1038" s="45" t="n"/>
      <c r="U1038" s="45" t="n"/>
    </row>
    <row r="1039">
      <c r="O1039" s="44" t="n"/>
      <c r="Q1039" s="44" t="n"/>
      <c r="T1039" s="45" t="n"/>
      <c r="U1039" s="45" t="n"/>
    </row>
    <row r="1040">
      <c r="O1040" s="44" t="n"/>
      <c r="Q1040" s="44" t="n"/>
      <c r="T1040" s="45" t="n"/>
      <c r="U1040" s="45" t="n"/>
    </row>
    <row r="1041">
      <c r="O1041" s="44" t="n"/>
      <c r="Q1041" s="44" t="n"/>
      <c r="T1041" s="45" t="n"/>
      <c r="U1041" s="45" t="n"/>
    </row>
    <row r="1042">
      <c r="O1042" s="44" t="n"/>
      <c r="Q1042" s="44" t="n"/>
      <c r="T1042" s="45" t="n"/>
      <c r="U1042" s="45" t="n"/>
    </row>
    <row r="1043">
      <c r="O1043" s="44" t="n"/>
      <c r="Q1043" s="44" t="n"/>
      <c r="T1043" s="45" t="n"/>
      <c r="U1043" s="45" t="n"/>
    </row>
    <row r="1044">
      <c r="O1044" s="44" t="n"/>
      <c r="Q1044" s="44" t="n"/>
      <c r="T1044" s="45" t="n"/>
      <c r="U1044" s="45" t="n"/>
    </row>
    <row r="1045">
      <c r="O1045" s="44" t="n"/>
      <c r="Q1045" s="44" t="n"/>
      <c r="T1045" s="45" t="n"/>
      <c r="U1045" s="45" t="n"/>
    </row>
    <row r="1046">
      <c r="O1046" s="44" t="n"/>
      <c r="Q1046" s="44" t="n"/>
      <c r="T1046" s="45" t="n"/>
      <c r="U1046" s="45" t="n"/>
    </row>
    <row r="1047">
      <c r="O1047" s="44" t="n"/>
      <c r="Q1047" s="44" t="n"/>
      <c r="T1047" s="45" t="n"/>
      <c r="U1047" s="45" t="n"/>
    </row>
    <row r="1048">
      <c r="O1048" s="44" t="n"/>
      <c r="Q1048" s="44" t="n"/>
      <c r="T1048" s="45" t="n"/>
      <c r="U1048" s="45" t="n"/>
    </row>
    <row r="1049">
      <c r="O1049" s="44" t="n"/>
      <c r="Q1049" s="44" t="n"/>
      <c r="T1049" s="45" t="n"/>
      <c r="U1049" s="45" t="n"/>
    </row>
    <row r="1050">
      <c r="O1050" s="44" t="n"/>
      <c r="Q1050" s="44" t="n"/>
      <c r="T1050" s="45" t="n"/>
      <c r="U1050" s="45" t="n"/>
    </row>
    <row r="1051">
      <c r="O1051" s="44" t="n"/>
      <c r="Q1051" s="44" t="n"/>
      <c r="T1051" s="45" t="n"/>
      <c r="U1051" s="45" t="n"/>
    </row>
    <row r="1052">
      <c r="O1052" s="44" t="n"/>
      <c r="Q1052" s="44" t="n"/>
      <c r="T1052" s="45" t="n"/>
      <c r="U1052" s="45" t="n"/>
    </row>
    <row r="1053">
      <c r="O1053" s="44" t="n"/>
      <c r="Q1053" s="44" t="n"/>
      <c r="T1053" s="45" t="n"/>
      <c r="U1053" s="45" t="n"/>
    </row>
    <row r="1054">
      <c r="O1054" s="44" t="n"/>
      <c r="Q1054" s="44" t="n"/>
      <c r="T1054" s="45" t="n"/>
      <c r="U1054" s="45" t="n"/>
    </row>
    <row r="1055">
      <c r="O1055" s="44" t="n"/>
      <c r="Q1055" s="44" t="n"/>
      <c r="T1055" s="45" t="n"/>
      <c r="U1055" s="45" t="n"/>
    </row>
    <row r="1056">
      <c r="O1056" s="44" t="n"/>
      <c r="Q1056" s="44" t="n"/>
      <c r="T1056" s="45" t="n"/>
      <c r="U1056" s="45" t="n"/>
    </row>
    <row r="1057">
      <c r="O1057" s="44" t="n"/>
      <c r="Q1057" s="44" t="n"/>
      <c r="T1057" s="45" t="n"/>
      <c r="U1057" s="45" t="n"/>
    </row>
    <row r="1058">
      <c r="O1058" s="44" t="n"/>
      <c r="Q1058" s="44" t="n"/>
      <c r="T1058" s="45" t="n"/>
      <c r="U1058" s="45" t="n"/>
    </row>
    <row r="1059">
      <c r="O1059" s="44" t="n"/>
      <c r="Q1059" s="44" t="n"/>
      <c r="T1059" s="45" t="n"/>
      <c r="U1059" s="45" t="n"/>
    </row>
    <row r="1060">
      <c r="O1060" s="44" t="n"/>
      <c r="Q1060" s="44" t="n"/>
      <c r="T1060" s="45" t="n"/>
      <c r="U1060" s="45" t="n"/>
    </row>
    <row r="1061">
      <c r="O1061" s="44" t="n"/>
      <c r="Q1061" s="44" t="n"/>
      <c r="T1061" s="45" t="n"/>
      <c r="U1061" s="45" t="n"/>
    </row>
    <row r="1062">
      <c r="O1062" s="44" t="n"/>
      <c r="Q1062" s="44" t="n"/>
      <c r="T1062" s="45" t="n"/>
      <c r="U1062" s="45" t="n"/>
    </row>
    <row r="1063">
      <c r="O1063" s="44" t="n"/>
      <c r="Q1063" s="44" t="n"/>
      <c r="T1063" s="45" t="n"/>
      <c r="U1063" s="45" t="n"/>
    </row>
    <row r="1064">
      <c r="O1064" s="44" t="n"/>
      <c r="Q1064" s="44" t="n"/>
      <c r="T1064" s="45" t="n"/>
      <c r="U1064" s="45" t="n"/>
    </row>
    <row r="1065">
      <c r="O1065" s="44" t="n"/>
      <c r="Q1065" s="44" t="n"/>
      <c r="T1065" s="45" t="n"/>
      <c r="U1065" s="45" t="n"/>
    </row>
    <row r="1066">
      <c r="O1066" s="44" t="n"/>
      <c r="Q1066" s="44" t="n"/>
      <c r="T1066" s="45" t="n"/>
      <c r="U1066" s="45" t="n"/>
    </row>
    <row r="1067">
      <c r="O1067" s="44" t="n"/>
      <c r="Q1067" s="44" t="n"/>
      <c r="T1067" s="45" t="n"/>
      <c r="U1067" s="45" t="n"/>
    </row>
    <row r="1068">
      <c r="O1068" s="44" t="n"/>
      <c r="Q1068" s="44" t="n"/>
      <c r="T1068" s="45" t="n"/>
      <c r="U1068" s="45" t="n"/>
    </row>
    <row r="1069">
      <c r="O1069" s="44" t="n"/>
      <c r="Q1069" s="44" t="n"/>
      <c r="T1069" s="45" t="n"/>
      <c r="U1069" s="45" t="n"/>
    </row>
    <row r="1070">
      <c r="O1070" s="44" t="n"/>
      <c r="Q1070" s="44" t="n"/>
      <c r="T1070" s="45" t="n"/>
      <c r="U1070" s="45" t="n"/>
    </row>
    <row r="1071">
      <c r="O1071" s="44" t="n"/>
      <c r="Q1071" s="44" t="n"/>
      <c r="T1071" s="45" t="n"/>
      <c r="U1071" s="45" t="n"/>
    </row>
    <row r="1072">
      <c r="O1072" s="44" t="n"/>
      <c r="Q1072" s="44" t="n"/>
      <c r="T1072" s="45" t="n"/>
      <c r="U1072" s="45" t="n"/>
    </row>
    <row r="1073">
      <c r="O1073" s="44" t="n"/>
      <c r="Q1073" s="44" t="n"/>
      <c r="T1073" s="45" t="n"/>
      <c r="U1073" s="45" t="n"/>
    </row>
    <row r="1074">
      <c r="O1074" s="44" t="n"/>
      <c r="Q1074" s="44" t="n"/>
      <c r="T1074" s="45" t="n"/>
      <c r="U1074" s="45" t="n"/>
    </row>
    <row r="1075">
      <c r="O1075" s="44" t="n"/>
      <c r="Q1075" s="44" t="n"/>
      <c r="T1075" s="45" t="n"/>
      <c r="U1075" s="45" t="n"/>
    </row>
    <row r="1076">
      <c r="O1076" s="44" t="n"/>
      <c r="Q1076" s="44" t="n"/>
      <c r="T1076" s="45" t="n"/>
      <c r="U1076" s="45" t="n"/>
    </row>
    <row r="1077">
      <c r="O1077" s="44" t="n"/>
      <c r="Q1077" s="44" t="n"/>
      <c r="T1077" s="45" t="n"/>
      <c r="U1077" s="45" t="n"/>
    </row>
    <row r="1078">
      <c r="O1078" s="44" t="n"/>
      <c r="Q1078" s="44" t="n"/>
      <c r="T1078" s="45" t="n"/>
      <c r="U1078" s="45" t="n"/>
    </row>
    <row r="1079">
      <c r="O1079" s="44" t="n"/>
      <c r="Q1079" s="44" t="n"/>
      <c r="T1079" s="45" t="n"/>
      <c r="U1079" s="45" t="n"/>
    </row>
    <row r="1080">
      <c r="O1080" s="44" t="n"/>
      <c r="Q1080" s="44" t="n"/>
      <c r="T1080" s="45" t="n"/>
      <c r="U1080" s="45" t="n"/>
    </row>
    <row r="1081">
      <c r="O1081" s="44" t="n"/>
      <c r="Q1081" s="44" t="n"/>
      <c r="T1081" s="45" t="n"/>
      <c r="U1081" s="45" t="n"/>
    </row>
    <row r="1082">
      <c r="O1082" s="44" t="n"/>
      <c r="Q1082" s="44" t="n"/>
      <c r="T1082" s="45" t="n"/>
      <c r="U1082" s="45" t="n"/>
    </row>
    <row r="1083">
      <c r="O1083" s="44" t="n"/>
      <c r="Q1083" s="44" t="n"/>
      <c r="T1083" s="45" t="n"/>
      <c r="U1083" s="45" t="n"/>
    </row>
    <row r="1084">
      <c r="O1084" s="44" t="n"/>
      <c r="Q1084" s="44" t="n"/>
      <c r="T1084" s="45" t="n"/>
      <c r="U1084" s="45" t="n"/>
    </row>
    <row r="1085">
      <c r="O1085" s="44" t="n"/>
      <c r="Q1085" s="44" t="n"/>
      <c r="T1085" s="45" t="n"/>
      <c r="U1085" s="45" t="n"/>
    </row>
    <row r="1086">
      <c r="O1086" s="44" t="n"/>
      <c r="Q1086" s="44" t="n"/>
      <c r="T1086" s="45" t="n"/>
      <c r="U1086" s="45" t="n"/>
    </row>
    <row r="1087">
      <c r="O1087" s="44" t="n"/>
      <c r="Q1087" s="44" t="n"/>
      <c r="T1087" s="45" t="n"/>
      <c r="U1087" s="45" t="n"/>
    </row>
    <row r="1088">
      <c r="O1088" s="44" t="n"/>
      <c r="Q1088" s="44" t="n"/>
      <c r="T1088" s="45" t="n"/>
      <c r="U1088" s="45" t="n"/>
    </row>
    <row r="1089">
      <c r="O1089" s="44" t="n"/>
      <c r="Q1089" s="44" t="n"/>
      <c r="T1089" s="45" t="n"/>
      <c r="U1089" s="45" t="n"/>
    </row>
    <row r="1090">
      <c r="O1090" s="44" t="n"/>
      <c r="Q1090" s="44" t="n"/>
      <c r="T1090" s="45" t="n"/>
      <c r="U1090" s="45" t="n"/>
    </row>
    <row r="1091">
      <c r="O1091" s="44" t="n"/>
      <c r="Q1091" s="44" t="n"/>
      <c r="T1091" s="45" t="n"/>
      <c r="U1091" s="45" t="n"/>
    </row>
    <row r="1092">
      <c r="O1092" s="44" t="n"/>
      <c r="Q1092" s="44" t="n"/>
      <c r="T1092" s="45" t="n"/>
      <c r="U1092" s="45" t="n"/>
    </row>
    <row r="1093">
      <c r="O1093" s="44" t="n"/>
      <c r="Q1093" s="44" t="n"/>
      <c r="T1093" s="45" t="n"/>
      <c r="U1093" s="45" t="n"/>
    </row>
    <row r="1094">
      <c r="O1094" s="44" t="n"/>
      <c r="Q1094" s="44" t="n"/>
      <c r="T1094" s="45" t="n"/>
      <c r="U1094" s="45" t="n"/>
    </row>
    <row r="1095">
      <c r="O1095" s="44" t="n"/>
      <c r="Q1095" s="44" t="n"/>
      <c r="T1095" s="45" t="n"/>
      <c r="U1095" s="45" t="n"/>
    </row>
    <row r="1096">
      <c r="O1096" s="44" t="n"/>
      <c r="Q1096" s="44" t="n"/>
      <c r="T1096" s="45" t="n"/>
      <c r="U1096" s="45" t="n"/>
    </row>
    <row r="1097">
      <c r="O1097" s="44" t="n"/>
      <c r="Q1097" s="44" t="n"/>
      <c r="T1097" s="45" t="n"/>
      <c r="U1097" s="45" t="n"/>
    </row>
    <row r="1098">
      <c r="O1098" s="44" t="n"/>
      <c r="Q1098" s="44" t="n"/>
      <c r="T1098" s="45" t="n"/>
      <c r="U1098" s="45" t="n"/>
    </row>
    <row r="1099">
      <c r="O1099" s="44" t="n"/>
      <c r="Q1099" s="44" t="n"/>
      <c r="T1099" s="45" t="n"/>
      <c r="U1099" s="45" t="n"/>
    </row>
    <row r="1100">
      <c r="O1100" s="44" t="n"/>
      <c r="Q1100" s="44" t="n"/>
      <c r="T1100" s="45" t="n"/>
      <c r="U1100" s="45" t="n"/>
    </row>
    <row r="1101">
      <c r="O1101" s="44" t="n"/>
      <c r="Q1101" s="44" t="n"/>
      <c r="T1101" s="45" t="n"/>
      <c r="U1101" s="45" t="n"/>
    </row>
    <row r="1102">
      <c r="O1102" s="44" t="n"/>
      <c r="Q1102" s="44" t="n"/>
      <c r="T1102" s="45" t="n"/>
      <c r="U1102" s="45" t="n"/>
    </row>
    <row r="1103">
      <c r="O1103" s="44" t="n"/>
      <c r="Q1103" s="44" t="n"/>
      <c r="T1103" s="45" t="n"/>
      <c r="U1103" s="45" t="n"/>
    </row>
    <row r="1104">
      <c r="O1104" s="44" t="n"/>
      <c r="Q1104" s="44" t="n"/>
      <c r="T1104" s="45" t="n"/>
      <c r="U1104" s="45" t="n"/>
    </row>
    <row r="1105">
      <c r="O1105" s="44" t="n"/>
      <c r="Q1105" s="44" t="n"/>
      <c r="T1105" s="45" t="n"/>
      <c r="U1105" s="45" t="n"/>
    </row>
    <row r="1106">
      <c r="O1106" s="44" t="n"/>
      <c r="Q1106" s="44" t="n"/>
      <c r="T1106" s="45" t="n"/>
      <c r="U1106" s="45" t="n"/>
    </row>
    <row r="1107">
      <c r="O1107" s="44" t="n"/>
      <c r="Q1107" s="44" t="n"/>
      <c r="T1107" s="45" t="n"/>
      <c r="U1107" s="45" t="n"/>
    </row>
    <row r="1108">
      <c r="O1108" s="44" t="n"/>
      <c r="Q1108" s="44" t="n"/>
      <c r="T1108" s="45" t="n"/>
      <c r="U1108" s="45" t="n"/>
    </row>
    <row r="1109">
      <c r="O1109" s="44" t="n"/>
      <c r="Q1109" s="44" t="n"/>
      <c r="T1109" s="45" t="n"/>
      <c r="U1109" s="45" t="n"/>
    </row>
    <row r="1110">
      <c r="O1110" s="44" t="n"/>
      <c r="Q1110" s="44" t="n"/>
      <c r="T1110" s="45" t="n"/>
      <c r="U1110" s="45" t="n"/>
    </row>
    <row r="1111">
      <c r="O1111" s="44" t="n"/>
      <c r="Q1111" s="44" t="n"/>
      <c r="T1111" s="45" t="n"/>
      <c r="U1111" s="45" t="n"/>
    </row>
    <row r="1112">
      <c r="O1112" s="44" t="n"/>
      <c r="Q1112" s="44" t="n"/>
      <c r="T1112" s="45" t="n"/>
      <c r="U1112" s="45" t="n"/>
    </row>
    <row r="1113">
      <c r="O1113" s="44" t="n"/>
      <c r="Q1113" s="44" t="n"/>
      <c r="T1113" s="45" t="n"/>
      <c r="U1113" s="45" t="n"/>
    </row>
    <row r="1114">
      <c r="O1114" s="44" t="n"/>
      <c r="Q1114" s="44" t="n"/>
      <c r="T1114" s="45" t="n"/>
      <c r="U1114" s="45" t="n"/>
    </row>
    <row r="1115">
      <c r="O1115" s="44" t="n"/>
      <c r="Q1115" s="44" t="n"/>
      <c r="T1115" s="45" t="n"/>
      <c r="U1115" s="45" t="n"/>
    </row>
    <row r="1116">
      <c r="O1116" s="44" t="n"/>
      <c r="Q1116" s="44" t="n"/>
      <c r="T1116" s="45" t="n"/>
      <c r="U1116" s="45" t="n"/>
    </row>
    <row r="1117">
      <c r="O1117" s="44" t="n"/>
      <c r="Q1117" s="44" t="n"/>
      <c r="T1117" s="45" t="n"/>
      <c r="U1117" s="45" t="n"/>
    </row>
    <row r="1118">
      <c r="O1118" s="44" t="n"/>
      <c r="Q1118" s="44" t="n"/>
      <c r="T1118" s="45" t="n"/>
      <c r="U1118" s="45" t="n"/>
    </row>
    <row r="1119">
      <c r="O1119" s="44" t="n"/>
      <c r="Q1119" s="44" t="n"/>
      <c r="T1119" s="45" t="n"/>
      <c r="U1119" s="45" t="n"/>
    </row>
    <row r="1120">
      <c r="O1120" s="44" t="n"/>
      <c r="Q1120" s="44" t="n"/>
      <c r="T1120" s="45" t="n"/>
      <c r="U1120" s="45" t="n"/>
    </row>
    <row r="1121">
      <c r="O1121" s="44" t="n"/>
      <c r="Q1121" s="44" t="n"/>
      <c r="T1121" s="45" t="n"/>
      <c r="U1121" s="45" t="n"/>
    </row>
    <row r="1122">
      <c r="O1122" s="44" t="n"/>
      <c r="Q1122" s="44" t="n"/>
      <c r="T1122" s="45" t="n"/>
      <c r="U1122" s="45" t="n"/>
    </row>
    <row r="1123">
      <c r="O1123" s="44" t="n"/>
      <c r="Q1123" s="44" t="n"/>
      <c r="T1123" s="45" t="n"/>
      <c r="U1123" s="45" t="n"/>
    </row>
    <row r="1124">
      <c r="O1124" s="44" t="n"/>
      <c r="Q1124" s="44" t="n"/>
      <c r="T1124" s="45" t="n"/>
      <c r="U1124" s="45" t="n"/>
    </row>
    <row r="1125">
      <c r="O1125" s="44" t="n"/>
      <c r="Q1125" s="44" t="n"/>
      <c r="T1125" s="45" t="n"/>
      <c r="U1125" s="45" t="n"/>
    </row>
    <row r="1126">
      <c r="O1126" s="44" t="n"/>
      <c r="Q1126" s="44" t="n"/>
      <c r="T1126" s="45" t="n"/>
      <c r="U1126" s="45" t="n"/>
    </row>
    <row r="1127">
      <c r="O1127" s="44" t="n"/>
      <c r="Q1127" s="44" t="n"/>
      <c r="T1127" s="45" t="n"/>
      <c r="U1127" s="45" t="n"/>
    </row>
    <row r="1128">
      <c r="O1128" s="44" t="n"/>
      <c r="Q1128" s="44" t="n"/>
      <c r="T1128" s="45" t="n"/>
      <c r="U1128" s="45" t="n"/>
    </row>
    <row r="1129">
      <c r="O1129" s="44" t="n"/>
      <c r="Q1129" s="44" t="n"/>
      <c r="T1129" s="45" t="n"/>
      <c r="U1129" s="45" t="n"/>
    </row>
    <row r="1130">
      <c r="O1130" s="44" t="n"/>
      <c r="Q1130" s="44" t="n"/>
      <c r="T1130" s="45" t="n"/>
      <c r="U1130" s="45" t="n"/>
    </row>
    <row r="1131">
      <c r="O1131" s="44" t="n"/>
      <c r="Q1131" s="44" t="n"/>
      <c r="T1131" s="45" t="n"/>
      <c r="U1131" s="45" t="n"/>
    </row>
    <row r="1132">
      <c r="O1132" s="44" t="n"/>
      <c r="Q1132" s="44" t="n"/>
      <c r="T1132" s="45" t="n"/>
      <c r="U1132" s="45" t="n"/>
    </row>
    <row r="1133">
      <c r="O1133" s="44" t="n"/>
      <c r="Q1133" s="44" t="n"/>
      <c r="T1133" s="45" t="n"/>
      <c r="U1133" s="45" t="n"/>
    </row>
    <row r="1134">
      <c r="O1134" s="44" t="n"/>
      <c r="Q1134" s="44" t="n"/>
      <c r="T1134" s="45" t="n"/>
      <c r="U1134" s="45" t="n"/>
    </row>
    <row r="1135">
      <c r="O1135" s="44" t="n"/>
      <c r="Q1135" s="44" t="n"/>
      <c r="T1135" s="45" t="n"/>
      <c r="U1135" s="45" t="n"/>
    </row>
    <row r="1136">
      <c r="O1136" s="44" t="n"/>
      <c r="Q1136" s="44" t="n"/>
      <c r="T1136" s="45" t="n"/>
      <c r="U1136" s="45" t="n"/>
    </row>
    <row r="1137">
      <c r="O1137" s="44" t="n"/>
      <c r="Q1137" s="44" t="n"/>
      <c r="T1137" s="45" t="n"/>
      <c r="U1137" s="45" t="n"/>
    </row>
    <row r="1138">
      <c r="O1138" s="44" t="n"/>
      <c r="Q1138" s="44" t="n"/>
      <c r="T1138" s="45" t="n"/>
      <c r="U1138" s="45" t="n"/>
    </row>
    <row r="1139">
      <c r="O1139" s="44" t="n"/>
      <c r="Q1139" s="44" t="n"/>
      <c r="T1139" s="45" t="n"/>
      <c r="U1139" s="45" t="n"/>
    </row>
    <row r="1140">
      <c r="O1140" s="44" t="n"/>
      <c r="Q1140" s="44" t="n"/>
      <c r="T1140" s="45" t="n"/>
      <c r="U1140" s="45" t="n"/>
    </row>
    <row r="1141">
      <c r="O1141" s="44" t="n"/>
      <c r="Q1141" s="44" t="n"/>
      <c r="T1141" s="45" t="n"/>
      <c r="U1141" s="45" t="n"/>
    </row>
    <row r="1142">
      <c r="O1142" s="44" t="n"/>
      <c r="Q1142" s="44" t="n"/>
      <c r="T1142" s="45" t="n"/>
      <c r="U1142" s="45" t="n"/>
    </row>
    <row r="1143">
      <c r="O1143" s="44" t="n"/>
      <c r="Q1143" s="44" t="n"/>
      <c r="T1143" s="45" t="n"/>
      <c r="U1143" s="45" t="n"/>
    </row>
    <row r="1144">
      <c r="O1144" s="44" t="n"/>
      <c r="Q1144" s="44" t="n"/>
      <c r="T1144" s="45" t="n"/>
      <c r="U1144" s="45" t="n"/>
    </row>
    <row r="1145">
      <c r="O1145" s="44" t="n"/>
      <c r="Q1145" s="44" t="n"/>
      <c r="T1145" s="45" t="n"/>
      <c r="U1145" s="45" t="n"/>
    </row>
    <row r="1146">
      <c r="O1146" s="44" t="n"/>
      <c r="Q1146" s="44" t="n"/>
      <c r="T1146" s="45" t="n"/>
      <c r="U1146" s="45" t="n"/>
    </row>
    <row r="1147">
      <c r="O1147" s="44" t="n"/>
      <c r="Q1147" s="44" t="n"/>
      <c r="T1147" s="45" t="n"/>
      <c r="U1147" s="45" t="n"/>
    </row>
    <row r="1148">
      <c r="O1148" s="44" t="n"/>
      <c r="Q1148" s="44" t="n"/>
      <c r="T1148" s="45" t="n"/>
      <c r="U1148" s="45" t="n"/>
    </row>
    <row r="1149">
      <c r="O1149" s="44" t="n"/>
      <c r="Q1149" s="44" t="n"/>
      <c r="T1149" s="45" t="n"/>
      <c r="U1149" s="45" t="n"/>
    </row>
    <row r="1150">
      <c r="O1150" s="44" t="n"/>
      <c r="Q1150" s="44" t="n"/>
      <c r="T1150" s="45" t="n"/>
      <c r="U1150" s="45" t="n"/>
    </row>
    <row r="1151">
      <c r="O1151" s="44" t="n"/>
      <c r="Q1151" s="44" t="n"/>
      <c r="T1151" s="45" t="n"/>
      <c r="U1151" s="45" t="n"/>
    </row>
    <row r="1152">
      <c r="O1152" s="44" t="n"/>
      <c r="Q1152" s="44" t="n"/>
      <c r="T1152" s="45" t="n"/>
      <c r="U1152" s="45" t="n"/>
    </row>
    <row r="1153">
      <c r="O1153" s="44" t="n"/>
      <c r="Q1153" s="44" t="n"/>
      <c r="T1153" s="45" t="n"/>
      <c r="U1153" s="45" t="n"/>
    </row>
    <row r="1154">
      <c r="O1154" s="44" t="n"/>
      <c r="Q1154" s="44" t="n"/>
      <c r="T1154" s="45" t="n"/>
      <c r="U1154" s="45" t="n"/>
    </row>
    <row r="1155">
      <c r="O1155" s="44" t="n"/>
      <c r="Q1155" s="44" t="n"/>
      <c r="T1155" s="45" t="n"/>
      <c r="U1155" s="45" t="n"/>
    </row>
    <row r="1156">
      <c r="O1156" s="44" t="n"/>
      <c r="Q1156" s="44" t="n"/>
      <c r="T1156" s="45" t="n"/>
      <c r="U1156" s="45" t="n"/>
    </row>
    <row r="1157">
      <c r="O1157" s="44" t="n"/>
      <c r="Q1157" s="44" t="n"/>
      <c r="T1157" s="45" t="n"/>
      <c r="U1157" s="45" t="n"/>
    </row>
    <row r="1158">
      <c r="O1158" s="44" t="n"/>
      <c r="Q1158" s="44" t="n"/>
      <c r="T1158" s="45" t="n"/>
      <c r="U1158" s="45" t="n"/>
    </row>
    <row r="1159">
      <c r="O1159" s="44" t="n"/>
      <c r="Q1159" s="44" t="n"/>
      <c r="T1159" s="45" t="n"/>
      <c r="U1159" s="45" t="n"/>
    </row>
    <row r="1160">
      <c r="O1160" s="44" t="n"/>
      <c r="Q1160" s="44" t="n"/>
      <c r="T1160" s="45" t="n"/>
      <c r="U1160" s="45" t="n"/>
    </row>
    <row r="1161">
      <c r="O1161" s="44" t="n"/>
      <c r="Q1161" s="44" t="n"/>
      <c r="T1161" s="45" t="n"/>
      <c r="U1161" s="45" t="n"/>
    </row>
    <row r="1162">
      <c r="O1162" s="44" t="n"/>
      <c r="Q1162" s="44" t="n"/>
      <c r="T1162" s="45" t="n"/>
      <c r="U1162" s="45" t="n"/>
    </row>
    <row r="1163">
      <c r="O1163" s="44" t="n"/>
      <c r="Q1163" s="44" t="n"/>
      <c r="T1163" s="45" t="n"/>
      <c r="U1163" s="45" t="n"/>
    </row>
    <row r="1164">
      <c r="O1164" s="44" t="n"/>
      <c r="Q1164" s="44" t="n"/>
      <c r="T1164" s="45" t="n"/>
      <c r="U1164" s="45" t="n"/>
    </row>
    <row r="1165">
      <c r="O1165" s="44" t="n"/>
      <c r="Q1165" s="44" t="n"/>
      <c r="T1165" s="45" t="n"/>
      <c r="U1165" s="45" t="n"/>
    </row>
    <row r="1166">
      <c r="O1166" s="44" t="n"/>
      <c r="Q1166" s="44" t="n"/>
      <c r="T1166" s="45" t="n"/>
      <c r="U1166" s="45" t="n"/>
    </row>
    <row r="1167">
      <c r="O1167" s="44" t="n"/>
      <c r="Q1167" s="44" t="n"/>
      <c r="T1167" s="45" t="n"/>
      <c r="U1167" s="45" t="n"/>
    </row>
    <row r="1168">
      <c r="O1168" s="44" t="n"/>
      <c r="Q1168" s="44" t="n"/>
      <c r="T1168" s="45" t="n"/>
      <c r="U1168" s="45" t="n"/>
    </row>
    <row r="1169">
      <c r="O1169" s="44" t="n"/>
      <c r="Q1169" s="44" t="n"/>
      <c r="T1169" s="45" t="n"/>
      <c r="U1169" s="45" t="n"/>
    </row>
    <row r="1170">
      <c r="O1170" s="44" t="n"/>
      <c r="Q1170" s="44" t="n"/>
      <c r="T1170" s="45" t="n"/>
      <c r="U1170" s="45" t="n"/>
    </row>
    <row r="1171">
      <c r="O1171" s="44" t="n"/>
      <c r="Q1171" s="44" t="n"/>
      <c r="T1171" s="45" t="n"/>
      <c r="U1171" s="45" t="n"/>
    </row>
    <row r="1172">
      <c r="O1172" s="44" t="n"/>
      <c r="Q1172" s="44" t="n"/>
      <c r="T1172" s="45" t="n"/>
      <c r="U1172" s="45" t="n"/>
    </row>
    <row r="1173">
      <c r="O1173" s="44" t="n"/>
      <c r="Q1173" s="44" t="n"/>
      <c r="T1173" s="45" t="n"/>
      <c r="U1173" s="45" t="n"/>
    </row>
    <row r="1174">
      <c r="O1174" s="44" t="n"/>
      <c r="Q1174" s="44" t="n"/>
      <c r="T1174" s="45" t="n"/>
      <c r="U1174" s="45" t="n"/>
    </row>
    <row r="1175">
      <c r="O1175" s="44" t="n"/>
      <c r="Q1175" s="44" t="n"/>
      <c r="T1175" s="45" t="n"/>
      <c r="U1175" s="45" t="n"/>
    </row>
    <row r="1176">
      <c r="O1176" s="44" t="n"/>
      <c r="Q1176" s="44" t="n"/>
      <c r="T1176" s="45" t="n"/>
      <c r="U1176" s="45" t="n"/>
    </row>
    <row r="1177">
      <c r="O1177" s="44" t="n"/>
      <c r="Q1177" s="44" t="n"/>
      <c r="T1177" s="45" t="n"/>
      <c r="U1177" s="45" t="n"/>
    </row>
    <row r="1178">
      <c r="O1178" s="44" t="n"/>
      <c r="Q1178" s="44" t="n"/>
      <c r="T1178" s="45" t="n"/>
      <c r="U1178" s="45" t="n"/>
    </row>
    <row r="1179">
      <c r="O1179" s="44" t="n"/>
      <c r="Q1179" s="44" t="n"/>
      <c r="T1179" s="45" t="n"/>
      <c r="U1179" s="45" t="n"/>
    </row>
    <row r="1180">
      <c r="O1180" s="44" t="n"/>
      <c r="Q1180" s="44" t="n"/>
      <c r="T1180" s="45" t="n"/>
      <c r="U1180" s="45" t="n"/>
    </row>
    <row r="1181">
      <c r="O1181" s="44" t="n"/>
      <c r="Q1181" s="44" t="n"/>
      <c r="T1181" s="45" t="n"/>
      <c r="U1181" s="45" t="n"/>
    </row>
    <row r="1182">
      <c r="O1182" s="44" t="n"/>
      <c r="Q1182" s="44" t="n"/>
      <c r="T1182" s="45" t="n"/>
      <c r="U1182" s="45" t="n"/>
    </row>
    <row r="1183">
      <c r="O1183" s="44" t="n"/>
      <c r="Q1183" s="44" t="n"/>
      <c r="T1183" s="45" t="n"/>
      <c r="U1183" s="45" t="n"/>
    </row>
    <row r="1184">
      <c r="O1184" s="44" t="n"/>
      <c r="Q1184" s="44" t="n"/>
      <c r="T1184" s="45" t="n"/>
      <c r="U1184" s="45" t="n"/>
    </row>
    <row r="1185">
      <c r="O1185" s="44" t="n"/>
      <c r="Q1185" s="44" t="n"/>
      <c r="T1185" s="45" t="n"/>
      <c r="U1185" s="45" t="n"/>
    </row>
    <row r="1186">
      <c r="O1186" s="44" t="n"/>
      <c r="Q1186" s="44" t="n"/>
      <c r="T1186" s="45" t="n"/>
      <c r="U1186" s="45" t="n"/>
    </row>
    <row r="1187">
      <c r="O1187" s="44" t="n"/>
      <c r="Q1187" s="44" t="n"/>
      <c r="T1187" s="45" t="n"/>
      <c r="U1187" s="45" t="n"/>
    </row>
    <row r="1188">
      <c r="O1188" s="44" t="n"/>
      <c r="Q1188" s="44" t="n"/>
      <c r="T1188" s="45" t="n"/>
      <c r="U1188" s="45" t="n"/>
    </row>
    <row r="1189">
      <c r="O1189" s="44" t="n"/>
      <c r="Q1189" s="44" t="n"/>
      <c r="T1189" s="45" t="n"/>
      <c r="U1189" s="45" t="n"/>
    </row>
    <row r="1190">
      <c r="O1190" s="44" t="n"/>
      <c r="Q1190" s="44" t="n"/>
      <c r="T1190" s="45" t="n"/>
      <c r="U1190" s="45" t="n"/>
    </row>
    <row r="1191">
      <c r="O1191" s="44" t="n"/>
      <c r="Q1191" s="44" t="n"/>
      <c r="T1191" s="45" t="n"/>
      <c r="U1191" s="45" t="n"/>
    </row>
    <row r="1192">
      <c r="O1192" s="44" t="n"/>
      <c r="Q1192" s="44" t="n"/>
      <c r="T1192" s="45" t="n"/>
      <c r="U1192" s="45" t="n"/>
    </row>
    <row r="1193">
      <c r="O1193" s="44" t="n"/>
      <c r="Q1193" s="44" t="n"/>
      <c r="T1193" s="45" t="n"/>
      <c r="U1193" s="45" t="n"/>
    </row>
    <row r="1194">
      <c r="O1194" s="44" t="n"/>
      <c r="Q1194" s="44" t="n"/>
      <c r="T1194" s="45" t="n"/>
      <c r="U1194" s="45" t="n"/>
    </row>
    <row r="1195">
      <c r="O1195" s="44" t="n"/>
      <c r="Q1195" s="44" t="n"/>
      <c r="T1195" s="45" t="n"/>
      <c r="U1195" s="45" t="n"/>
    </row>
    <row r="1196">
      <c r="O1196" s="44" t="n"/>
      <c r="Q1196" s="44" t="n"/>
      <c r="T1196" s="45" t="n"/>
      <c r="U1196" s="45" t="n"/>
    </row>
    <row r="1197">
      <c r="O1197" s="44" t="n"/>
      <c r="Q1197" s="44" t="n"/>
      <c r="T1197" s="45" t="n"/>
      <c r="U1197" s="45" t="n"/>
    </row>
    <row r="1198">
      <c r="O1198" s="44" t="n"/>
      <c r="Q1198" s="44" t="n"/>
      <c r="T1198" s="45" t="n"/>
      <c r="U1198" s="45" t="n"/>
    </row>
    <row r="1199">
      <c r="O1199" s="44" t="n"/>
      <c r="Q1199" s="44" t="n"/>
      <c r="T1199" s="45" t="n"/>
      <c r="U1199" s="45" t="n"/>
    </row>
    <row r="1200">
      <c r="O1200" s="44" t="n"/>
      <c r="Q1200" s="44" t="n"/>
      <c r="T1200" s="45" t="n"/>
      <c r="U1200" s="45" t="n"/>
    </row>
    <row r="1201">
      <c r="O1201" s="44" t="n"/>
      <c r="Q1201" s="44" t="n"/>
      <c r="T1201" s="45" t="n"/>
      <c r="U1201" s="45" t="n"/>
    </row>
    <row r="1202">
      <c r="O1202" s="44" t="n"/>
      <c r="Q1202" s="44" t="n"/>
      <c r="T1202" s="45" t="n"/>
      <c r="U1202" s="45" t="n"/>
    </row>
    <row r="1203">
      <c r="O1203" s="44" t="n"/>
      <c r="Q1203" s="44" t="n"/>
      <c r="T1203" s="45" t="n"/>
      <c r="U1203" s="45" t="n"/>
    </row>
    <row r="1204">
      <c r="O1204" s="44" t="n"/>
      <c r="Q1204" s="44" t="n"/>
      <c r="T1204" s="45" t="n"/>
      <c r="U1204" s="45" t="n"/>
    </row>
    <row r="1205">
      <c r="O1205" s="44" t="n"/>
      <c r="Q1205" s="44" t="n"/>
      <c r="T1205" s="45" t="n"/>
      <c r="U1205" s="45" t="n"/>
    </row>
    <row r="1206">
      <c r="O1206" s="44" t="n"/>
      <c r="Q1206" s="44" t="n"/>
      <c r="T1206" s="45" t="n"/>
      <c r="U1206" s="45" t="n"/>
    </row>
    <row r="1207">
      <c r="O1207" s="44" t="n"/>
      <c r="Q1207" s="44" t="n"/>
      <c r="T1207" s="45" t="n"/>
      <c r="U1207" s="45" t="n"/>
    </row>
    <row r="1208">
      <c r="O1208" s="44" t="n"/>
      <c r="Q1208" s="44" t="n"/>
      <c r="T1208" s="45" t="n"/>
      <c r="U1208" s="45" t="n"/>
    </row>
    <row r="1209">
      <c r="O1209" s="44" t="n"/>
      <c r="Q1209" s="44" t="n"/>
      <c r="T1209" s="45" t="n"/>
      <c r="U1209" s="45" t="n"/>
    </row>
    <row r="1210">
      <c r="O1210" s="44" t="n"/>
      <c r="Q1210" s="44" t="n"/>
      <c r="T1210" s="45" t="n"/>
      <c r="U1210" s="45" t="n"/>
    </row>
    <row r="1211">
      <c r="O1211" s="44" t="n"/>
      <c r="Q1211" s="44" t="n"/>
      <c r="T1211" s="45" t="n"/>
      <c r="U1211" s="45" t="n"/>
    </row>
    <row r="1212">
      <c r="O1212" s="44" t="n"/>
      <c r="Q1212" s="44" t="n"/>
      <c r="T1212" s="45" t="n"/>
      <c r="U1212" s="45" t="n"/>
    </row>
    <row r="1213">
      <c r="O1213" s="44" t="n"/>
      <c r="Q1213" s="44" t="n"/>
      <c r="T1213" s="45" t="n"/>
      <c r="U1213" s="45" t="n"/>
    </row>
    <row r="1214">
      <c r="O1214" s="44" t="n"/>
      <c r="Q1214" s="44" t="n"/>
      <c r="T1214" s="45" t="n"/>
      <c r="U1214" s="45" t="n"/>
    </row>
    <row r="1215">
      <c r="O1215" s="44" t="n"/>
      <c r="Q1215" s="44" t="n"/>
      <c r="T1215" s="45" t="n"/>
      <c r="U1215" s="45" t="n"/>
    </row>
    <row r="1216">
      <c r="O1216" s="44" t="n"/>
      <c r="Q1216" s="44" t="n"/>
      <c r="T1216" s="45" t="n"/>
      <c r="U1216" s="45" t="n"/>
    </row>
    <row r="1217">
      <c r="O1217" s="44" t="n"/>
      <c r="Q1217" s="44" t="n"/>
      <c r="T1217" s="45" t="n"/>
      <c r="U1217" s="45" t="n"/>
    </row>
    <row r="1218">
      <c r="O1218" s="44" t="n"/>
      <c r="Q1218" s="44" t="n"/>
      <c r="T1218" s="45" t="n"/>
      <c r="U1218" s="45" t="n"/>
    </row>
    <row r="1219">
      <c r="O1219" s="44" t="n"/>
      <c r="Q1219" s="44" t="n"/>
      <c r="T1219" s="45" t="n"/>
      <c r="U1219" s="45" t="n"/>
    </row>
    <row r="1220">
      <c r="O1220" s="44" t="n"/>
      <c r="Q1220" s="44" t="n"/>
      <c r="T1220" s="45" t="n"/>
      <c r="U1220" s="45" t="n"/>
    </row>
    <row r="1221">
      <c r="O1221" s="44" t="n"/>
      <c r="Q1221" s="44" t="n"/>
      <c r="T1221" s="45" t="n"/>
      <c r="U1221" s="45" t="n"/>
    </row>
    <row r="1222">
      <c r="O1222" s="44" t="n"/>
      <c r="Q1222" s="44" t="n"/>
      <c r="T1222" s="45" t="n"/>
      <c r="U1222" s="45" t="n"/>
    </row>
    <row r="1223">
      <c r="O1223" s="44" t="n"/>
      <c r="Q1223" s="44" t="n"/>
      <c r="T1223" s="45" t="n"/>
      <c r="U1223" s="45" t="n"/>
    </row>
    <row r="1224">
      <c r="O1224" s="44" t="n"/>
      <c r="Q1224" s="44" t="n"/>
      <c r="T1224" s="45" t="n"/>
      <c r="U1224" s="45" t="n"/>
    </row>
    <row r="1225">
      <c r="O1225" s="44" t="n"/>
      <c r="Q1225" s="44" t="n"/>
      <c r="T1225" s="45" t="n"/>
      <c r="U1225" s="45" t="n"/>
    </row>
    <row r="1226">
      <c r="O1226" s="44" t="n"/>
      <c r="Q1226" s="44" t="n"/>
      <c r="T1226" s="45" t="n"/>
      <c r="U1226" s="45" t="n"/>
    </row>
    <row r="1227">
      <c r="O1227" s="44" t="n"/>
      <c r="Q1227" s="44" t="n"/>
      <c r="T1227" s="45" t="n"/>
      <c r="U1227" s="45" t="n"/>
    </row>
    <row r="1228">
      <c r="O1228" s="44" t="n"/>
      <c r="Q1228" s="44" t="n"/>
      <c r="T1228" s="45" t="n"/>
      <c r="U1228" s="45" t="n"/>
    </row>
    <row r="1229">
      <c r="O1229" s="44" t="n"/>
      <c r="Q1229" s="44" t="n"/>
      <c r="T1229" s="45" t="n"/>
      <c r="U1229" s="45" t="n"/>
    </row>
    <row r="1230">
      <c r="O1230" s="44" t="n"/>
      <c r="Q1230" s="44" t="n"/>
      <c r="T1230" s="45" t="n"/>
      <c r="U1230" s="45" t="n"/>
    </row>
    <row r="1231">
      <c r="O1231" s="44" t="n"/>
      <c r="Q1231" s="44" t="n"/>
      <c r="T1231" s="45" t="n"/>
      <c r="U1231" s="45" t="n"/>
    </row>
    <row r="1232">
      <c r="O1232" s="44" t="n"/>
      <c r="Q1232" s="44" t="n"/>
      <c r="T1232" s="45" t="n"/>
      <c r="U1232" s="45" t="n"/>
    </row>
    <row r="1233">
      <c r="O1233" s="44" t="n"/>
      <c r="Q1233" s="44" t="n"/>
      <c r="T1233" s="45" t="n"/>
      <c r="U1233" s="45" t="n"/>
    </row>
    <row r="1234">
      <c r="O1234" s="44" t="n"/>
      <c r="Q1234" s="44" t="n"/>
      <c r="T1234" s="45" t="n"/>
      <c r="U1234" s="45" t="n"/>
    </row>
    <row r="1235">
      <c r="O1235" s="44" t="n"/>
      <c r="Q1235" s="44" t="n"/>
      <c r="T1235" s="45" t="n"/>
      <c r="U1235" s="45" t="n"/>
    </row>
    <row r="1236">
      <c r="O1236" s="44" t="n"/>
      <c r="Q1236" s="44" t="n"/>
      <c r="T1236" s="45" t="n"/>
      <c r="U1236" s="45" t="n"/>
    </row>
    <row r="1237">
      <c r="O1237" s="44" t="n"/>
      <c r="Q1237" s="44" t="n"/>
      <c r="T1237" s="45" t="n"/>
      <c r="U1237" s="45" t="n"/>
    </row>
    <row r="1238">
      <c r="O1238" s="44" t="n"/>
      <c r="Q1238" s="44" t="n"/>
      <c r="T1238" s="45" t="n"/>
      <c r="U1238" s="45" t="n"/>
    </row>
    <row r="1239">
      <c r="O1239" s="44" t="n"/>
      <c r="Q1239" s="44" t="n"/>
      <c r="T1239" s="45" t="n"/>
      <c r="U1239" s="45" t="n"/>
    </row>
    <row r="1240">
      <c r="O1240" s="44" t="n"/>
      <c r="Q1240" s="44" t="n"/>
      <c r="T1240" s="45" t="n"/>
      <c r="U1240" s="45" t="n"/>
    </row>
    <row r="1241">
      <c r="O1241" s="44" t="n"/>
      <c r="Q1241" s="44" t="n"/>
      <c r="T1241" s="45" t="n"/>
      <c r="U1241" s="45" t="n"/>
    </row>
    <row r="1242">
      <c r="O1242" s="44" t="n"/>
      <c r="Q1242" s="44" t="n"/>
      <c r="T1242" s="45" t="n"/>
      <c r="U1242" s="45" t="n"/>
    </row>
    <row r="1243">
      <c r="O1243" s="44" t="n"/>
      <c r="Q1243" s="44" t="n"/>
      <c r="T1243" s="45" t="n"/>
      <c r="U1243" s="45" t="n"/>
    </row>
    <row r="1244">
      <c r="O1244" s="44" t="n"/>
      <c r="Q1244" s="44" t="n"/>
      <c r="T1244" s="45" t="n"/>
      <c r="U1244" s="45" t="n"/>
    </row>
    <row r="1245">
      <c r="O1245" s="44" t="n"/>
      <c r="Q1245" s="44" t="n"/>
      <c r="T1245" s="45" t="n"/>
      <c r="U1245" s="45" t="n"/>
    </row>
    <row r="1246">
      <c r="O1246" s="44" t="n"/>
      <c r="Q1246" s="44" t="n"/>
      <c r="T1246" s="45" t="n"/>
      <c r="U1246" s="45" t="n"/>
    </row>
    <row r="1247">
      <c r="O1247" s="44" t="n"/>
      <c r="Q1247" s="44" t="n"/>
      <c r="T1247" s="45" t="n"/>
      <c r="U1247" s="45" t="n"/>
    </row>
    <row r="1248">
      <c r="O1248" s="44" t="n"/>
      <c r="Q1248" s="44" t="n"/>
      <c r="T1248" s="45" t="n"/>
      <c r="U1248" s="45" t="n"/>
    </row>
    <row r="1249">
      <c r="O1249" s="44" t="n"/>
      <c r="Q1249" s="44" t="n"/>
      <c r="T1249" s="45" t="n"/>
      <c r="U1249" s="45" t="n"/>
    </row>
    <row r="1250">
      <c r="O1250" s="44" t="n"/>
      <c r="Q1250" s="44" t="n"/>
      <c r="T1250" s="45" t="n"/>
      <c r="U1250" s="45" t="n"/>
    </row>
    <row r="1251">
      <c r="O1251" s="44" t="n"/>
      <c r="Q1251" s="44" t="n"/>
      <c r="T1251" s="45" t="n"/>
      <c r="U1251" s="45" t="n"/>
    </row>
    <row r="1252">
      <c r="O1252" s="44" t="n"/>
      <c r="Q1252" s="44" t="n"/>
      <c r="T1252" s="45" t="n"/>
      <c r="U1252" s="45" t="n"/>
    </row>
    <row r="1253">
      <c r="O1253" s="44" t="n"/>
      <c r="Q1253" s="44" t="n"/>
      <c r="T1253" s="45" t="n"/>
      <c r="U1253" s="45" t="n"/>
    </row>
    <row r="1254">
      <c r="O1254" s="44" t="n"/>
      <c r="Q1254" s="44" t="n"/>
      <c r="T1254" s="45" t="n"/>
      <c r="U1254" s="45" t="n"/>
    </row>
    <row r="1255">
      <c r="O1255" s="44" t="n"/>
      <c r="Q1255" s="44" t="n"/>
      <c r="T1255" s="45" t="n"/>
      <c r="U1255" s="45" t="n"/>
    </row>
    <row r="1256">
      <c r="O1256" s="44" t="n"/>
      <c r="Q1256" s="44" t="n"/>
      <c r="T1256" s="45" t="n"/>
      <c r="U1256" s="45" t="n"/>
    </row>
    <row r="1257">
      <c r="O1257" s="44" t="n"/>
      <c r="Q1257" s="44" t="n"/>
      <c r="T1257" s="45" t="n"/>
      <c r="U1257" s="45" t="n"/>
    </row>
    <row r="1258">
      <c r="O1258" s="44" t="n"/>
      <c r="Q1258" s="44" t="n"/>
      <c r="T1258" s="45" t="n"/>
      <c r="U1258" s="45" t="n"/>
    </row>
    <row r="1259">
      <c r="O1259" s="44" t="n"/>
      <c r="Q1259" s="44" t="n"/>
      <c r="T1259" s="45" t="n"/>
      <c r="U1259" s="45" t="n"/>
    </row>
    <row r="1260">
      <c r="O1260" s="44" t="n"/>
      <c r="Q1260" s="44" t="n"/>
      <c r="T1260" s="45" t="n"/>
      <c r="U1260" s="45" t="n"/>
    </row>
    <row r="1261">
      <c r="O1261" s="44" t="n"/>
      <c r="Q1261" s="44" t="n"/>
      <c r="T1261" s="45" t="n"/>
      <c r="U1261" s="45" t="n"/>
    </row>
    <row r="1262">
      <c r="O1262" s="44" t="n"/>
      <c r="Q1262" s="44" t="n"/>
      <c r="T1262" s="45" t="n"/>
      <c r="U1262" s="45" t="n"/>
    </row>
    <row r="1263">
      <c r="O1263" s="44" t="n"/>
      <c r="Q1263" s="44" t="n"/>
      <c r="T1263" s="45" t="n"/>
      <c r="U1263" s="45" t="n"/>
    </row>
    <row r="1264">
      <c r="O1264" s="44" t="n"/>
      <c r="Q1264" s="44" t="n"/>
      <c r="T1264" s="45" t="n"/>
      <c r="U1264" s="45" t="n"/>
    </row>
    <row r="1265">
      <c r="O1265" s="44" t="n"/>
      <c r="Q1265" s="44" t="n"/>
      <c r="T1265" s="45" t="n"/>
      <c r="U1265" s="45" t="n"/>
    </row>
    <row r="1266">
      <c r="O1266" s="44" t="n"/>
      <c r="Q1266" s="44" t="n"/>
      <c r="T1266" s="45" t="n"/>
      <c r="U1266" s="45" t="n"/>
    </row>
    <row r="1267">
      <c r="O1267" s="44" t="n"/>
      <c r="Q1267" s="44" t="n"/>
      <c r="T1267" s="45" t="n"/>
      <c r="U1267" s="45" t="n"/>
    </row>
    <row r="1268">
      <c r="O1268" s="44" t="n"/>
      <c r="Q1268" s="44" t="n"/>
      <c r="T1268" s="45" t="n"/>
      <c r="U1268" s="45" t="n"/>
    </row>
    <row r="1269">
      <c r="O1269" s="44" t="n"/>
      <c r="Q1269" s="44" t="n"/>
      <c r="T1269" s="45" t="n"/>
      <c r="U1269" s="45" t="n"/>
    </row>
    <row r="1270">
      <c r="O1270" s="44" t="n"/>
      <c r="Q1270" s="44" t="n"/>
      <c r="T1270" s="45" t="n"/>
      <c r="U1270" s="45" t="n"/>
    </row>
    <row r="1271">
      <c r="O1271" s="44" t="n"/>
      <c r="Q1271" s="44" t="n"/>
      <c r="T1271" s="45" t="n"/>
      <c r="U1271" s="45" t="n"/>
    </row>
    <row r="1272">
      <c r="O1272" s="44" t="n"/>
      <c r="Q1272" s="44" t="n"/>
      <c r="T1272" s="45" t="n"/>
      <c r="U1272" s="45" t="n"/>
    </row>
    <row r="1273">
      <c r="O1273" s="44" t="n"/>
      <c r="Q1273" s="44" t="n"/>
      <c r="T1273" s="45" t="n"/>
      <c r="U1273" s="45" t="n"/>
    </row>
    <row r="1274">
      <c r="O1274" s="44" t="n"/>
      <c r="Q1274" s="44" t="n"/>
      <c r="T1274" s="45" t="n"/>
      <c r="U1274" s="45" t="n"/>
    </row>
    <row r="1275">
      <c r="O1275" s="44" t="n"/>
      <c r="Q1275" s="44" t="n"/>
      <c r="T1275" s="45" t="n"/>
      <c r="U1275" s="45" t="n"/>
    </row>
    <row r="1276">
      <c r="O1276" s="44" t="n"/>
      <c r="Q1276" s="44" t="n"/>
      <c r="T1276" s="45" t="n"/>
      <c r="U1276" s="45" t="n"/>
    </row>
    <row r="1277">
      <c r="O1277" s="44" t="n"/>
      <c r="Q1277" s="44" t="n"/>
      <c r="T1277" s="45" t="n"/>
      <c r="U1277" s="45" t="n"/>
    </row>
    <row r="1278">
      <c r="O1278" s="44" t="n"/>
      <c r="Q1278" s="44" t="n"/>
      <c r="T1278" s="45" t="n"/>
      <c r="U1278" s="45" t="n"/>
    </row>
    <row r="1279">
      <c r="O1279" s="44" t="n"/>
      <c r="Q1279" s="44" t="n"/>
      <c r="T1279" s="45" t="n"/>
      <c r="U1279" s="45" t="n"/>
    </row>
    <row r="1280">
      <c r="O1280" s="44" t="n"/>
      <c r="Q1280" s="44" t="n"/>
      <c r="T1280" s="45" t="n"/>
      <c r="U1280" s="45" t="n"/>
    </row>
    <row r="1281">
      <c r="O1281" s="44" t="n"/>
      <c r="Q1281" s="44" t="n"/>
      <c r="T1281" s="45" t="n"/>
      <c r="U1281" s="45" t="n"/>
    </row>
    <row r="1282">
      <c r="O1282" s="44" t="n"/>
      <c r="Q1282" s="44" t="n"/>
      <c r="T1282" s="45" t="n"/>
      <c r="U1282" s="45" t="n"/>
    </row>
    <row r="1283">
      <c r="O1283" s="44" t="n"/>
      <c r="Q1283" s="44" t="n"/>
      <c r="T1283" s="45" t="n"/>
      <c r="U1283" s="45" t="n"/>
    </row>
    <row r="1284">
      <c r="O1284" s="44" t="n"/>
      <c r="Q1284" s="44" t="n"/>
      <c r="T1284" s="45" t="n"/>
      <c r="U1284" s="45" t="n"/>
    </row>
    <row r="1285">
      <c r="O1285" s="44" t="n"/>
      <c r="Q1285" s="44" t="n"/>
      <c r="T1285" s="45" t="n"/>
      <c r="U1285" s="45" t="n"/>
    </row>
    <row r="1286">
      <c r="O1286" s="44" t="n"/>
      <c r="Q1286" s="44" t="n"/>
      <c r="T1286" s="45" t="n"/>
      <c r="U1286" s="45" t="n"/>
    </row>
    <row r="1287">
      <c r="O1287" s="44" t="n"/>
      <c r="Q1287" s="44" t="n"/>
      <c r="T1287" s="45" t="n"/>
      <c r="U1287" s="45" t="n"/>
    </row>
    <row r="1288">
      <c r="O1288" s="44" t="n"/>
      <c r="Q1288" s="44" t="n"/>
      <c r="T1288" s="45" t="n"/>
      <c r="U1288" s="45" t="n"/>
    </row>
    <row r="1289">
      <c r="O1289" s="44" t="n"/>
      <c r="Q1289" s="44" t="n"/>
      <c r="T1289" s="45" t="n"/>
      <c r="U1289" s="45" t="n"/>
    </row>
    <row r="1290">
      <c r="O1290" s="44" t="n"/>
      <c r="Q1290" s="44" t="n"/>
      <c r="T1290" s="45" t="n"/>
      <c r="U1290" s="45" t="n"/>
    </row>
    <row r="1291">
      <c r="O1291" s="44" t="n"/>
      <c r="Q1291" s="44" t="n"/>
      <c r="T1291" s="45" t="n"/>
      <c r="U1291" s="45" t="n"/>
    </row>
    <row r="1292">
      <c r="O1292" s="44" t="n"/>
      <c r="Q1292" s="44" t="n"/>
      <c r="T1292" s="45" t="n"/>
      <c r="U1292" s="45" t="n"/>
    </row>
    <row r="1293">
      <c r="O1293" s="44" t="n"/>
      <c r="Q1293" s="44" t="n"/>
      <c r="T1293" s="45" t="n"/>
      <c r="U1293" s="45" t="n"/>
    </row>
    <row r="1294">
      <c r="O1294" s="44" t="n"/>
      <c r="Q1294" s="44" t="n"/>
      <c r="T1294" s="45" t="n"/>
      <c r="U1294" s="45" t="n"/>
    </row>
    <row r="1295">
      <c r="O1295" s="44" t="n"/>
      <c r="Q1295" s="44" t="n"/>
      <c r="T1295" s="45" t="n"/>
      <c r="U1295" s="45" t="n"/>
    </row>
    <row r="1296">
      <c r="O1296" s="44" t="n"/>
      <c r="Q1296" s="44" t="n"/>
      <c r="T1296" s="45" t="n"/>
      <c r="U1296" s="45" t="n"/>
    </row>
    <row r="1297">
      <c r="O1297" s="44" t="n"/>
      <c r="Q1297" s="44" t="n"/>
      <c r="T1297" s="45" t="n"/>
      <c r="U1297" s="45" t="n"/>
    </row>
    <row r="1298">
      <c r="O1298" s="44" t="n"/>
      <c r="Q1298" s="44" t="n"/>
      <c r="T1298" s="45" t="n"/>
      <c r="U1298" s="45" t="n"/>
    </row>
    <row r="1299">
      <c r="O1299" s="44" t="n"/>
      <c r="Q1299" s="44" t="n"/>
      <c r="T1299" s="45" t="n"/>
      <c r="U1299" s="45" t="n"/>
    </row>
    <row r="1300">
      <c r="O1300" s="44" t="n"/>
      <c r="Q1300" s="44" t="n"/>
      <c r="T1300" s="45" t="n"/>
      <c r="U1300" s="45" t="n"/>
    </row>
    <row r="1301">
      <c r="O1301" s="44" t="n"/>
      <c r="Q1301" s="44" t="n"/>
      <c r="T1301" s="45" t="n"/>
      <c r="U1301" s="45" t="n"/>
    </row>
    <row r="1302">
      <c r="O1302" s="44" t="n"/>
      <c r="Q1302" s="44" t="n"/>
      <c r="T1302" s="45" t="n"/>
      <c r="U1302" s="45" t="n"/>
    </row>
    <row r="1303">
      <c r="O1303" s="44" t="n"/>
      <c r="Q1303" s="44" t="n"/>
      <c r="T1303" s="45" t="n"/>
      <c r="U1303" s="45" t="n"/>
    </row>
    <row r="1304">
      <c r="O1304" s="44" t="n"/>
      <c r="Q1304" s="44" t="n"/>
      <c r="T1304" s="45" t="n"/>
      <c r="U1304" s="45" t="n"/>
    </row>
    <row r="1305">
      <c r="O1305" s="44" t="n"/>
      <c r="Q1305" s="44" t="n"/>
      <c r="T1305" s="45" t="n"/>
      <c r="U1305" s="45" t="n"/>
    </row>
    <row r="1306">
      <c r="O1306" s="44" t="n"/>
      <c r="Q1306" s="44" t="n"/>
      <c r="T1306" s="45" t="n"/>
      <c r="U1306" s="45" t="n"/>
    </row>
    <row r="1307">
      <c r="O1307" s="44" t="n"/>
      <c r="Q1307" s="44" t="n"/>
      <c r="T1307" s="45" t="n"/>
      <c r="U1307" s="45" t="n"/>
    </row>
    <row r="1308">
      <c r="O1308" s="44" t="n"/>
      <c r="Q1308" s="44" t="n"/>
      <c r="T1308" s="45" t="n"/>
      <c r="U1308" s="45" t="n"/>
    </row>
    <row r="1309">
      <c r="O1309" s="44" t="n"/>
      <c r="Q1309" s="44" t="n"/>
      <c r="T1309" s="45" t="n"/>
      <c r="U1309" s="45" t="n"/>
    </row>
    <row r="1310">
      <c r="O1310" s="44" t="n"/>
      <c r="Q1310" s="44" t="n"/>
      <c r="T1310" s="45" t="n"/>
      <c r="U1310" s="45" t="n"/>
    </row>
    <row r="1311">
      <c r="O1311" s="44" t="n"/>
      <c r="Q1311" s="44" t="n"/>
      <c r="T1311" s="45" t="n"/>
      <c r="U1311" s="45" t="n"/>
    </row>
    <row r="1312">
      <c r="O1312" s="44" t="n"/>
      <c r="Q1312" s="44" t="n"/>
      <c r="T1312" s="45" t="n"/>
      <c r="U1312" s="45" t="n"/>
    </row>
    <row r="1313">
      <c r="O1313" s="44" t="n"/>
      <c r="Q1313" s="44" t="n"/>
      <c r="T1313" s="45" t="n"/>
      <c r="U1313" s="45" t="n"/>
    </row>
    <row r="1314">
      <c r="O1314" s="44" t="n"/>
      <c r="Q1314" s="44" t="n"/>
      <c r="T1314" s="45" t="n"/>
      <c r="U1314" s="45" t="n"/>
    </row>
    <row r="1315">
      <c r="O1315" s="44" t="n"/>
      <c r="Q1315" s="44" t="n"/>
      <c r="T1315" s="45" t="n"/>
      <c r="U1315" s="45" t="n"/>
    </row>
    <row r="1316">
      <c r="O1316" s="44" t="n"/>
      <c r="Q1316" s="44" t="n"/>
      <c r="T1316" s="45" t="n"/>
      <c r="U1316" s="45" t="n"/>
    </row>
    <row r="1317">
      <c r="O1317" s="44" t="n"/>
      <c r="Q1317" s="44" t="n"/>
      <c r="T1317" s="45" t="n"/>
      <c r="U1317" s="45" t="n"/>
    </row>
    <row r="1318">
      <c r="O1318" s="44" t="n"/>
      <c r="Q1318" s="44" t="n"/>
      <c r="T1318" s="45" t="n"/>
      <c r="U1318" s="45" t="n"/>
    </row>
    <row r="1319">
      <c r="O1319" s="44" t="n"/>
      <c r="Q1319" s="44" t="n"/>
      <c r="T1319" s="45" t="n"/>
      <c r="U1319" s="45" t="n"/>
    </row>
    <row r="1320">
      <c r="O1320" s="44" t="n"/>
      <c r="Q1320" s="44" t="n"/>
      <c r="T1320" s="45" t="n"/>
      <c r="U1320" s="45" t="n"/>
    </row>
    <row r="1321">
      <c r="O1321" s="44" t="n"/>
      <c r="Q1321" s="44" t="n"/>
      <c r="T1321" s="45" t="n"/>
      <c r="U1321" s="45" t="n"/>
    </row>
    <row r="1322">
      <c r="O1322" s="44" t="n"/>
      <c r="Q1322" s="44" t="n"/>
      <c r="T1322" s="45" t="n"/>
      <c r="U1322" s="45" t="n"/>
    </row>
    <row r="1323">
      <c r="O1323" s="44" t="n"/>
      <c r="Q1323" s="44" t="n"/>
      <c r="T1323" s="45" t="n"/>
      <c r="U1323" s="45" t="n"/>
    </row>
    <row r="1324">
      <c r="O1324" s="44" t="n"/>
      <c r="Q1324" s="44" t="n"/>
      <c r="T1324" s="45" t="n"/>
      <c r="U1324" s="45" t="n"/>
    </row>
    <row r="1325">
      <c r="O1325" s="44" t="n"/>
      <c r="Q1325" s="44" t="n"/>
      <c r="T1325" s="45" t="n"/>
      <c r="U1325" s="45" t="n"/>
    </row>
    <row r="1326">
      <c r="O1326" s="44" t="n"/>
      <c r="Q1326" s="44" t="n"/>
      <c r="T1326" s="45" t="n"/>
      <c r="U1326" s="45" t="n"/>
    </row>
    <row r="1327">
      <c r="O1327" s="44" t="n"/>
      <c r="Q1327" s="44" t="n"/>
      <c r="T1327" s="45" t="n"/>
      <c r="U1327" s="45" t="n"/>
    </row>
    <row r="1328">
      <c r="O1328" s="44" t="n"/>
      <c r="Q1328" s="44" t="n"/>
      <c r="T1328" s="45" t="n"/>
      <c r="U1328" s="45" t="n"/>
    </row>
    <row r="1329">
      <c r="O1329" s="44" t="n"/>
      <c r="Q1329" s="44" t="n"/>
      <c r="T1329" s="45" t="n"/>
      <c r="U1329" s="45" t="n"/>
    </row>
    <row r="1330">
      <c r="O1330" s="44" t="n"/>
      <c r="Q1330" s="44" t="n"/>
      <c r="T1330" s="45" t="n"/>
      <c r="U1330" s="45" t="n"/>
    </row>
    <row r="1331">
      <c r="O1331" s="44" t="n"/>
      <c r="Q1331" s="44" t="n"/>
      <c r="T1331" s="45" t="n"/>
      <c r="U1331" s="45" t="n"/>
    </row>
    <row r="1332">
      <c r="O1332" s="44" t="n"/>
      <c r="Q1332" s="44" t="n"/>
      <c r="T1332" s="45" t="n"/>
      <c r="U1332" s="45" t="n"/>
    </row>
    <row r="1333">
      <c r="O1333" s="44" t="n"/>
      <c r="Q1333" s="44" t="n"/>
      <c r="T1333" s="45" t="n"/>
      <c r="U1333" s="45" t="n"/>
    </row>
    <row r="1334">
      <c r="O1334" s="44" t="n"/>
      <c r="Q1334" s="44" t="n"/>
      <c r="T1334" s="45" t="n"/>
      <c r="U1334" s="45" t="n"/>
    </row>
    <row r="1335">
      <c r="O1335" s="44" t="n"/>
      <c r="Q1335" s="44" t="n"/>
      <c r="T1335" s="45" t="n"/>
      <c r="U1335" s="45" t="n"/>
    </row>
    <row r="1336">
      <c r="O1336" s="44" t="n"/>
      <c r="Q1336" s="44" t="n"/>
      <c r="T1336" s="45" t="n"/>
      <c r="U1336" s="45" t="n"/>
    </row>
    <row r="1337">
      <c r="O1337" s="44" t="n"/>
      <c r="Q1337" s="44" t="n"/>
      <c r="T1337" s="45" t="n"/>
      <c r="U1337" s="45" t="n"/>
    </row>
    <row r="1338">
      <c r="O1338" s="44" t="n"/>
      <c r="Q1338" s="44" t="n"/>
      <c r="T1338" s="45" t="n"/>
      <c r="U1338" s="45" t="n"/>
    </row>
    <row r="1339">
      <c r="O1339" s="44" t="n"/>
      <c r="Q1339" s="44" t="n"/>
      <c r="T1339" s="45" t="n"/>
      <c r="U1339" s="45" t="n"/>
    </row>
    <row r="1340">
      <c r="O1340" s="44" t="n"/>
      <c r="Q1340" s="44" t="n"/>
      <c r="T1340" s="45" t="n"/>
      <c r="U1340" s="45" t="n"/>
    </row>
    <row r="1341">
      <c r="O1341" s="44" t="n"/>
      <c r="Q1341" s="44" t="n"/>
      <c r="T1341" s="45" t="n"/>
      <c r="U1341" s="45" t="n"/>
    </row>
    <row r="1342">
      <c r="O1342" s="44" t="n"/>
      <c r="Q1342" s="44" t="n"/>
      <c r="T1342" s="45" t="n"/>
      <c r="U1342" s="45" t="n"/>
    </row>
    <row r="1343">
      <c r="O1343" s="44" t="n"/>
      <c r="Q1343" s="44" t="n"/>
      <c r="T1343" s="45" t="n"/>
      <c r="U1343" s="45" t="n"/>
    </row>
    <row r="1344">
      <c r="O1344" s="44" t="n"/>
      <c r="Q1344" s="44" t="n"/>
      <c r="T1344" s="45" t="n"/>
      <c r="U1344" s="45" t="n"/>
    </row>
    <row r="1345">
      <c r="O1345" s="44" t="n"/>
      <c r="Q1345" s="44" t="n"/>
      <c r="T1345" s="45" t="n"/>
      <c r="U1345" s="45" t="n"/>
    </row>
    <row r="1346">
      <c r="O1346" s="44" t="n"/>
      <c r="Q1346" s="44" t="n"/>
      <c r="T1346" s="45" t="n"/>
      <c r="U1346" s="45" t="n"/>
    </row>
    <row r="1347">
      <c r="O1347" s="44" t="n"/>
      <c r="Q1347" s="44" t="n"/>
      <c r="T1347" s="45" t="n"/>
      <c r="U1347" s="45" t="n"/>
    </row>
    <row r="1348">
      <c r="O1348" s="44" t="n"/>
      <c r="Q1348" s="44" t="n"/>
      <c r="T1348" s="45" t="n"/>
      <c r="U1348" s="45" t="n"/>
    </row>
    <row r="1349">
      <c r="O1349" s="44" t="n"/>
      <c r="Q1349" s="44" t="n"/>
      <c r="T1349" s="45" t="n"/>
      <c r="U1349" s="45" t="n"/>
    </row>
    <row r="1350">
      <c r="O1350" s="44" t="n"/>
      <c r="Q1350" s="44" t="n"/>
      <c r="T1350" s="45" t="n"/>
      <c r="U1350" s="45" t="n"/>
    </row>
    <row r="1351">
      <c r="O1351" s="44" t="n"/>
      <c r="Q1351" s="44" t="n"/>
      <c r="T1351" s="45" t="n"/>
      <c r="U1351" s="45" t="n"/>
    </row>
    <row r="1352">
      <c r="O1352" s="44" t="n"/>
      <c r="Q1352" s="44" t="n"/>
      <c r="T1352" s="45" t="n"/>
      <c r="U1352" s="45" t="n"/>
    </row>
    <row r="1353">
      <c r="O1353" s="44" t="n"/>
      <c r="Q1353" s="44" t="n"/>
      <c r="T1353" s="45" t="n"/>
      <c r="U1353" s="45" t="n"/>
    </row>
    <row r="1354">
      <c r="O1354" s="44" t="n"/>
      <c r="Q1354" s="44" t="n"/>
      <c r="T1354" s="45" t="n"/>
      <c r="U1354" s="45" t="n"/>
    </row>
    <row r="1355">
      <c r="O1355" s="44" t="n"/>
      <c r="Q1355" s="44" t="n"/>
      <c r="T1355" s="45" t="n"/>
      <c r="U1355" s="45" t="n"/>
    </row>
    <row r="1356">
      <c r="O1356" s="44" t="n"/>
      <c r="Q1356" s="44" t="n"/>
      <c r="T1356" s="45" t="n"/>
      <c r="U1356" s="45" t="n"/>
    </row>
    <row r="1357">
      <c r="O1357" s="44" t="n"/>
      <c r="Q1357" s="44" t="n"/>
      <c r="T1357" s="45" t="n"/>
      <c r="U1357" s="45" t="n"/>
    </row>
    <row r="1358">
      <c r="O1358" s="44" t="n"/>
      <c r="Q1358" s="44" t="n"/>
      <c r="T1358" s="45" t="n"/>
      <c r="U1358" s="45" t="n"/>
    </row>
    <row r="1359">
      <c r="O1359" s="44" t="n"/>
      <c r="Q1359" s="44" t="n"/>
      <c r="T1359" s="45" t="n"/>
      <c r="U1359" s="45" t="n"/>
    </row>
    <row r="1360">
      <c r="O1360" s="44" t="n"/>
      <c r="Q1360" s="44" t="n"/>
      <c r="T1360" s="45" t="n"/>
      <c r="U1360" s="45" t="n"/>
    </row>
    <row r="1361">
      <c r="O1361" s="44" t="n"/>
      <c r="Q1361" s="44" t="n"/>
      <c r="T1361" s="45" t="n"/>
      <c r="U1361" s="45" t="n"/>
    </row>
    <row r="1362">
      <c r="O1362" s="44" t="n"/>
      <c r="Q1362" s="44" t="n"/>
      <c r="T1362" s="45" t="n"/>
      <c r="U1362" s="45" t="n"/>
    </row>
    <row r="1363">
      <c r="O1363" s="44" t="n"/>
      <c r="Q1363" s="44" t="n"/>
      <c r="T1363" s="45" t="n"/>
      <c r="U1363" s="45" t="n"/>
    </row>
    <row r="1364">
      <c r="O1364" s="44" t="n"/>
      <c r="Q1364" s="44" t="n"/>
      <c r="T1364" s="45" t="n"/>
      <c r="U1364" s="45" t="n"/>
    </row>
    <row r="1365">
      <c r="O1365" s="44" t="n"/>
      <c r="Q1365" s="44" t="n"/>
      <c r="T1365" s="45" t="n"/>
      <c r="U1365" s="45" t="n"/>
    </row>
    <row r="1366">
      <c r="O1366" s="44" t="n"/>
      <c r="Q1366" s="44" t="n"/>
      <c r="T1366" s="45" t="n"/>
      <c r="U1366" s="45" t="n"/>
    </row>
    <row r="1367">
      <c r="O1367" s="44" t="n"/>
      <c r="Q1367" s="44" t="n"/>
      <c r="T1367" s="45" t="n"/>
      <c r="U1367" s="45" t="n"/>
    </row>
    <row r="1368">
      <c r="O1368" s="44" t="n"/>
      <c r="Q1368" s="44" t="n"/>
      <c r="T1368" s="45" t="n"/>
      <c r="U1368" s="45" t="n"/>
    </row>
    <row r="1369">
      <c r="O1369" s="44" t="n"/>
      <c r="Q1369" s="44" t="n"/>
      <c r="T1369" s="45" t="n"/>
      <c r="U1369" s="45" t="n"/>
    </row>
    <row r="1370">
      <c r="O1370" s="44" t="n"/>
      <c r="Q1370" s="44" t="n"/>
      <c r="T1370" s="45" t="n"/>
      <c r="U1370" s="45" t="n"/>
    </row>
    <row r="1371">
      <c r="O1371" s="44" t="n"/>
      <c r="Q1371" s="44" t="n"/>
      <c r="T1371" s="45" t="n"/>
      <c r="U1371" s="45" t="n"/>
    </row>
    <row r="1372">
      <c r="O1372" s="44" t="n"/>
      <c r="Q1372" s="44" t="n"/>
      <c r="T1372" s="45" t="n"/>
      <c r="U1372" s="45" t="n"/>
    </row>
    <row r="1373">
      <c r="O1373" s="44" t="n"/>
      <c r="Q1373" s="44" t="n"/>
      <c r="T1373" s="45" t="n"/>
      <c r="U1373" s="45" t="n"/>
    </row>
    <row r="1374">
      <c r="O1374" s="44" t="n"/>
      <c r="Q1374" s="44" t="n"/>
      <c r="T1374" s="45" t="n"/>
      <c r="U1374" s="45" t="n"/>
    </row>
    <row r="1375">
      <c r="O1375" s="44" t="n"/>
      <c r="Q1375" s="44" t="n"/>
      <c r="T1375" s="45" t="n"/>
      <c r="U1375" s="45" t="n"/>
    </row>
    <row r="1376">
      <c r="O1376" s="44" t="n"/>
      <c r="Q1376" s="44" t="n"/>
      <c r="T1376" s="45" t="n"/>
      <c r="U1376" s="45" t="n"/>
    </row>
    <row r="1377">
      <c r="O1377" s="44" t="n"/>
      <c r="Q1377" s="44" t="n"/>
      <c r="T1377" s="45" t="n"/>
      <c r="U1377" s="45" t="n"/>
    </row>
    <row r="1378">
      <c r="O1378" s="44" t="n"/>
      <c r="Q1378" s="44" t="n"/>
      <c r="T1378" s="45" t="n"/>
      <c r="U1378" s="45" t="n"/>
    </row>
    <row r="1379">
      <c r="O1379" s="44" t="n"/>
      <c r="Q1379" s="44" t="n"/>
      <c r="T1379" s="45" t="n"/>
      <c r="U1379" s="45" t="n"/>
    </row>
    <row r="1380">
      <c r="O1380" s="44" t="n"/>
      <c r="Q1380" s="44" t="n"/>
      <c r="T1380" s="45" t="n"/>
      <c r="U1380" s="45" t="n"/>
    </row>
    <row r="1381">
      <c r="O1381" s="44" t="n"/>
      <c r="Q1381" s="44" t="n"/>
      <c r="T1381" s="45" t="n"/>
      <c r="U1381" s="45" t="n"/>
    </row>
    <row r="1382">
      <c r="O1382" s="44" t="n"/>
      <c r="Q1382" s="44" t="n"/>
      <c r="T1382" s="45" t="n"/>
      <c r="U1382" s="45" t="n"/>
    </row>
    <row r="1383">
      <c r="O1383" s="44" t="n"/>
      <c r="Q1383" s="44" t="n"/>
      <c r="T1383" s="45" t="n"/>
      <c r="U1383" s="45" t="n"/>
    </row>
    <row r="1384">
      <c r="O1384" s="44" t="n"/>
      <c r="Q1384" s="44" t="n"/>
      <c r="T1384" s="45" t="n"/>
      <c r="U1384" s="45" t="n"/>
    </row>
    <row r="1385">
      <c r="O1385" s="44" t="n"/>
      <c r="Q1385" s="44" t="n"/>
      <c r="T1385" s="45" t="n"/>
      <c r="U1385" s="45" t="n"/>
    </row>
    <row r="1386">
      <c r="O1386" s="44" t="n"/>
      <c r="Q1386" s="44" t="n"/>
      <c r="T1386" s="45" t="n"/>
      <c r="U1386" s="45" t="n"/>
    </row>
    <row r="1387">
      <c r="O1387" s="44" t="n"/>
      <c r="Q1387" s="44" t="n"/>
      <c r="T1387" s="45" t="n"/>
      <c r="U1387" s="45" t="n"/>
    </row>
    <row r="1388">
      <c r="O1388" s="44" t="n"/>
      <c r="Q1388" s="44" t="n"/>
      <c r="T1388" s="45" t="n"/>
      <c r="U1388" s="45" t="n"/>
    </row>
    <row r="1389">
      <c r="O1389" s="44" t="n"/>
      <c r="Q1389" s="44" t="n"/>
      <c r="T1389" s="45" t="n"/>
      <c r="U1389" s="45" t="n"/>
    </row>
    <row r="1390">
      <c r="O1390" s="44" t="n"/>
      <c r="Q1390" s="44" t="n"/>
      <c r="T1390" s="45" t="n"/>
      <c r="U1390" s="45" t="n"/>
    </row>
    <row r="1391">
      <c r="O1391" s="44" t="n"/>
      <c r="Q1391" s="44" t="n"/>
      <c r="T1391" s="45" t="n"/>
      <c r="U1391" s="45" t="n"/>
    </row>
    <row r="1392">
      <c r="O1392" s="44" t="n"/>
      <c r="Q1392" s="44" t="n"/>
      <c r="T1392" s="45" t="n"/>
      <c r="U1392" s="45" t="n"/>
    </row>
    <row r="1393">
      <c r="O1393" s="44" t="n"/>
      <c r="Q1393" s="44" t="n"/>
      <c r="T1393" s="45" t="n"/>
      <c r="U1393" s="45" t="n"/>
    </row>
    <row r="1394">
      <c r="O1394" s="44" t="n"/>
      <c r="Q1394" s="44" t="n"/>
      <c r="T1394" s="45" t="n"/>
      <c r="U1394" s="45" t="n"/>
    </row>
    <row r="1395">
      <c r="O1395" s="44" t="n"/>
      <c r="Q1395" s="44" t="n"/>
      <c r="T1395" s="45" t="n"/>
      <c r="U1395" s="45" t="n"/>
    </row>
    <row r="1396">
      <c r="O1396" s="44" t="n"/>
      <c r="Q1396" s="44" t="n"/>
      <c r="T1396" s="45" t="n"/>
      <c r="U1396" s="45" t="n"/>
    </row>
    <row r="1397">
      <c r="O1397" s="44" t="n"/>
      <c r="Q1397" s="44" t="n"/>
      <c r="T1397" s="45" t="n"/>
      <c r="U1397" s="45" t="n"/>
    </row>
    <row r="1398">
      <c r="O1398" s="44" t="n"/>
      <c r="Q1398" s="44" t="n"/>
      <c r="T1398" s="45" t="n"/>
      <c r="U1398" s="45" t="n"/>
    </row>
    <row r="1399">
      <c r="O1399" s="44" t="n"/>
      <c r="Q1399" s="44" t="n"/>
      <c r="T1399" s="45" t="n"/>
      <c r="U1399" s="45" t="n"/>
    </row>
    <row r="1400">
      <c r="O1400" s="44" t="n"/>
      <c r="Q1400" s="44" t="n"/>
      <c r="T1400" s="45" t="n"/>
      <c r="U1400" s="45" t="n"/>
    </row>
    <row r="1401">
      <c r="O1401" s="44" t="n"/>
      <c r="Q1401" s="44" t="n"/>
      <c r="T1401" s="45" t="n"/>
      <c r="U1401" s="45" t="n"/>
    </row>
    <row r="1402">
      <c r="O1402" s="44" t="n"/>
      <c r="Q1402" s="44" t="n"/>
      <c r="T1402" s="45" t="n"/>
      <c r="U1402" s="45" t="n"/>
    </row>
    <row r="1403">
      <c r="O1403" s="44" t="n"/>
      <c r="Q1403" s="44" t="n"/>
      <c r="T1403" s="45" t="n"/>
      <c r="U1403" s="45" t="n"/>
    </row>
    <row r="1404">
      <c r="O1404" s="44" t="n"/>
      <c r="Q1404" s="44" t="n"/>
      <c r="T1404" s="45" t="n"/>
      <c r="U1404" s="45" t="n"/>
    </row>
    <row r="1405">
      <c r="O1405" s="44" t="n"/>
      <c r="Q1405" s="44" t="n"/>
      <c r="T1405" s="45" t="n"/>
      <c r="U1405" s="45" t="n"/>
    </row>
    <row r="1406">
      <c r="O1406" s="44" t="n"/>
      <c r="Q1406" s="44" t="n"/>
      <c r="T1406" s="45" t="n"/>
      <c r="U1406" s="45" t="n"/>
    </row>
    <row r="1407">
      <c r="O1407" s="44" t="n"/>
      <c r="Q1407" s="44" t="n"/>
      <c r="T1407" s="45" t="n"/>
      <c r="U1407" s="45" t="n"/>
    </row>
    <row r="1408">
      <c r="O1408" s="44" t="n"/>
      <c r="Q1408" s="44" t="n"/>
      <c r="T1408" s="45" t="n"/>
      <c r="U1408" s="45" t="n"/>
    </row>
    <row r="1409">
      <c r="O1409" s="44" t="n"/>
      <c r="Q1409" s="44" t="n"/>
      <c r="T1409" s="45" t="n"/>
      <c r="U1409" s="45" t="n"/>
    </row>
    <row r="1410">
      <c r="O1410" s="44" t="n"/>
      <c r="Q1410" s="44" t="n"/>
      <c r="T1410" s="45" t="n"/>
      <c r="U1410" s="45" t="n"/>
    </row>
    <row r="1411">
      <c r="O1411" s="44" t="n"/>
      <c r="Q1411" s="44" t="n"/>
      <c r="T1411" s="45" t="n"/>
      <c r="U1411" s="45" t="n"/>
    </row>
    <row r="1412">
      <c r="O1412" s="44" t="n"/>
      <c r="Q1412" s="44" t="n"/>
      <c r="T1412" s="45" t="n"/>
      <c r="U1412" s="45" t="n"/>
    </row>
    <row r="1413">
      <c r="O1413" s="44" t="n"/>
      <c r="Q1413" s="44" t="n"/>
      <c r="T1413" s="45" t="n"/>
      <c r="U1413" s="45" t="n"/>
    </row>
    <row r="1414">
      <c r="O1414" s="44" t="n"/>
      <c r="Q1414" s="44" t="n"/>
      <c r="T1414" s="45" t="n"/>
      <c r="U1414" s="45" t="n"/>
    </row>
    <row r="1415">
      <c r="O1415" s="44" t="n"/>
      <c r="Q1415" s="44" t="n"/>
      <c r="T1415" s="45" t="n"/>
      <c r="U1415" s="45" t="n"/>
    </row>
    <row r="1416">
      <c r="O1416" s="44" t="n"/>
      <c r="Q1416" s="44" t="n"/>
      <c r="T1416" s="45" t="n"/>
      <c r="U1416" s="45" t="n"/>
    </row>
    <row r="1417">
      <c r="O1417" s="44" t="n"/>
      <c r="Q1417" s="44" t="n"/>
      <c r="T1417" s="45" t="n"/>
      <c r="U1417" s="45" t="n"/>
    </row>
    <row r="1418">
      <c r="O1418" s="44" t="n"/>
      <c r="Q1418" s="44" t="n"/>
      <c r="T1418" s="45" t="n"/>
      <c r="U1418" s="45" t="n"/>
    </row>
    <row r="1419">
      <c r="O1419" s="44" t="n"/>
      <c r="Q1419" s="44" t="n"/>
      <c r="T1419" s="45" t="n"/>
      <c r="U1419" s="45" t="n"/>
    </row>
    <row r="1420">
      <c r="O1420" s="44" t="n"/>
      <c r="Q1420" s="44" t="n"/>
      <c r="T1420" s="45" t="n"/>
      <c r="U1420" s="45" t="n"/>
    </row>
    <row r="1421">
      <c r="O1421" s="44" t="n"/>
      <c r="Q1421" s="44" t="n"/>
      <c r="T1421" s="45" t="n"/>
      <c r="U1421" s="45" t="n"/>
    </row>
    <row r="1422">
      <c r="O1422" s="44" t="n"/>
      <c r="Q1422" s="44" t="n"/>
      <c r="T1422" s="45" t="n"/>
      <c r="U1422" s="45" t="n"/>
    </row>
    <row r="1423">
      <c r="O1423" s="44" t="n"/>
      <c r="Q1423" s="44" t="n"/>
      <c r="T1423" s="45" t="n"/>
      <c r="U1423" s="45" t="n"/>
    </row>
    <row r="1424">
      <c r="O1424" s="44" t="n"/>
      <c r="Q1424" s="44" t="n"/>
      <c r="T1424" s="45" t="n"/>
      <c r="U1424" s="45" t="n"/>
    </row>
    <row r="1425">
      <c r="O1425" s="44" t="n"/>
      <c r="Q1425" s="44" t="n"/>
      <c r="T1425" s="45" t="n"/>
      <c r="U1425" s="45" t="n"/>
    </row>
    <row r="1426">
      <c r="O1426" s="44" t="n"/>
      <c r="Q1426" s="44" t="n"/>
      <c r="T1426" s="45" t="n"/>
      <c r="U1426" s="45" t="n"/>
    </row>
    <row r="1427">
      <c r="O1427" s="44" t="n"/>
      <c r="Q1427" s="44" t="n"/>
      <c r="T1427" s="45" t="n"/>
      <c r="U1427" s="45" t="n"/>
    </row>
    <row r="1428">
      <c r="O1428" s="44" t="n"/>
      <c r="Q1428" s="44" t="n"/>
      <c r="T1428" s="45" t="n"/>
      <c r="U1428" s="45" t="n"/>
    </row>
    <row r="1429">
      <c r="O1429" s="44" t="n"/>
      <c r="Q1429" s="44" t="n"/>
      <c r="T1429" s="45" t="n"/>
      <c r="U1429" s="45" t="n"/>
    </row>
    <row r="1430">
      <c r="O1430" s="44" t="n"/>
      <c r="Q1430" s="44" t="n"/>
      <c r="T1430" s="45" t="n"/>
      <c r="U1430" s="45" t="n"/>
    </row>
    <row r="1431">
      <c r="O1431" s="44" t="n"/>
      <c r="Q1431" s="44" t="n"/>
      <c r="T1431" s="45" t="n"/>
      <c r="U1431" s="45" t="n"/>
    </row>
    <row r="1432">
      <c r="O1432" s="44" t="n"/>
      <c r="Q1432" s="44" t="n"/>
      <c r="T1432" s="45" t="n"/>
      <c r="U1432" s="45" t="n"/>
    </row>
    <row r="1433">
      <c r="O1433" s="44" t="n"/>
      <c r="Q1433" s="44" t="n"/>
      <c r="T1433" s="45" t="n"/>
      <c r="U1433" s="45" t="n"/>
    </row>
    <row r="1434">
      <c r="O1434" s="44" t="n"/>
      <c r="Q1434" s="44" t="n"/>
      <c r="T1434" s="45" t="n"/>
      <c r="U1434" s="45" t="n"/>
    </row>
    <row r="1435">
      <c r="O1435" s="44" t="n"/>
      <c r="Q1435" s="44" t="n"/>
      <c r="T1435" s="45" t="n"/>
      <c r="U1435" s="45" t="n"/>
    </row>
    <row r="1436">
      <c r="O1436" s="44" t="n"/>
      <c r="Q1436" s="44" t="n"/>
      <c r="T1436" s="45" t="n"/>
      <c r="U1436" s="45" t="n"/>
    </row>
    <row r="1437">
      <c r="O1437" s="44" t="n"/>
      <c r="Q1437" s="44" t="n"/>
      <c r="T1437" s="45" t="n"/>
      <c r="U1437" s="45" t="n"/>
    </row>
    <row r="1438">
      <c r="O1438" s="44" t="n"/>
      <c r="Q1438" s="44" t="n"/>
      <c r="T1438" s="45" t="n"/>
      <c r="U1438" s="45" t="n"/>
    </row>
    <row r="1439">
      <c r="O1439" s="44" t="n"/>
      <c r="Q1439" s="44" t="n"/>
      <c r="T1439" s="45" t="n"/>
      <c r="U1439" s="45" t="n"/>
    </row>
    <row r="1440">
      <c r="O1440" s="44" t="n"/>
      <c r="Q1440" s="44" t="n"/>
      <c r="T1440" s="45" t="n"/>
      <c r="U1440" s="45" t="n"/>
    </row>
    <row r="1441">
      <c r="O1441" s="44" t="n"/>
      <c r="Q1441" s="44" t="n"/>
      <c r="T1441" s="45" t="n"/>
      <c r="U1441" s="45" t="n"/>
    </row>
    <row r="1442">
      <c r="O1442" s="44" t="n"/>
      <c r="Q1442" s="44" t="n"/>
      <c r="T1442" s="45" t="n"/>
      <c r="U1442" s="45" t="n"/>
    </row>
    <row r="1443">
      <c r="O1443" s="44" t="n"/>
      <c r="Q1443" s="44" t="n"/>
      <c r="T1443" s="45" t="n"/>
      <c r="U1443" s="45" t="n"/>
    </row>
    <row r="1444">
      <c r="O1444" s="44" t="n"/>
      <c r="Q1444" s="44" t="n"/>
      <c r="T1444" s="45" t="n"/>
      <c r="U1444" s="45" t="n"/>
    </row>
    <row r="1445">
      <c r="O1445" s="44" t="n"/>
      <c r="Q1445" s="44" t="n"/>
      <c r="T1445" s="45" t="n"/>
      <c r="U1445" s="45" t="n"/>
    </row>
    <row r="1446">
      <c r="O1446" s="44" t="n"/>
      <c r="Q1446" s="44" t="n"/>
      <c r="T1446" s="45" t="n"/>
      <c r="U1446" s="45" t="n"/>
    </row>
    <row r="1447">
      <c r="O1447" s="44" t="n"/>
      <c r="Q1447" s="44" t="n"/>
      <c r="T1447" s="45" t="n"/>
      <c r="U1447" s="45" t="n"/>
    </row>
    <row r="1448">
      <c r="O1448" s="44" t="n"/>
      <c r="Q1448" s="44" t="n"/>
      <c r="T1448" s="45" t="n"/>
      <c r="U1448" s="45" t="n"/>
    </row>
    <row r="1449">
      <c r="O1449" s="44" t="n"/>
      <c r="Q1449" s="44" t="n"/>
      <c r="T1449" s="45" t="n"/>
      <c r="U1449" s="45" t="n"/>
    </row>
    <row r="1450">
      <c r="O1450" s="44" t="n"/>
      <c r="Q1450" s="44" t="n"/>
      <c r="T1450" s="45" t="n"/>
      <c r="U1450" s="45" t="n"/>
    </row>
    <row r="1451">
      <c r="O1451" s="44" t="n"/>
      <c r="Q1451" s="44" t="n"/>
      <c r="T1451" s="45" t="n"/>
      <c r="U1451" s="45" t="n"/>
    </row>
    <row r="1452">
      <c r="O1452" s="44" t="n"/>
      <c r="Q1452" s="44" t="n"/>
      <c r="T1452" s="45" t="n"/>
      <c r="U1452" s="45" t="n"/>
    </row>
    <row r="1453">
      <c r="O1453" s="44" t="n"/>
      <c r="Q1453" s="44" t="n"/>
      <c r="T1453" s="45" t="n"/>
      <c r="U1453" s="45" t="n"/>
    </row>
    <row r="1454">
      <c r="O1454" s="44" t="n"/>
      <c r="Q1454" s="44" t="n"/>
      <c r="T1454" s="45" t="n"/>
      <c r="U1454" s="45" t="n"/>
    </row>
    <row r="1455">
      <c r="O1455" s="44" t="n"/>
      <c r="Q1455" s="44" t="n"/>
      <c r="T1455" s="45" t="n"/>
      <c r="U1455" s="45" t="n"/>
    </row>
    <row r="1456">
      <c r="O1456" s="44" t="n"/>
      <c r="Q1456" s="44" t="n"/>
      <c r="T1456" s="45" t="n"/>
      <c r="U1456" s="45" t="n"/>
    </row>
    <row r="1457">
      <c r="O1457" s="44" t="n"/>
      <c r="Q1457" s="44" t="n"/>
      <c r="T1457" s="45" t="n"/>
      <c r="U1457" s="45" t="n"/>
    </row>
    <row r="1458">
      <c r="O1458" s="44" t="n"/>
      <c r="Q1458" s="44" t="n"/>
      <c r="T1458" s="45" t="n"/>
      <c r="U1458" s="45" t="n"/>
    </row>
    <row r="1459">
      <c r="O1459" s="44" t="n"/>
      <c r="Q1459" s="44" t="n"/>
      <c r="T1459" s="45" t="n"/>
      <c r="U1459" s="45" t="n"/>
    </row>
    <row r="1460">
      <c r="O1460" s="44" t="n"/>
      <c r="Q1460" s="44" t="n"/>
      <c r="T1460" s="45" t="n"/>
      <c r="U1460" s="45" t="n"/>
    </row>
    <row r="1461">
      <c r="O1461" s="44" t="n"/>
      <c r="Q1461" s="44" t="n"/>
      <c r="T1461" s="45" t="n"/>
      <c r="U1461" s="45" t="n"/>
    </row>
    <row r="1462">
      <c r="O1462" s="44" t="n"/>
      <c r="Q1462" s="44" t="n"/>
      <c r="T1462" s="45" t="n"/>
      <c r="U1462" s="45" t="n"/>
    </row>
    <row r="1463">
      <c r="O1463" s="44" t="n"/>
      <c r="Q1463" s="44" t="n"/>
      <c r="T1463" s="45" t="n"/>
      <c r="U1463" s="45" t="n"/>
    </row>
    <row r="1464">
      <c r="O1464" s="44" t="n"/>
      <c r="Q1464" s="44" t="n"/>
      <c r="T1464" s="45" t="n"/>
      <c r="U1464" s="45" t="n"/>
    </row>
    <row r="1465">
      <c r="O1465" s="44" t="n"/>
      <c r="Q1465" s="44" t="n"/>
      <c r="T1465" s="45" t="n"/>
      <c r="U1465" s="45" t="n"/>
    </row>
    <row r="1466">
      <c r="O1466" s="44" t="n"/>
      <c r="Q1466" s="44" t="n"/>
      <c r="T1466" s="45" t="n"/>
      <c r="U1466" s="45" t="n"/>
    </row>
    <row r="1467">
      <c r="O1467" s="44" t="n"/>
      <c r="Q1467" s="44" t="n"/>
      <c r="T1467" s="45" t="n"/>
      <c r="U1467" s="45" t="n"/>
    </row>
    <row r="1468">
      <c r="O1468" s="44" t="n"/>
      <c r="Q1468" s="44" t="n"/>
      <c r="T1468" s="45" t="n"/>
      <c r="U1468" s="45" t="n"/>
    </row>
    <row r="1469">
      <c r="O1469" s="44" t="n"/>
      <c r="Q1469" s="44" t="n"/>
      <c r="T1469" s="45" t="n"/>
      <c r="U1469" s="45" t="n"/>
    </row>
    <row r="1470">
      <c r="O1470" s="44" t="n"/>
      <c r="Q1470" s="44" t="n"/>
      <c r="T1470" s="45" t="n"/>
      <c r="U1470" s="45" t="n"/>
    </row>
    <row r="1471">
      <c r="O1471" s="44" t="n"/>
      <c r="Q1471" s="44" t="n"/>
      <c r="T1471" s="45" t="n"/>
      <c r="U1471" s="45" t="n"/>
    </row>
    <row r="1472">
      <c r="O1472" s="44" t="n"/>
      <c r="Q1472" s="44" t="n"/>
      <c r="T1472" s="45" t="n"/>
      <c r="U1472" s="45" t="n"/>
    </row>
    <row r="1473">
      <c r="O1473" s="44" t="n"/>
      <c r="Q1473" s="44" t="n"/>
      <c r="T1473" s="45" t="n"/>
      <c r="U1473" s="45" t="n"/>
    </row>
    <row r="1474">
      <c r="O1474" s="44" t="n"/>
      <c r="Q1474" s="44" t="n"/>
      <c r="T1474" s="45" t="n"/>
      <c r="U1474" s="45" t="n"/>
    </row>
    <row r="1475">
      <c r="O1475" s="44" t="n"/>
      <c r="Q1475" s="44" t="n"/>
      <c r="T1475" s="45" t="n"/>
      <c r="U1475" s="45" t="n"/>
    </row>
    <row r="1476">
      <c r="O1476" s="44" t="n"/>
      <c r="Q1476" s="44" t="n"/>
      <c r="T1476" s="45" t="n"/>
      <c r="U1476" s="45" t="n"/>
    </row>
    <row r="1477">
      <c r="O1477" s="44" t="n"/>
      <c r="Q1477" s="44" t="n"/>
      <c r="T1477" s="45" t="n"/>
      <c r="U1477" s="45" t="n"/>
    </row>
    <row r="1478">
      <c r="O1478" s="44" t="n"/>
      <c r="Q1478" s="44" t="n"/>
      <c r="T1478" s="45" t="n"/>
      <c r="U1478" s="45" t="n"/>
    </row>
    <row r="1479">
      <c r="O1479" s="44" t="n"/>
      <c r="Q1479" s="44" t="n"/>
      <c r="T1479" s="45" t="n"/>
      <c r="U1479" s="45" t="n"/>
    </row>
    <row r="1480">
      <c r="O1480" s="44" t="n"/>
      <c r="Q1480" s="44" t="n"/>
      <c r="T1480" s="45" t="n"/>
      <c r="U1480" s="45" t="n"/>
    </row>
    <row r="1481">
      <c r="O1481" s="44" t="n"/>
      <c r="Q1481" s="44" t="n"/>
      <c r="T1481" s="45" t="n"/>
      <c r="U1481" s="45" t="n"/>
    </row>
    <row r="1482">
      <c r="O1482" s="44" t="n"/>
      <c r="Q1482" s="44" t="n"/>
      <c r="T1482" s="45" t="n"/>
      <c r="U1482" s="45" t="n"/>
    </row>
    <row r="1483">
      <c r="O1483" s="44" t="n"/>
      <c r="Q1483" s="44" t="n"/>
      <c r="T1483" s="45" t="n"/>
      <c r="U1483" s="45" t="n"/>
    </row>
    <row r="1484">
      <c r="O1484" s="44" t="n"/>
      <c r="Q1484" s="44" t="n"/>
      <c r="T1484" s="45" t="n"/>
      <c r="U1484" s="45" t="n"/>
    </row>
    <row r="1485">
      <c r="O1485" s="44" t="n"/>
      <c r="Q1485" s="44" t="n"/>
      <c r="T1485" s="45" t="n"/>
      <c r="U1485" s="45" t="n"/>
    </row>
    <row r="1486">
      <c r="O1486" s="44" t="n"/>
      <c r="Q1486" s="44" t="n"/>
      <c r="T1486" s="45" t="n"/>
      <c r="U1486" s="45" t="n"/>
    </row>
    <row r="1487">
      <c r="O1487" s="44" t="n"/>
      <c r="Q1487" s="44" t="n"/>
      <c r="T1487" s="45" t="n"/>
      <c r="U1487" s="45" t="n"/>
    </row>
    <row r="1488">
      <c r="O1488" s="44" t="n"/>
      <c r="Q1488" s="44" t="n"/>
      <c r="T1488" s="45" t="n"/>
      <c r="U1488" s="45" t="n"/>
    </row>
    <row r="1489">
      <c r="O1489" s="44" t="n"/>
      <c r="Q1489" s="44" t="n"/>
      <c r="T1489" s="45" t="n"/>
      <c r="U1489" s="45" t="n"/>
    </row>
    <row r="1490">
      <c r="O1490" s="44" t="n"/>
      <c r="Q1490" s="44" t="n"/>
      <c r="T1490" s="45" t="n"/>
      <c r="U1490" s="45" t="n"/>
    </row>
    <row r="1491">
      <c r="O1491" s="44" t="n"/>
      <c r="Q1491" s="44" t="n"/>
      <c r="T1491" s="45" t="n"/>
      <c r="U1491" s="45" t="n"/>
    </row>
    <row r="1492">
      <c r="O1492" s="44" t="n"/>
      <c r="Q1492" s="44" t="n"/>
      <c r="T1492" s="45" t="n"/>
      <c r="U1492" s="45" t="n"/>
    </row>
    <row r="1493">
      <c r="O1493" s="44" t="n"/>
      <c r="Q1493" s="44" t="n"/>
      <c r="T1493" s="45" t="n"/>
      <c r="U1493" s="45" t="n"/>
    </row>
    <row r="1494">
      <c r="O1494" s="44" t="n"/>
      <c r="Q1494" s="44" t="n"/>
      <c r="T1494" s="45" t="n"/>
      <c r="U1494" s="45" t="n"/>
    </row>
    <row r="1495">
      <c r="O1495" s="44" t="n"/>
      <c r="Q1495" s="44" t="n"/>
      <c r="T1495" s="45" t="n"/>
      <c r="U1495" s="45" t="n"/>
    </row>
    <row r="1496">
      <c r="O1496" s="44" t="n"/>
      <c r="Q1496" s="44" t="n"/>
      <c r="T1496" s="45" t="n"/>
      <c r="U1496" s="45" t="n"/>
    </row>
    <row r="1497">
      <c r="O1497" s="44" t="n"/>
      <c r="Q1497" s="44" t="n"/>
      <c r="T1497" s="45" t="n"/>
      <c r="U1497" s="45" t="n"/>
    </row>
    <row r="1498">
      <c r="O1498" s="44" t="n"/>
      <c r="Q1498" s="44" t="n"/>
      <c r="T1498" s="45" t="n"/>
      <c r="U1498" s="45" t="n"/>
    </row>
    <row r="1499">
      <c r="O1499" s="44" t="n"/>
      <c r="Q1499" s="44" t="n"/>
      <c r="T1499" s="45" t="n"/>
      <c r="U1499" s="45" t="n"/>
    </row>
    <row r="1500">
      <c r="O1500" s="44" t="n"/>
      <c r="Q1500" s="44" t="n"/>
      <c r="T1500" s="45" t="n"/>
      <c r="U1500" s="45" t="n"/>
    </row>
    <row r="1501">
      <c r="O1501" s="44" t="n"/>
      <c r="Q1501" s="44" t="n"/>
      <c r="T1501" s="45" t="n"/>
      <c r="U1501" s="45" t="n"/>
    </row>
    <row r="1502">
      <c r="O1502" s="44" t="n"/>
      <c r="Q1502" s="44" t="n"/>
      <c r="T1502" s="45" t="n"/>
      <c r="U1502" s="45" t="n"/>
    </row>
    <row r="1503">
      <c r="O1503" s="44" t="n"/>
      <c r="Q1503" s="44" t="n"/>
      <c r="T1503" s="45" t="n"/>
      <c r="U1503" s="45" t="n"/>
    </row>
    <row r="1504">
      <c r="O1504" s="44" t="n"/>
      <c r="Q1504" s="44" t="n"/>
      <c r="T1504" s="45" t="n"/>
      <c r="U1504" s="45" t="n"/>
    </row>
    <row r="1505">
      <c r="O1505" s="44" t="n"/>
      <c r="Q1505" s="44" t="n"/>
      <c r="T1505" s="45" t="n"/>
      <c r="U1505" s="45" t="n"/>
    </row>
    <row r="1506">
      <c r="O1506" s="44" t="n"/>
      <c r="Q1506" s="44" t="n"/>
      <c r="T1506" s="45" t="n"/>
      <c r="U1506" s="45" t="n"/>
    </row>
    <row r="1507">
      <c r="O1507" s="44" t="n"/>
      <c r="Q1507" s="44" t="n"/>
      <c r="T1507" s="45" t="n"/>
      <c r="U1507" s="45" t="n"/>
    </row>
    <row r="1508">
      <c r="O1508" s="44" t="n"/>
      <c r="Q1508" s="44" t="n"/>
      <c r="T1508" s="45" t="n"/>
      <c r="U1508" s="45" t="n"/>
    </row>
    <row r="1509">
      <c r="O1509" s="44" t="n"/>
      <c r="Q1509" s="44" t="n"/>
      <c r="T1509" s="45" t="n"/>
      <c r="U1509" s="45" t="n"/>
    </row>
    <row r="1510">
      <c r="O1510" s="44" t="n"/>
      <c r="Q1510" s="44" t="n"/>
      <c r="T1510" s="45" t="n"/>
      <c r="U1510" s="45" t="n"/>
    </row>
    <row r="1511">
      <c r="O1511" s="44" t="n"/>
      <c r="Q1511" s="44" t="n"/>
      <c r="T1511" s="45" t="n"/>
      <c r="U1511" s="45" t="n"/>
    </row>
    <row r="1512">
      <c r="O1512" s="44" t="n"/>
      <c r="Q1512" s="44" t="n"/>
      <c r="T1512" s="45" t="n"/>
      <c r="U1512" s="45" t="n"/>
    </row>
    <row r="1513">
      <c r="O1513" s="44" t="n"/>
      <c r="Q1513" s="44" t="n"/>
      <c r="T1513" s="45" t="n"/>
      <c r="U1513" s="45" t="n"/>
    </row>
    <row r="1514">
      <c r="O1514" s="44" t="n"/>
      <c r="Q1514" s="44" t="n"/>
      <c r="T1514" s="45" t="n"/>
      <c r="U1514" s="45" t="n"/>
    </row>
    <row r="1515">
      <c r="O1515" s="44" t="n"/>
      <c r="Q1515" s="44" t="n"/>
      <c r="T1515" s="45" t="n"/>
      <c r="U1515" s="45" t="n"/>
    </row>
    <row r="1516">
      <c r="O1516" s="44" t="n"/>
      <c r="Q1516" s="44" t="n"/>
      <c r="T1516" s="45" t="n"/>
      <c r="U1516" s="45" t="n"/>
    </row>
    <row r="1517">
      <c r="O1517" s="44" t="n"/>
      <c r="Q1517" s="44" t="n"/>
      <c r="T1517" s="45" t="n"/>
      <c r="U1517" s="45" t="n"/>
    </row>
    <row r="1518">
      <c r="O1518" s="44" t="n"/>
      <c r="Q1518" s="44" t="n"/>
      <c r="T1518" s="45" t="n"/>
      <c r="U1518" s="45" t="n"/>
    </row>
    <row r="1519">
      <c r="O1519" s="44" t="n"/>
      <c r="Q1519" s="44" t="n"/>
      <c r="T1519" s="45" t="n"/>
      <c r="U1519" s="45" t="n"/>
    </row>
    <row r="1520">
      <c r="O1520" s="44" t="n"/>
      <c r="Q1520" s="44" t="n"/>
      <c r="T1520" s="45" t="n"/>
      <c r="U1520" s="45" t="n"/>
    </row>
    <row r="1521">
      <c r="O1521" s="44" t="n"/>
      <c r="Q1521" s="44" t="n"/>
      <c r="T1521" s="45" t="n"/>
      <c r="U1521" s="45" t="n"/>
    </row>
    <row r="1522">
      <c r="O1522" s="44" t="n"/>
      <c r="Q1522" s="44" t="n"/>
      <c r="T1522" s="45" t="n"/>
      <c r="U1522" s="45" t="n"/>
    </row>
    <row r="1523">
      <c r="O1523" s="44" t="n"/>
      <c r="Q1523" s="44" t="n"/>
      <c r="T1523" s="45" t="n"/>
      <c r="U1523" s="45" t="n"/>
    </row>
    <row r="1524">
      <c r="O1524" s="44" t="n"/>
      <c r="Q1524" s="44" t="n"/>
      <c r="T1524" s="45" t="n"/>
      <c r="U1524" s="45" t="n"/>
    </row>
    <row r="1525">
      <c r="O1525" s="44" t="n"/>
      <c r="Q1525" s="44" t="n"/>
      <c r="T1525" s="45" t="n"/>
      <c r="U1525" s="45" t="n"/>
    </row>
    <row r="1526">
      <c r="O1526" s="44" t="n"/>
      <c r="Q1526" s="44" t="n"/>
      <c r="T1526" s="45" t="n"/>
      <c r="U1526" s="45" t="n"/>
    </row>
    <row r="1527">
      <c r="O1527" s="44" t="n"/>
      <c r="Q1527" s="44" t="n"/>
      <c r="T1527" s="45" t="n"/>
      <c r="U1527" s="45" t="n"/>
    </row>
    <row r="1528">
      <c r="O1528" s="44" t="n"/>
      <c r="Q1528" s="44" t="n"/>
      <c r="T1528" s="45" t="n"/>
      <c r="U1528" s="45" t="n"/>
    </row>
    <row r="1529">
      <c r="O1529" s="44" t="n"/>
      <c r="Q1529" s="44" t="n"/>
      <c r="T1529" s="45" t="n"/>
      <c r="U1529" s="45" t="n"/>
    </row>
    <row r="1530">
      <c r="O1530" s="44" t="n"/>
      <c r="Q1530" s="44" t="n"/>
      <c r="T1530" s="45" t="n"/>
      <c r="U1530" s="45" t="n"/>
    </row>
    <row r="1531">
      <c r="O1531" s="44" t="n"/>
      <c r="Q1531" s="44" t="n"/>
      <c r="T1531" s="45" t="n"/>
      <c r="U1531" s="45" t="n"/>
    </row>
    <row r="1532">
      <c r="O1532" s="44" t="n"/>
      <c r="Q1532" s="44" t="n"/>
      <c r="T1532" s="45" t="n"/>
      <c r="U1532" s="45" t="n"/>
    </row>
    <row r="1533">
      <c r="O1533" s="44" t="n"/>
      <c r="Q1533" s="44" t="n"/>
      <c r="T1533" s="45" t="n"/>
      <c r="U1533" s="45" t="n"/>
    </row>
    <row r="1534">
      <c r="O1534" s="44" t="n"/>
      <c r="Q1534" s="44" t="n"/>
      <c r="T1534" s="45" t="n"/>
      <c r="U1534" s="45" t="n"/>
    </row>
    <row r="1535">
      <c r="O1535" s="44" t="n"/>
      <c r="Q1535" s="44" t="n"/>
      <c r="T1535" s="45" t="n"/>
      <c r="U1535" s="45" t="n"/>
    </row>
    <row r="1536">
      <c r="O1536" s="44" t="n"/>
      <c r="Q1536" s="44" t="n"/>
      <c r="T1536" s="45" t="n"/>
      <c r="U1536" s="45" t="n"/>
    </row>
    <row r="1537">
      <c r="O1537" s="44" t="n"/>
      <c r="Q1537" s="44" t="n"/>
      <c r="T1537" s="45" t="n"/>
      <c r="U1537" s="45" t="n"/>
    </row>
    <row r="1538">
      <c r="O1538" s="44" t="n"/>
      <c r="Q1538" s="44" t="n"/>
      <c r="T1538" s="45" t="n"/>
      <c r="U1538" s="45" t="n"/>
    </row>
    <row r="1539">
      <c r="O1539" s="44" t="n"/>
      <c r="Q1539" s="44" t="n"/>
      <c r="T1539" s="45" t="n"/>
      <c r="U1539" s="45" t="n"/>
    </row>
    <row r="1540">
      <c r="O1540" s="44" t="n"/>
      <c r="Q1540" s="44" t="n"/>
      <c r="T1540" s="45" t="n"/>
      <c r="U1540" s="45" t="n"/>
    </row>
    <row r="1541">
      <c r="O1541" s="44" t="n"/>
      <c r="Q1541" s="44" t="n"/>
      <c r="T1541" s="45" t="n"/>
      <c r="U1541" s="45" t="n"/>
    </row>
    <row r="1542">
      <c r="O1542" s="44" t="n"/>
      <c r="Q1542" s="44" t="n"/>
      <c r="T1542" s="45" t="n"/>
      <c r="U1542" s="45" t="n"/>
    </row>
    <row r="1543">
      <c r="O1543" s="44" t="n"/>
      <c r="Q1543" s="44" t="n"/>
      <c r="T1543" s="45" t="n"/>
      <c r="U1543" s="45" t="n"/>
    </row>
    <row r="1544">
      <c r="O1544" s="44" t="n"/>
      <c r="Q1544" s="44" t="n"/>
      <c r="T1544" s="45" t="n"/>
      <c r="U1544" s="45" t="n"/>
    </row>
    <row r="1545">
      <c r="O1545" s="44" t="n"/>
      <c r="Q1545" s="44" t="n"/>
      <c r="T1545" s="45" t="n"/>
      <c r="U1545" s="45" t="n"/>
    </row>
    <row r="1546">
      <c r="O1546" s="44" t="n"/>
      <c r="Q1546" s="44" t="n"/>
      <c r="T1546" s="45" t="n"/>
      <c r="U1546" s="45" t="n"/>
    </row>
    <row r="1547">
      <c r="O1547" s="44" t="n"/>
      <c r="Q1547" s="44" t="n"/>
      <c r="T1547" s="45" t="n"/>
      <c r="U1547" s="45" t="n"/>
    </row>
    <row r="1548">
      <c r="O1548" s="44" t="n"/>
      <c r="Q1548" s="44" t="n"/>
      <c r="T1548" s="45" t="n"/>
      <c r="U1548" s="45" t="n"/>
    </row>
    <row r="1549">
      <c r="O1549" s="44" t="n"/>
      <c r="Q1549" s="44" t="n"/>
      <c r="T1549" s="45" t="n"/>
      <c r="U1549" s="45" t="n"/>
    </row>
    <row r="1550">
      <c r="O1550" s="44" t="n"/>
      <c r="Q1550" s="44" t="n"/>
      <c r="T1550" s="45" t="n"/>
      <c r="U1550" s="45" t="n"/>
    </row>
    <row r="1551">
      <c r="O1551" s="44" t="n"/>
      <c r="Q1551" s="44" t="n"/>
      <c r="T1551" s="45" t="n"/>
      <c r="U1551" s="45" t="n"/>
    </row>
    <row r="1552">
      <c r="O1552" s="44" t="n"/>
      <c r="Q1552" s="44" t="n"/>
      <c r="T1552" s="45" t="n"/>
      <c r="U1552" s="45" t="n"/>
    </row>
    <row r="1553">
      <c r="O1553" s="44" t="n"/>
      <c r="Q1553" s="44" t="n"/>
      <c r="T1553" s="45" t="n"/>
      <c r="U1553" s="45" t="n"/>
    </row>
    <row r="1554">
      <c r="O1554" s="44" t="n"/>
      <c r="Q1554" s="44" t="n"/>
      <c r="T1554" s="45" t="n"/>
      <c r="U1554" s="45" t="n"/>
    </row>
    <row r="1555">
      <c r="O1555" s="44" t="n"/>
      <c r="Q1555" s="44" t="n"/>
      <c r="T1555" s="45" t="n"/>
      <c r="U1555" s="45" t="n"/>
    </row>
    <row r="1556">
      <c r="O1556" s="44" t="n"/>
      <c r="Q1556" s="44" t="n"/>
      <c r="T1556" s="45" t="n"/>
      <c r="U1556" s="45" t="n"/>
    </row>
    <row r="1557">
      <c r="O1557" s="44" t="n"/>
      <c r="Q1557" s="44" t="n"/>
      <c r="T1557" s="45" t="n"/>
      <c r="U1557" s="45" t="n"/>
    </row>
    <row r="1558">
      <c r="O1558" s="44" t="n"/>
      <c r="Q1558" s="44" t="n"/>
      <c r="T1558" s="45" t="n"/>
      <c r="U1558" s="45" t="n"/>
    </row>
    <row r="1559">
      <c r="O1559" s="44" t="n"/>
      <c r="Q1559" s="44" t="n"/>
      <c r="T1559" s="45" t="n"/>
      <c r="U1559" s="45" t="n"/>
    </row>
    <row r="1560">
      <c r="O1560" s="44" t="n"/>
      <c r="Q1560" s="44" t="n"/>
      <c r="T1560" s="45" t="n"/>
      <c r="U1560" s="45" t="n"/>
    </row>
    <row r="1561">
      <c r="O1561" s="44" t="n"/>
      <c r="Q1561" s="44" t="n"/>
      <c r="T1561" s="45" t="n"/>
      <c r="U1561" s="45" t="n"/>
    </row>
    <row r="1562">
      <c r="O1562" s="44" t="n"/>
      <c r="Q1562" s="44" t="n"/>
      <c r="T1562" s="45" t="n"/>
      <c r="U1562" s="45" t="n"/>
    </row>
    <row r="1563">
      <c r="O1563" s="44" t="n"/>
      <c r="Q1563" s="44" t="n"/>
      <c r="T1563" s="45" t="n"/>
      <c r="U1563" s="45" t="n"/>
    </row>
    <row r="1564">
      <c r="O1564" s="44" t="n"/>
      <c r="Q1564" s="44" t="n"/>
      <c r="T1564" s="45" t="n"/>
      <c r="U1564" s="45" t="n"/>
    </row>
    <row r="1565">
      <c r="O1565" s="44" t="n"/>
      <c r="Q1565" s="44" t="n"/>
      <c r="T1565" s="45" t="n"/>
      <c r="U1565" s="45" t="n"/>
    </row>
    <row r="1566">
      <c r="O1566" s="44" t="n"/>
      <c r="Q1566" s="44" t="n"/>
      <c r="T1566" s="45" t="n"/>
      <c r="U1566" s="45" t="n"/>
    </row>
    <row r="1567">
      <c r="O1567" s="44" t="n"/>
      <c r="Q1567" s="44" t="n"/>
      <c r="T1567" s="45" t="n"/>
      <c r="U1567" s="45" t="n"/>
    </row>
    <row r="1568">
      <c r="O1568" s="44" t="n"/>
      <c r="Q1568" s="44" t="n"/>
      <c r="T1568" s="45" t="n"/>
      <c r="U1568" s="45" t="n"/>
    </row>
    <row r="1569">
      <c r="O1569" s="44" t="n"/>
      <c r="Q1569" s="44" t="n"/>
      <c r="T1569" s="45" t="n"/>
      <c r="U1569" s="45" t="n"/>
    </row>
    <row r="1570">
      <c r="O1570" s="44" t="n"/>
      <c r="Q1570" s="44" t="n"/>
      <c r="T1570" s="45" t="n"/>
      <c r="U1570" s="45" t="n"/>
    </row>
    <row r="1571">
      <c r="O1571" s="44" t="n"/>
      <c r="Q1571" s="44" t="n"/>
      <c r="T1571" s="45" t="n"/>
      <c r="U1571" s="45" t="n"/>
    </row>
    <row r="1572">
      <c r="O1572" s="44" t="n"/>
      <c r="Q1572" s="44" t="n"/>
      <c r="T1572" s="45" t="n"/>
      <c r="U1572" s="45" t="n"/>
    </row>
    <row r="1573">
      <c r="O1573" s="44" t="n"/>
      <c r="Q1573" s="44" t="n"/>
      <c r="T1573" s="45" t="n"/>
      <c r="U1573" s="45" t="n"/>
    </row>
    <row r="1574">
      <c r="O1574" s="44" t="n"/>
      <c r="Q1574" s="44" t="n"/>
      <c r="T1574" s="45" t="n"/>
      <c r="U1574" s="45" t="n"/>
    </row>
    <row r="1575">
      <c r="O1575" s="44" t="n"/>
      <c r="Q1575" s="44" t="n"/>
      <c r="T1575" s="45" t="n"/>
      <c r="U1575" s="45" t="n"/>
    </row>
    <row r="1576">
      <c r="O1576" s="44" t="n"/>
      <c r="Q1576" s="44" t="n"/>
      <c r="T1576" s="45" t="n"/>
      <c r="U1576" s="45" t="n"/>
    </row>
    <row r="1577">
      <c r="O1577" s="44" t="n"/>
      <c r="Q1577" s="44" t="n"/>
      <c r="T1577" s="45" t="n"/>
      <c r="U1577" s="45" t="n"/>
    </row>
    <row r="1578">
      <c r="O1578" s="44" t="n"/>
      <c r="Q1578" s="44" t="n"/>
      <c r="T1578" s="45" t="n"/>
      <c r="U1578" s="45" t="n"/>
    </row>
    <row r="1579">
      <c r="O1579" s="44" t="n"/>
      <c r="Q1579" s="44" t="n"/>
      <c r="T1579" s="45" t="n"/>
      <c r="U1579" s="45" t="n"/>
    </row>
    <row r="1580">
      <c r="O1580" s="44" t="n"/>
      <c r="Q1580" s="44" t="n"/>
      <c r="T1580" s="45" t="n"/>
      <c r="U1580" s="45" t="n"/>
    </row>
    <row r="1581">
      <c r="O1581" s="44" t="n"/>
      <c r="Q1581" s="44" t="n"/>
      <c r="T1581" s="45" t="n"/>
      <c r="U1581" s="45" t="n"/>
    </row>
    <row r="1582">
      <c r="O1582" s="44" t="n"/>
      <c r="Q1582" s="44" t="n"/>
      <c r="T1582" s="45" t="n"/>
      <c r="U1582" s="45" t="n"/>
    </row>
    <row r="1583">
      <c r="O1583" s="44" t="n"/>
      <c r="Q1583" s="44" t="n"/>
      <c r="T1583" s="45" t="n"/>
      <c r="U1583" s="45" t="n"/>
    </row>
    <row r="1584">
      <c r="O1584" s="44" t="n"/>
      <c r="Q1584" s="44" t="n"/>
      <c r="T1584" s="45" t="n"/>
      <c r="U1584" s="45" t="n"/>
    </row>
    <row r="1585">
      <c r="O1585" s="44" t="n"/>
      <c r="Q1585" s="44" t="n"/>
      <c r="T1585" s="45" t="n"/>
      <c r="U1585" s="45" t="n"/>
    </row>
    <row r="1586">
      <c r="O1586" s="44" t="n"/>
      <c r="Q1586" s="44" t="n"/>
      <c r="T1586" s="45" t="n"/>
      <c r="U1586" s="45" t="n"/>
    </row>
    <row r="1587">
      <c r="O1587" s="44" t="n"/>
      <c r="Q1587" s="44" t="n"/>
      <c r="T1587" s="45" t="n"/>
      <c r="U1587" s="45" t="n"/>
    </row>
    <row r="1588">
      <c r="O1588" s="44" t="n"/>
      <c r="Q1588" s="44" t="n"/>
      <c r="T1588" s="45" t="n"/>
      <c r="U1588" s="45" t="n"/>
    </row>
    <row r="1589">
      <c r="O1589" s="44" t="n"/>
      <c r="Q1589" s="44" t="n"/>
      <c r="T1589" s="45" t="n"/>
      <c r="U1589" s="45" t="n"/>
    </row>
    <row r="1590">
      <c r="O1590" s="44" t="n"/>
      <c r="Q1590" s="44" t="n"/>
      <c r="T1590" s="45" t="n"/>
      <c r="U1590" s="45" t="n"/>
    </row>
    <row r="1591">
      <c r="O1591" s="44" t="n"/>
      <c r="Q1591" s="44" t="n"/>
      <c r="T1591" s="45" t="n"/>
      <c r="U1591" s="45" t="n"/>
    </row>
    <row r="1592">
      <c r="O1592" s="44" t="n"/>
      <c r="Q1592" s="44" t="n"/>
      <c r="T1592" s="45" t="n"/>
      <c r="U1592" s="45" t="n"/>
    </row>
    <row r="1593">
      <c r="O1593" s="44" t="n"/>
      <c r="Q1593" s="44" t="n"/>
      <c r="T1593" s="45" t="n"/>
      <c r="U1593" s="45" t="n"/>
    </row>
    <row r="1594">
      <c r="O1594" s="44" t="n"/>
      <c r="Q1594" s="44" t="n"/>
      <c r="T1594" s="45" t="n"/>
      <c r="U1594" s="45" t="n"/>
    </row>
    <row r="1595">
      <c r="O1595" s="44" t="n"/>
      <c r="Q1595" s="44" t="n"/>
      <c r="T1595" s="45" t="n"/>
      <c r="U1595" s="45" t="n"/>
    </row>
    <row r="1596">
      <c r="O1596" s="44" t="n"/>
      <c r="Q1596" s="44" t="n"/>
      <c r="T1596" s="45" t="n"/>
      <c r="U1596" s="45" t="n"/>
    </row>
    <row r="1597">
      <c r="O1597" s="44" t="n"/>
      <c r="Q1597" s="44" t="n"/>
      <c r="T1597" s="45" t="n"/>
      <c r="U1597" s="45" t="n"/>
    </row>
    <row r="1598">
      <c r="O1598" s="44" t="n"/>
      <c r="Q1598" s="44" t="n"/>
      <c r="T1598" s="45" t="n"/>
      <c r="U1598" s="45" t="n"/>
    </row>
    <row r="1599">
      <c r="O1599" s="44" t="n"/>
      <c r="Q1599" s="44" t="n"/>
      <c r="T1599" s="45" t="n"/>
      <c r="U1599" s="45" t="n"/>
    </row>
    <row r="1600">
      <c r="O1600" s="44" t="n"/>
      <c r="Q1600" s="44" t="n"/>
      <c r="T1600" s="45" t="n"/>
      <c r="U1600" s="45" t="n"/>
    </row>
    <row r="1601">
      <c r="O1601" s="44" t="n"/>
      <c r="Q1601" s="44" t="n"/>
      <c r="T1601" s="45" t="n"/>
      <c r="U1601" s="45" t="n"/>
    </row>
    <row r="1602">
      <c r="O1602" s="44" t="n"/>
      <c r="Q1602" s="44" t="n"/>
      <c r="T1602" s="45" t="n"/>
      <c r="U1602" s="45" t="n"/>
    </row>
    <row r="1603">
      <c r="O1603" s="44" t="n"/>
      <c r="Q1603" s="44" t="n"/>
      <c r="T1603" s="45" t="n"/>
      <c r="U1603" s="45" t="n"/>
    </row>
    <row r="1604">
      <c r="O1604" s="44" t="n"/>
      <c r="Q1604" s="44" t="n"/>
      <c r="T1604" s="45" t="n"/>
      <c r="U1604" s="45" t="n"/>
    </row>
    <row r="1605">
      <c r="O1605" s="44" t="n"/>
      <c r="Q1605" s="44" t="n"/>
      <c r="T1605" s="45" t="n"/>
      <c r="U1605" s="45" t="n"/>
    </row>
    <row r="1606">
      <c r="O1606" s="44" t="n"/>
      <c r="Q1606" s="44" t="n"/>
      <c r="T1606" s="45" t="n"/>
      <c r="U1606" s="45" t="n"/>
    </row>
    <row r="1607">
      <c r="O1607" s="44" t="n"/>
      <c r="Q1607" s="44" t="n"/>
      <c r="T1607" s="45" t="n"/>
      <c r="U1607" s="45" t="n"/>
    </row>
    <row r="1608">
      <c r="O1608" s="44" t="n"/>
      <c r="Q1608" s="44" t="n"/>
      <c r="T1608" s="45" t="n"/>
      <c r="U1608" s="45" t="n"/>
    </row>
    <row r="1609">
      <c r="O1609" s="44" t="n"/>
      <c r="Q1609" s="44" t="n"/>
      <c r="T1609" s="45" t="n"/>
      <c r="U1609" s="45" t="n"/>
    </row>
    <row r="1610">
      <c r="O1610" s="44" t="n"/>
      <c r="Q1610" s="44" t="n"/>
      <c r="T1610" s="45" t="n"/>
      <c r="U1610" s="45" t="n"/>
    </row>
    <row r="1611">
      <c r="O1611" s="44" t="n"/>
      <c r="Q1611" s="44" t="n"/>
      <c r="T1611" s="45" t="n"/>
      <c r="U1611" s="45" t="n"/>
    </row>
    <row r="1612">
      <c r="O1612" s="44" t="n"/>
      <c r="Q1612" s="44" t="n"/>
      <c r="T1612" s="45" t="n"/>
      <c r="U1612" s="45" t="n"/>
    </row>
    <row r="1613">
      <c r="O1613" s="44" t="n"/>
      <c r="Q1613" s="44" t="n"/>
      <c r="T1613" s="45" t="n"/>
      <c r="U1613" s="45" t="n"/>
    </row>
    <row r="1614">
      <c r="O1614" s="44" t="n"/>
      <c r="Q1614" s="44" t="n"/>
      <c r="T1614" s="45" t="n"/>
      <c r="U1614" s="45" t="n"/>
    </row>
    <row r="1615">
      <c r="O1615" s="44" t="n"/>
      <c r="Q1615" s="44" t="n"/>
      <c r="T1615" s="45" t="n"/>
      <c r="U1615" s="45" t="n"/>
    </row>
    <row r="1616">
      <c r="O1616" s="44" t="n"/>
      <c r="Q1616" s="44" t="n"/>
      <c r="T1616" s="45" t="n"/>
      <c r="U1616" s="45" t="n"/>
    </row>
    <row r="1617">
      <c r="O1617" s="44" t="n"/>
      <c r="Q1617" s="44" t="n"/>
      <c r="T1617" s="45" t="n"/>
      <c r="U1617" s="45" t="n"/>
    </row>
    <row r="1618">
      <c r="O1618" s="44" t="n"/>
      <c r="Q1618" s="44" t="n"/>
      <c r="T1618" s="45" t="n"/>
      <c r="U1618" s="45" t="n"/>
    </row>
    <row r="1619">
      <c r="O1619" s="44" t="n"/>
      <c r="Q1619" s="44" t="n"/>
      <c r="T1619" s="45" t="n"/>
      <c r="U1619" s="45" t="n"/>
    </row>
    <row r="1620">
      <c r="O1620" s="44" t="n"/>
      <c r="Q1620" s="44" t="n"/>
      <c r="T1620" s="45" t="n"/>
      <c r="U1620" s="45" t="n"/>
    </row>
    <row r="1621">
      <c r="O1621" s="44" t="n"/>
      <c r="Q1621" s="44" t="n"/>
      <c r="T1621" s="45" t="n"/>
      <c r="U1621" s="45" t="n"/>
    </row>
    <row r="1622">
      <c r="O1622" s="44" t="n"/>
      <c r="Q1622" s="44" t="n"/>
      <c r="T1622" s="45" t="n"/>
      <c r="U1622" s="45" t="n"/>
    </row>
    <row r="1623">
      <c r="O1623" s="44" t="n"/>
      <c r="Q1623" s="44" t="n"/>
      <c r="T1623" s="45" t="n"/>
      <c r="U1623" s="45" t="n"/>
    </row>
    <row r="1624">
      <c r="O1624" s="44" t="n"/>
      <c r="Q1624" s="44" t="n"/>
      <c r="T1624" s="45" t="n"/>
      <c r="U1624" s="45" t="n"/>
    </row>
    <row r="1625">
      <c r="O1625" s="44" t="n"/>
      <c r="Q1625" s="44" t="n"/>
      <c r="T1625" s="45" t="n"/>
      <c r="U1625" s="45" t="n"/>
    </row>
    <row r="1626">
      <c r="O1626" s="44" t="n"/>
      <c r="Q1626" s="44" t="n"/>
      <c r="T1626" s="45" t="n"/>
      <c r="U1626" s="45" t="n"/>
    </row>
    <row r="1627">
      <c r="O1627" s="44" t="n"/>
      <c r="Q1627" s="44" t="n"/>
      <c r="T1627" s="45" t="n"/>
      <c r="U1627" s="45" t="n"/>
    </row>
    <row r="1628">
      <c r="O1628" s="44" t="n"/>
      <c r="Q1628" s="44" t="n"/>
      <c r="T1628" s="45" t="n"/>
      <c r="U1628" s="45" t="n"/>
    </row>
    <row r="1629">
      <c r="O1629" s="44" t="n"/>
      <c r="Q1629" s="44" t="n"/>
      <c r="T1629" s="45" t="n"/>
      <c r="U1629" s="45" t="n"/>
    </row>
    <row r="1630">
      <c r="O1630" s="44" t="n"/>
      <c r="Q1630" s="44" t="n"/>
      <c r="T1630" s="45" t="n"/>
      <c r="U1630" s="45" t="n"/>
    </row>
    <row r="1631">
      <c r="O1631" s="44" t="n"/>
      <c r="Q1631" s="44" t="n"/>
      <c r="T1631" s="45" t="n"/>
      <c r="U1631" s="45" t="n"/>
    </row>
    <row r="1632">
      <c r="O1632" s="44" t="n"/>
      <c r="Q1632" s="44" t="n"/>
      <c r="T1632" s="45" t="n"/>
      <c r="U1632" s="45" t="n"/>
    </row>
    <row r="1633">
      <c r="O1633" s="44" t="n"/>
      <c r="Q1633" s="44" t="n"/>
      <c r="T1633" s="45" t="n"/>
      <c r="U1633" s="45" t="n"/>
    </row>
    <row r="1634">
      <c r="O1634" s="44" t="n"/>
      <c r="Q1634" s="44" t="n"/>
      <c r="T1634" s="45" t="n"/>
      <c r="U1634" s="45" t="n"/>
    </row>
    <row r="1635">
      <c r="O1635" s="44" t="n"/>
      <c r="Q1635" s="44" t="n"/>
      <c r="T1635" s="45" t="n"/>
      <c r="U1635" s="45" t="n"/>
    </row>
    <row r="1636">
      <c r="O1636" s="44" t="n"/>
      <c r="Q1636" s="44" t="n"/>
      <c r="T1636" s="45" t="n"/>
      <c r="U1636" s="45" t="n"/>
    </row>
    <row r="1637">
      <c r="O1637" s="44" t="n"/>
      <c r="Q1637" s="44" t="n"/>
      <c r="T1637" s="45" t="n"/>
      <c r="U1637" s="45" t="n"/>
    </row>
    <row r="1638">
      <c r="O1638" s="44" t="n"/>
      <c r="Q1638" s="44" t="n"/>
      <c r="T1638" s="45" t="n"/>
      <c r="U1638" s="45" t="n"/>
    </row>
    <row r="1639">
      <c r="O1639" s="44" t="n"/>
      <c r="Q1639" s="44" t="n"/>
      <c r="T1639" s="45" t="n"/>
      <c r="U1639" s="45" t="n"/>
    </row>
    <row r="1640">
      <c r="O1640" s="44" t="n"/>
      <c r="Q1640" s="44" t="n"/>
      <c r="T1640" s="45" t="n"/>
      <c r="U1640" s="45" t="n"/>
    </row>
    <row r="1641">
      <c r="O1641" s="44" t="n"/>
      <c r="Q1641" s="44" t="n"/>
      <c r="T1641" s="45" t="n"/>
      <c r="U1641" s="45" t="n"/>
    </row>
    <row r="1642">
      <c r="O1642" s="44" t="n"/>
      <c r="Q1642" s="44" t="n"/>
      <c r="T1642" s="45" t="n"/>
      <c r="U1642" s="45" t="n"/>
    </row>
    <row r="1643">
      <c r="O1643" s="44" t="n"/>
      <c r="Q1643" s="44" t="n"/>
      <c r="T1643" s="45" t="n"/>
      <c r="U1643" s="45" t="n"/>
    </row>
    <row r="1644">
      <c r="O1644" s="44" t="n"/>
      <c r="Q1644" s="44" t="n"/>
      <c r="T1644" s="45" t="n"/>
      <c r="U1644" s="45" t="n"/>
    </row>
    <row r="1645">
      <c r="O1645" s="44" t="n"/>
      <c r="Q1645" s="44" t="n"/>
      <c r="T1645" s="45" t="n"/>
      <c r="U1645" s="45" t="n"/>
    </row>
    <row r="1646">
      <c r="O1646" s="44" t="n"/>
      <c r="Q1646" s="44" t="n"/>
      <c r="T1646" s="45" t="n"/>
      <c r="U1646" s="45" t="n"/>
    </row>
    <row r="1647">
      <c r="O1647" s="44" t="n"/>
      <c r="Q1647" s="44" t="n"/>
      <c r="T1647" s="45" t="n"/>
      <c r="U1647" s="45" t="n"/>
    </row>
    <row r="1648">
      <c r="O1648" s="44" t="n"/>
      <c r="Q1648" s="44" t="n"/>
      <c r="T1648" s="45" t="n"/>
      <c r="U1648" s="45" t="n"/>
    </row>
    <row r="1649">
      <c r="O1649" s="44" t="n"/>
      <c r="Q1649" s="44" t="n"/>
      <c r="T1649" s="45" t="n"/>
      <c r="U1649" s="45" t="n"/>
    </row>
    <row r="1650">
      <c r="O1650" s="44" t="n"/>
      <c r="Q1650" s="44" t="n"/>
      <c r="T1650" s="45" t="n"/>
      <c r="U1650" s="45" t="n"/>
    </row>
    <row r="1651">
      <c r="O1651" s="44" t="n"/>
      <c r="Q1651" s="44" t="n"/>
      <c r="T1651" s="45" t="n"/>
      <c r="U1651" s="45" t="n"/>
    </row>
    <row r="1652">
      <c r="O1652" s="44" t="n"/>
      <c r="Q1652" s="44" t="n"/>
      <c r="T1652" s="45" t="n"/>
      <c r="U1652" s="45" t="n"/>
    </row>
    <row r="1653">
      <c r="O1653" s="44" t="n"/>
      <c r="Q1653" s="44" t="n"/>
      <c r="T1653" s="45" t="n"/>
      <c r="U1653" s="45" t="n"/>
    </row>
    <row r="1654">
      <c r="O1654" s="44" t="n"/>
      <c r="Q1654" s="44" t="n"/>
      <c r="T1654" s="45" t="n"/>
      <c r="U1654" s="45" t="n"/>
    </row>
    <row r="1655">
      <c r="O1655" s="44" t="n"/>
      <c r="Q1655" s="44" t="n"/>
      <c r="T1655" s="45" t="n"/>
      <c r="U1655" s="45" t="n"/>
    </row>
    <row r="1656">
      <c r="O1656" s="44" t="n"/>
      <c r="Q1656" s="44" t="n"/>
      <c r="T1656" s="45" t="n"/>
      <c r="U1656" s="45" t="n"/>
    </row>
    <row r="1657">
      <c r="O1657" s="44" t="n"/>
      <c r="Q1657" s="44" t="n"/>
      <c r="T1657" s="45" t="n"/>
      <c r="U1657" s="45" t="n"/>
    </row>
    <row r="1658">
      <c r="O1658" s="44" t="n"/>
      <c r="Q1658" s="44" t="n"/>
      <c r="T1658" s="45" t="n"/>
      <c r="U1658" s="45" t="n"/>
    </row>
    <row r="1659">
      <c r="O1659" s="44" t="n"/>
      <c r="Q1659" s="44" t="n"/>
      <c r="T1659" s="45" t="n"/>
      <c r="U1659" s="45" t="n"/>
    </row>
    <row r="1660">
      <c r="O1660" s="44" t="n"/>
      <c r="Q1660" s="44" t="n"/>
      <c r="T1660" s="45" t="n"/>
      <c r="U1660" s="45" t="n"/>
    </row>
    <row r="1661">
      <c r="O1661" s="44" t="n"/>
      <c r="Q1661" s="44" t="n"/>
      <c r="T1661" s="45" t="n"/>
      <c r="U1661" s="45" t="n"/>
    </row>
    <row r="1662">
      <c r="O1662" s="44" t="n"/>
      <c r="Q1662" s="44" t="n"/>
      <c r="T1662" s="45" t="n"/>
      <c r="U1662" s="45" t="n"/>
    </row>
    <row r="1663">
      <c r="O1663" s="44" t="n"/>
      <c r="Q1663" s="44" t="n"/>
      <c r="T1663" s="45" t="n"/>
      <c r="U1663" s="45" t="n"/>
    </row>
    <row r="1664">
      <c r="O1664" s="44" t="n"/>
      <c r="Q1664" s="44" t="n"/>
      <c r="T1664" s="45" t="n"/>
      <c r="U1664" s="45" t="n"/>
    </row>
    <row r="1665">
      <c r="O1665" s="44" t="n"/>
      <c r="Q1665" s="44" t="n"/>
      <c r="T1665" s="45" t="n"/>
      <c r="U1665" s="45" t="n"/>
    </row>
    <row r="1666">
      <c r="O1666" s="44" t="n"/>
      <c r="Q1666" s="44" t="n"/>
      <c r="T1666" s="45" t="n"/>
      <c r="U1666" s="45" t="n"/>
    </row>
    <row r="1667">
      <c r="O1667" s="44" t="n"/>
      <c r="Q1667" s="44" t="n"/>
      <c r="T1667" s="45" t="n"/>
      <c r="U1667" s="45" t="n"/>
    </row>
    <row r="1668">
      <c r="O1668" s="44" t="n"/>
      <c r="Q1668" s="44" t="n"/>
      <c r="T1668" s="45" t="n"/>
      <c r="U1668" s="45" t="n"/>
    </row>
    <row r="1669">
      <c r="O1669" s="44" t="n"/>
      <c r="Q1669" s="44" t="n"/>
      <c r="T1669" s="45" t="n"/>
      <c r="U1669" s="45" t="n"/>
    </row>
    <row r="1670">
      <c r="O1670" s="44" t="n"/>
      <c r="Q1670" s="44" t="n"/>
      <c r="T1670" s="45" t="n"/>
      <c r="U1670" s="45" t="n"/>
    </row>
    <row r="1671">
      <c r="O1671" s="44" t="n"/>
      <c r="Q1671" s="44" t="n"/>
      <c r="T1671" s="45" t="n"/>
      <c r="U1671" s="45" t="n"/>
    </row>
    <row r="1672">
      <c r="O1672" s="44" t="n"/>
      <c r="Q1672" s="44" t="n"/>
      <c r="T1672" s="45" t="n"/>
      <c r="U1672" s="45" t="n"/>
    </row>
    <row r="1673">
      <c r="O1673" s="44" t="n"/>
      <c r="Q1673" s="44" t="n"/>
      <c r="T1673" s="45" t="n"/>
      <c r="U1673" s="45" t="n"/>
    </row>
    <row r="1674">
      <c r="O1674" s="44" t="n"/>
      <c r="Q1674" s="44" t="n"/>
      <c r="T1674" s="45" t="n"/>
      <c r="U1674" s="45" t="n"/>
    </row>
    <row r="1675">
      <c r="O1675" s="44" t="n"/>
      <c r="Q1675" s="44" t="n"/>
      <c r="T1675" s="45" t="n"/>
      <c r="U1675" s="45" t="n"/>
    </row>
    <row r="1676">
      <c r="O1676" s="44" t="n"/>
      <c r="Q1676" s="44" t="n"/>
      <c r="T1676" s="45" t="n"/>
      <c r="U1676" s="45" t="n"/>
    </row>
    <row r="1677">
      <c r="O1677" s="44" t="n"/>
      <c r="Q1677" s="44" t="n"/>
      <c r="T1677" s="45" t="n"/>
      <c r="U1677" s="45" t="n"/>
    </row>
    <row r="1678">
      <c r="O1678" s="44" t="n"/>
      <c r="Q1678" s="44" t="n"/>
      <c r="T1678" s="45" t="n"/>
      <c r="U1678" s="45" t="n"/>
    </row>
    <row r="1679">
      <c r="O1679" s="44" t="n"/>
      <c r="Q1679" s="44" t="n"/>
      <c r="T1679" s="45" t="n"/>
      <c r="U1679" s="45" t="n"/>
    </row>
    <row r="1680">
      <c r="O1680" s="44" t="n"/>
      <c r="Q1680" s="44" t="n"/>
      <c r="T1680" s="45" t="n"/>
      <c r="U1680" s="45" t="n"/>
    </row>
    <row r="1681">
      <c r="O1681" s="44" t="n"/>
      <c r="Q1681" s="44" t="n"/>
      <c r="T1681" s="45" t="n"/>
      <c r="U1681" s="45" t="n"/>
    </row>
    <row r="1682">
      <c r="O1682" s="44" t="n"/>
      <c r="Q1682" s="44" t="n"/>
      <c r="T1682" s="45" t="n"/>
      <c r="U1682" s="45" t="n"/>
    </row>
    <row r="1683">
      <c r="O1683" s="44" t="n"/>
      <c r="Q1683" s="44" t="n"/>
      <c r="T1683" s="45" t="n"/>
      <c r="U1683" s="45" t="n"/>
    </row>
    <row r="1684">
      <c r="O1684" s="44" t="n"/>
      <c r="Q1684" s="44" t="n"/>
      <c r="T1684" s="45" t="n"/>
      <c r="U1684" s="45" t="n"/>
    </row>
    <row r="1685">
      <c r="O1685" s="44" t="n"/>
      <c r="Q1685" s="44" t="n"/>
      <c r="T1685" s="45" t="n"/>
      <c r="U1685" s="45" t="n"/>
    </row>
    <row r="1686">
      <c r="O1686" s="44" t="n"/>
      <c r="Q1686" s="44" t="n"/>
      <c r="T1686" s="45" t="n"/>
      <c r="U1686" s="45" t="n"/>
    </row>
    <row r="1687">
      <c r="O1687" s="44" t="n"/>
      <c r="Q1687" s="44" t="n"/>
      <c r="T1687" s="45" t="n"/>
      <c r="U1687" s="45" t="n"/>
    </row>
    <row r="1688">
      <c r="O1688" s="44" t="n"/>
      <c r="Q1688" s="44" t="n"/>
      <c r="T1688" s="45" t="n"/>
      <c r="U1688" s="45" t="n"/>
    </row>
    <row r="1689">
      <c r="O1689" s="44" t="n"/>
      <c r="Q1689" s="44" t="n"/>
      <c r="T1689" s="45" t="n"/>
      <c r="U1689" s="45" t="n"/>
    </row>
    <row r="1690">
      <c r="O1690" s="44" t="n"/>
      <c r="Q1690" s="44" t="n"/>
      <c r="T1690" s="45" t="n"/>
      <c r="U1690" s="45" t="n"/>
    </row>
    <row r="1691">
      <c r="O1691" s="44" t="n"/>
      <c r="Q1691" s="44" t="n"/>
      <c r="T1691" s="45" t="n"/>
      <c r="U1691" s="45" t="n"/>
    </row>
    <row r="1692">
      <c r="O1692" s="44" t="n"/>
      <c r="Q1692" s="44" t="n"/>
      <c r="T1692" s="45" t="n"/>
      <c r="U1692" s="45" t="n"/>
    </row>
    <row r="1693">
      <c r="O1693" s="44" t="n"/>
      <c r="Q1693" s="44" t="n"/>
      <c r="T1693" s="45" t="n"/>
      <c r="U1693" s="45" t="n"/>
    </row>
    <row r="1694">
      <c r="O1694" s="44" t="n"/>
      <c r="Q1694" s="44" t="n"/>
      <c r="T1694" s="45" t="n"/>
      <c r="U1694" s="45" t="n"/>
    </row>
    <row r="1695">
      <c r="O1695" s="44" t="n"/>
      <c r="Q1695" s="44" t="n"/>
      <c r="T1695" s="45" t="n"/>
      <c r="U1695" s="45" t="n"/>
    </row>
    <row r="1696">
      <c r="O1696" s="44" t="n"/>
      <c r="Q1696" s="44" t="n"/>
      <c r="T1696" s="45" t="n"/>
      <c r="U1696" s="45" t="n"/>
    </row>
    <row r="1697">
      <c r="O1697" s="44" t="n"/>
      <c r="Q1697" s="44" t="n"/>
      <c r="T1697" s="45" t="n"/>
      <c r="U1697" s="45" t="n"/>
    </row>
    <row r="1698">
      <c r="O1698" s="44" t="n"/>
      <c r="Q1698" s="44" t="n"/>
      <c r="T1698" s="45" t="n"/>
      <c r="U1698" s="45" t="n"/>
    </row>
    <row r="1699">
      <c r="O1699" s="44" t="n"/>
      <c r="Q1699" s="44" t="n"/>
      <c r="T1699" s="45" t="n"/>
      <c r="U1699" s="45" t="n"/>
    </row>
    <row r="1700">
      <c r="O1700" s="44" t="n"/>
      <c r="Q1700" s="44" t="n"/>
      <c r="T1700" s="45" t="n"/>
      <c r="U1700" s="45" t="n"/>
    </row>
    <row r="1701">
      <c r="O1701" s="44" t="n"/>
      <c r="Q1701" s="44" t="n"/>
      <c r="T1701" s="45" t="n"/>
      <c r="U1701" s="45" t="n"/>
    </row>
    <row r="1702">
      <c r="O1702" s="44" t="n"/>
      <c r="Q1702" s="44" t="n"/>
      <c r="T1702" s="45" t="n"/>
      <c r="U1702" s="45" t="n"/>
    </row>
    <row r="1703">
      <c r="O1703" s="44" t="n"/>
      <c r="Q1703" s="44" t="n"/>
      <c r="T1703" s="45" t="n"/>
      <c r="U1703" s="45" t="n"/>
    </row>
    <row r="1704">
      <c r="O1704" s="44" t="n"/>
      <c r="Q1704" s="44" t="n"/>
      <c r="T1704" s="45" t="n"/>
      <c r="U1704" s="45" t="n"/>
    </row>
    <row r="1705">
      <c r="O1705" s="44" t="n"/>
      <c r="Q1705" s="44" t="n"/>
      <c r="T1705" s="45" t="n"/>
      <c r="U1705" s="45" t="n"/>
    </row>
    <row r="1706">
      <c r="O1706" s="44" t="n"/>
      <c r="Q1706" s="44" t="n"/>
      <c r="T1706" s="45" t="n"/>
      <c r="U1706" s="45" t="n"/>
    </row>
    <row r="1707">
      <c r="O1707" s="44" t="n"/>
      <c r="Q1707" s="44" t="n"/>
      <c r="T1707" s="45" t="n"/>
      <c r="U1707" s="45" t="n"/>
    </row>
    <row r="1708">
      <c r="O1708" s="44" t="n"/>
      <c r="Q1708" s="44" t="n"/>
      <c r="T1708" s="45" t="n"/>
      <c r="U1708" s="45" t="n"/>
    </row>
    <row r="1709">
      <c r="O1709" s="44" t="n"/>
      <c r="Q1709" s="44" t="n"/>
      <c r="T1709" s="45" t="n"/>
      <c r="U1709" s="45" t="n"/>
    </row>
    <row r="1710">
      <c r="O1710" s="44" t="n"/>
      <c r="Q1710" s="44" t="n"/>
      <c r="T1710" s="45" t="n"/>
      <c r="U1710" s="45" t="n"/>
    </row>
    <row r="1711">
      <c r="O1711" s="44" t="n"/>
      <c r="Q1711" s="44" t="n"/>
      <c r="T1711" s="45" t="n"/>
      <c r="U1711" s="45" t="n"/>
    </row>
    <row r="1712">
      <c r="O1712" s="44" t="n"/>
      <c r="Q1712" s="44" t="n"/>
      <c r="T1712" s="45" t="n"/>
      <c r="U1712" s="45" t="n"/>
    </row>
    <row r="1713">
      <c r="O1713" s="44" t="n"/>
      <c r="Q1713" s="44" t="n"/>
      <c r="T1713" s="45" t="n"/>
      <c r="U1713" s="45" t="n"/>
    </row>
    <row r="1714">
      <c r="O1714" s="44" t="n"/>
      <c r="Q1714" s="44" t="n"/>
      <c r="T1714" s="45" t="n"/>
      <c r="U1714" s="45" t="n"/>
    </row>
    <row r="1715">
      <c r="O1715" s="44" t="n"/>
      <c r="Q1715" s="44" t="n"/>
      <c r="T1715" s="45" t="n"/>
      <c r="U1715" s="45" t="n"/>
    </row>
    <row r="1716">
      <c r="O1716" s="44" t="n"/>
      <c r="Q1716" s="44" t="n"/>
      <c r="T1716" s="45" t="n"/>
      <c r="U1716" s="45" t="n"/>
    </row>
    <row r="1717">
      <c r="O1717" s="44" t="n"/>
      <c r="Q1717" s="44" t="n"/>
      <c r="T1717" s="45" t="n"/>
      <c r="U1717" s="45" t="n"/>
    </row>
    <row r="1718">
      <c r="O1718" s="44" t="n"/>
      <c r="Q1718" s="44" t="n"/>
      <c r="T1718" s="45" t="n"/>
      <c r="U1718" s="45" t="n"/>
    </row>
    <row r="1719">
      <c r="O1719" s="44" t="n"/>
      <c r="Q1719" s="44" t="n"/>
      <c r="T1719" s="45" t="n"/>
      <c r="U1719" s="45" t="n"/>
    </row>
    <row r="1720">
      <c r="O1720" s="44" t="n"/>
      <c r="Q1720" s="44" t="n"/>
      <c r="T1720" s="45" t="n"/>
      <c r="U1720" s="45" t="n"/>
    </row>
    <row r="1721">
      <c r="O1721" s="44" t="n"/>
      <c r="Q1721" s="44" t="n"/>
      <c r="T1721" s="45" t="n"/>
      <c r="U1721" s="45" t="n"/>
    </row>
    <row r="1722">
      <c r="O1722" s="44" t="n"/>
      <c r="Q1722" s="44" t="n"/>
      <c r="T1722" s="45" t="n"/>
      <c r="U1722" s="45" t="n"/>
    </row>
    <row r="1723">
      <c r="O1723" s="44" t="n"/>
      <c r="Q1723" s="44" t="n"/>
      <c r="T1723" s="45" t="n"/>
      <c r="U1723" s="45" t="n"/>
    </row>
    <row r="1724">
      <c r="O1724" s="44" t="n"/>
      <c r="Q1724" s="44" t="n"/>
      <c r="T1724" s="45" t="n"/>
      <c r="U1724" s="45" t="n"/>
    </row>
    <row r="1725">
      <c r="O1725" s="44" t="n"/>
      <c r="Q1725" s="44" t="n"/>
      <c r="T1725" s="45" t="n"/>
      <c r="U1725" s="45" t="n"/>
    </row>
    <row r="1726">
      <c r="O1726" s="44" t="n"/>
      <c r="Q1726" s="44" t="n"/>
      <c r="T1726" s="45" t="n"/>
      <c r="U1726" s="45" t="n"/>
    </row>
    <row r="1727">
      <c r="O1727" s="44" t="n"/>
      <c r="Q1727" s="44" t="n"/>
      <c r="T1727" s="45" t="n"/>
      <c r="U1727" s="45" t="n"/>
    </row>
    <row r="1728">
      <c r="O1728" s="44" t="n"/>
      <c r="Q1728" s="44" t="n"/>
      <c r="T1728" s="45" t="n"/>
      <c r="U1728" s="45" t="n"/>
    </row>
    <row r="1729">
      <c r="O1729" s="44" t="n"/>
      <c r="Q1729" s="44" t="n"/>
      <c r="T1729" s="45" t="n"/>
      <c r="U1729" s="45" t="n"/>
    </row>
    <row r="1730">
      <c r="O1730" s="44" t="n"/>
      <c r="Q1730" s="44" t="n"/>
      <c r="T1730" s="45" t="n"/>
      <c r="U1730" s="45" t="n"/>
    </row>
    <row r="1731">
      <c r="O1731" s="44" t="n"/>
      <c r="Q1731" s="44" t="n"/>
      <c r="T1731" s="45" t="n"/>
      <c r="U1731" s="45" t="n"/>
    </row>
    <row r="1732">
      <c r="O1732" s="44" t="n"/>
      <c r="Q1732" s="44" t="n"/>
      <c r="T1732" s="45" t="n"/>
      <c r="U1732" s="45" t="n"/>
    </row>
    <row r="1733">
      <c r="O1733" s="44" t="n"/>
      <c r="Q1733" s="44" t="n"/>
      <c r="T1733" s="45" t="n"/>
      <c r="U1733" s="45" t="n"/>
    </row>
    <row r="1734">
      <c r="O1734" s="44" t="n"/>
      <c r="Q1734" s="44" t="n"/>
      <c r="T1734" s="45" t="n"/>
      <c r="U1734" s="45" t="n"/>
    </row>
    <row r="1735">
      <c r="O1735" s="44" t="n"/>
      <c r="Q1735" s="44" t="n"/>
      <c r="T1735" s="45" t="n"/>
      <c r="U1735" s="45" t="n"/>
    </row>
    <row r="1736">
      <c r="O1736" s="44" t="n"/>
      <c r="Q1736" s="44" t="n"/>
      <c r="T1736" s="45" t="n"/>
      <c r="U1736" s="45" t="n"/>
    </row>
    <row r="1737">
      <c r="O1737" s="44" t="n"/>
      <c r="Q1737" s="44" t="n"/>
      <c r="T1737" s="45" t="n"/>
      <c r="U1737" s="45" t="n"/>
    </row>
    <row r="1738">
      <c r="O1738" s="44" t="n"/>
      <c r="Q1738" s="44" t="n"/>
      <c r="T1738" s="45" t="n"/>
      <c r="U1738" s="45" t="n"/>
    </row>
    <row r="1739">
      <c r="O1739" s="44" t="n"/>
      <c r="Q1739" s="44" t="n"/>
      <c r="T1739" s="45" t="n"/>
      <c r="U1739" s="45" t="n"/>
    </row>
    <row r="1740">
      <c r="O1740" s="44" t="n"/>
      <c r="Q1740" s="44" t="n"/>
      <c r="T1740" s="45" t="n"/>
      <c r="U1740" s="45" t="n"/>
    </row>
    <row r="1741">
      <c r="O1741" s="44" t="n"/>
      <c r="Q1741" s="44" t="n"/>
      <c r="T1741" s="45" t="n"/>
      <c r="U1741" s="45" t="n"/>
    </row>
    <row r="1742">
      <c r="O1742" s="44" t="n"/>
      <c r="Q1742" s="44" t="n"/>
      <c r="T1742" s="45" t="n"/>
      <c r="U1742" s="45" t="n"/>
    </row>
    <row r="1743">
      <c r="O1743" s="44" t="n"/>
      <c r="Q1743" s="44" t="n"/>
      <c r="T1743" s="45" t="n"/>
      <c r="U1743" s="45" t="n"/>
    </row>
    <row r="1744">
      <c r="O1744" s="44" t="n"/>
      <c r="Q1744" s="44" t="n"/>
      <c r="T1744" s="45" t="n"/>
      <c r="U1744" s="45" t="n"/>
    </row>
    <row r="1745">
      <c r="O1745" s="44" t="n"/>
      <c r="Q1745" s="44" t="n"/>
      <c r="T1745" s="45" t="n"/>
      <c r="U1745" s="45" t="n"/>
    </row>
    <row r="1746">
      <c r="O1746" s="44" t="n"/>
      <c r="Q1746" s="44" t="n"/>
      <c r="T1746" s="45" t="n"/>
      <c r="U1746" s="45" t="n"/>
    </row>
    <row r="1747">
      <c r="O1747" s="44" t="n"/>
      <c r="Q1747" s="44" t="n"/>
      <c r="T1747" s="45" t="n"/>
      <c r="U1747" s="45" t="n"/>
    </row>
    <row r="1748">
      <c r="O1748" s="44" t="n"/>
      <c r="Q1748" s="44" t="n"/>
      <c r="T1748" s="45" t="n"/>
      <c r="U1748" s="45" t="n"/>
    </row>
    <row r="1749">
      <c r="O1749" s="44" t="n"/>
      <c r="Q1749" s="44" t="n"/>
      <c r="T1749" s="45" t="n"/>
      <c r="U1749" s="45" t="n"/>
    </row>
    <row r="1750">
      <c r="O1750" s="44" t="n"/>
      <c r="Q1750" s="44" t="n"/>
      <c r="T1750" s="45" t="n"/>
      <c r="U1750" s="45" t="n"/>
    </row>
    <row r="1751">
      <c r="O1751" s="44" t="n"/>
      <c r="Q1751" s="44" t="n"/>
      <c r="T1751" s="45" t="n"/>
      <c r="U1751" s="45" t="n"/>
    </row>
    <row r="1752">
      <c r="O1752" s="44" t="n"/>
      <c r="Q1752" s="44" t="n"/>
      <c r="T1752" s="45" t="n"/>
      <c r="U1752" s="45" t="n"/>
    </row>
    <row r="1753">
      <c r="O1753" s="44" t="n"/>
      <c r="Q1753" s="44" t="n"/>
      <c r="T1753" s="45" t="n"/>
      <c r="U1753" s="45" t="n"/>
    </row>
    <row r="1754">
      <c r="O1754" s="44" t="n"/>
      <c r="Q1754" s="44" t="n"/>
      <c r="T1754" s="45" t="n"/>
      <c r="U1754" s="45" t="n"/>
    </row>
    <row r="1755">
      <c r="O1755" s="44" t="n"/>
      <c r="Q1755" s="44" t="n"/>
      <c r="T1755" s="45" t="n"/>
      <c r="U1755" s="45" t="n"/>
    </row>
    <row r="1756">
      <c r="O1756" s="44" t="n"/>
      <c r="Q1756" s="44" t="n"/>
      <c r="T1756" s="45" t="n"/>
      <c r="U1756" s="45" t="n"/>
    </row>
    <row r="1757">
      <c r="O1757" s="44" t="n"/>
      <c r="Q1757" s="44" t="n"/>
      <c r="T1757" s="45" t="n"/>
      <c r="U1757" s="45" t="n"/>
    </row>
    <row r="1758">
      <c r="O1758" s="44" t="n"/>
      <c r="Q1758" s="44" t="n"/>
      <c r="T1758" s="45" t="n"/>
      <c r="U1758" s="45" t="n"/>
    </row>
    <row r="1759">
      <c r="O1759" s="44" t="n"/>
      <c r="Q1759" s="44" t="n"/>
      <c r="T1759" s="45" t="n"/>
      <c r="U1759" s="45" t="n"/>
    </row>
    <row r="1760">
      <c r="O1760" s="44" t="n"/>
      <c r="Q1760" s="44" t="n"/>
      <c r="T1760" s="45" t="n"/>
      <c r="U1760" s="45" t="n"/>
    </row>
    <row r="1761">
      <c r="O1761" s="44" t="n"/>
      <c r="Q1761" s="44" t="n"/>
      <c r="T1761" s="45" t="n"/>
      <c r="U1761" s="45" t="n"/>
    </row>
    <row r="1762">
      <c r="O1762" s="44" t="n"/>
      <c r="Q1762" s="44" t="n"/>
      <c r="T1762" s="45" t="n"/>
      <c r="U1762" s="45" t="n"/>
    </row>
    <row r="1763">
      <c r="O1763" s="44" t="n"/>
      <c r="Q1763" s="44" t="n"/>
      <c r="T1763" s="45" t="n"/>
      <c r="U1763" s="45" t="n"/>
    </row>
    <row r="1764">
      <c r="O1764" s="44" t="n"/>
      <c r="Q1764" s="44" t="n"/>
      <c r="T1764" s="45" t="n"/>
      <c r="U1764" s="45" t="n"/>
    </row>
    <row r="1765">
      <c r="O1765" s="44" t="n"/>
      <c r="Q1765" s="44" t="n"/>
      <c r="T1765" s="45" t="n"/>
      <c r="U1765" s="45" t="n"/>
    </row>
    <row r="1766">
      <c r="O1766" s="44" t="n"/>
      <c r="Q1766" s="44" t="n"/>
      <c r="T1766" s="45" t="n"/>
      <c r="U1766" s="45" t="n"/>
    </row>
    <row r="1767">
      <c r="O1767" s="44" t="n"/>
      <c r="Q1767" s="44" t="n"/>
      <c r="T1767" s="45" t="n"/>
      <c r="U1767" s="45" t="n"/>
    </row>
    <row r="1768">
      <c r="O1768" s="44" t="n"/>
      <c r="Q1768" s="44" t="n"/>
      <c r="T1768" s="45" t="n"/>
      <c r="U1768" s="45" t="n"/>
    </row>
    <row r="1769">
      <c r="O1769" s="44" t="n"/>
      <c r="Q1769" s="44" t="n"/>
      <c r="T1769" s="45" t="n"/>
      <c r="U1769" s="45" t="n"/>
    </row>
    <row r="1770">
      <c r="O1770" s="44" t="n"/>
      <c r="Q1770" s="44" t="n"/>
      <c r="T1770" s="45" t="n"/>
      <c r="U1770" s="45" t="n"/>
    </row>
    <row r="1771">
      <c r="O1771" s="44" t="n"/>
      <c r="Q1771" s="44" t="n"/>
      <c r="T1771" s="45" t="n"/>
      <c r="U1771" s="45" t="n"/>
    </row>
    <row r="1772">
      <c r="O1772" s="44" t="n"/>
      <c r="Q1772" s="44" t="n"/>
      <c r="T1772" s="45" t="n"/>
      <c r="U1772" s="45" t="n"/>
    </row>
    <row r="1773">
      <c r="O1773" s="44" t="n"/>
      <c r="Q1773" s="44" t="n"/>
      <c r="T1773" s="45" t="n"/>
      <c r="U1773" s="45" t="n"/>
    </row>
    <row r="1774">
      <c r="O1774" s="44" t="n"/>
      <c r="Q1774" s="44" t="n"/>
      <c r="T1774" s="45" t="n"/>
      <c r="U1774" s="45" t="n"/>
    </row>
    <row r="1775">
      <c r="O1775" s="44" t="n"/>
      <c r="Q1775" s="44" t="n"/>
      <c r="T1775" s="45" t="n"/>
      <c r="U1775" s="45" t="n"/>
    </row>
    <row r="1776">
      <c r="O1776" s="44" t="n"/>
      <c r="Q1776" s="44" t="n"/>
      <c r="T1776" s="45" t="n"/>
      <c r="U1776" s="45" t="n"/>
    </row>
    <row r="1777">
      <c r="O1777" s="44" t="n"/>
      <c r="Q1777" s="44" t="n"/>
      <c r="T1777" s="45" t="n"/>
      <c r="U1777" s="45" t="n"/>
    </row>
    <row r="1778">
      <c r="O1778" s="44" t="n"/>
      <c r="Q1778" s="44" t="n"/>
      <c r="T1778" s="45" t="n"/>
      <c r="U1778" s="45" t="n"/>
    </row>
    <row r="1779">
      <c r="O1779" s="44" t="n"/>
      <c r="Q1779" s="44" t="n"/>
      <c r="T1779" s="45" t="n"/>
      <c r="U1779" s="45" t="n"/>
    </row>
    <row r="1780">
      <c r="O1780" s="44" t="n"/>
      <c r="Q1780" s="44" t="n"/>
      <c r="T1780" s="45" t="n"/>
      <c r="U1780" s="45" t="n"/>
    </row>
    <row r="1781">
      <c r="O1781" s="44" t="n"/>
      <c r="Q1781" s="44" t="n"/>
      <c r="T1781" s="45" t="n"/>
      <c r="U1781" s="45" t="n"/>
    </row>
    <row r="1782">
      <c r="O1782" s="44" t="n"/>
      <c r="Q1782" s="44" t="n"/>
      <c r="T1782" s="45" t="n"/>
      <c r="U1782" s="45" t="n"/>
    </row>
    <row r="1783">
      <c r="O1783" s="44" t="n"/>
      <c r="Q1783" s="44" t="n"/>
      <c r="T1783" s="45" t="n"/>
      <c r="U1783" s="45" t="n"/>
    </row>
    <row r="1784">
      <c r="O1784" s="44" t="n"/>
      <c r="Q1784" s="44" t="n"/>
      <c r="T1784" s="45" t="n"/>
      <c r="U1784" s="45" t="n"/>
    </row>
    <row r="1785">
      <c r="O1785" s="44" t="n"/>
      <c r="Q1785" s="44" t="n"/>
      <c r="T1785" s="45" t="n"/>
      <c r="U1785" s="45" t="n"/>
    </row>
    <row r="1786">
      <c r="O1786" s="44" t="n"/>
      <c r="Q1786" s="44" t="n"/>
      <c r="T1786" s="45" t="n"/>
      <c r="U1786" s="45" t="n"/>
    </row>
    <row r="1787">
      <c r="O1787" s="44" t="n"/>
      <c r="Q1787" s="44" t="n"/>
      <c r="T1787" s="45" t="n"/>
      <c r="U1787" s="45" t="n"/>
    </row>
    <row r="1788">
      <c r="O1788" s="44" t="n"/>
      <c r="Q1788" s="44" t="n"/>
      <c r="T1788" s="45" t="n"/>
      <c r="U1788" s="45" t="n"/>
    </row>
    <row r="1789">
      <c r="O1789" s="44" t="n"/>
      <c r="Q1789" s="44" t="n"/>
      <c r="T1789" s="45" t="n"/>
      <c r="U1789" s="45" t="n"/>
    </row>
    <row r="1790">
      <c r="O1790" s="44" t="n"/>
      <c r="Q1790" s="44" t="n"/>
      <c r="T1790" s="45" t="n"/>
      <c r="U1790" s="45" t="n"/>
    </row>
    <row r="1791">
      <c r="O1791" s="44" t="n"/>
      <c r="Q1791" s="44" t="n"/>
      <c r="T1791" s="45" t="n"/>
      <c r="U1791" s="45" t="n"/>
    </row>
    <row r="1792">
      <c r="O1792" s="44" t="n"/>
      <c r="Q1792" s="44" t="n"/>
      <c r="T1792" s="45" t="n"/>
      <c r="U1792" s="45" t="n"/>
    </row>
    <row r="1793">
      <c r="O1793" s="44" t="n"/>
      <c r="Q1793" s="44" t="n"/>
      <c r="T1793" s="45" t="n"/>
      <c r="U1793" s="45" t="n"/>
    </row>
    <row r="1794">
      <c r="O1794" s="44" t="n"/>
      <c r="Q1794" s="44" t="n"/>
      <c r="T1794" s="45" t="n"/>
      <c r="U1794" s="45" t="n"/>
    </row>
    <row r="1795">
      <c r="O1795" s="44" t="n"/>
      <c r="Q1795" s="44" t="n"/>
      <c r="T1795" s="45" t="n"/>
      <c r="U1795" s="45" t="n"/>
    </row>
    <row r="1796">
      <c r="O1796" s="44" t="n"/>
      <c r="Q1796" s="44" t="n"/>
      <c r="T1796" s="45" t="n"/>
      <c r="U1796" s="45" t="n"/>
    </row>
    <row r="1797">
      <c r="O1797" s="44" t="n"/>
      <c r="Q1797" s="44" t="n"/>
      <c r="T1797" s="45" t="n"/>
      <c r="U1797" s="45" t="n"/>
    </row>
    <row r="1798">
      <c r="O1798" s="44" t="n"/>
      <c r="Q1798" s="44" t="n"/>
      <c r="T1798" s="45" t="n"/>
      <c r="U1798" s="45" t="n"/>
    </row>
    <row r="1799">
      <c r="O1799" s="44" t="n"/>
      <c r="Q1799" s="44" t="n"/>
      <c r="T1799" s="45" t="n"/>
      <c r="U1799" s="45" t="n"/>
    </row>
    <row r="1800">
      <c r="O1800" s="44" t="n"/>
      <c r="Q1800" s="44" t="n"/>
      <c r="T1800" s="45" t="n"/>
      <c r="U1800" s="45" t="n"/>
    </row>
    <row r="1801">
      <c r="O1801" s="44" t="n"/>
      <c r="Q1801" s="44" t="n"/>
      <c r="T1801" s="45" t="n"/>
      <c r="U1801" s="45" t="n"/>
    </row>
    <row r="1802">
      <c r="O1802" s="44" t="n"/>
      <c r="Q1802" s="44" t="n"/>
      <c r="T1802" s="45" t="n"/>
      <c r="U1802" s="45" t="n"/>
    </row>
    <row r="1803">
      <c r="O1803" s="44" t="n"/>
      <c r="Q1803" s="44" t="n"/>
      <c r="T1803" s="45" t="n"/>
      <c r="U1803" s="45" t="n"/>
    </row>
    <row r="1804">
      <c r="O1804" s="44" t="n"/>
      <c r="Q1804" s="44" t="n"/>
      <c r="T1804" s="45" t="n"/>
      <c r="U1804" s="45" t="n"/>
    </row>
    <row r="1805">
      <c r="O1805" s="44" t="n"/>
      <c r="Q1805" s="44" t="n"/>
      <c r="T1805" s="45" t="n"/>
      <c r="U1805" s="45" t="n"/>
    </row>
    <row r="1806">
      <c r="O1806" s="44" t="n"/>
      <c r="Q1806" s="44" t="n"/>
      <c r="T1806" s="45" t="n"/>
      <c r="U1806" s="45" t="n"/>
    </row>
    <row r="1807">
      <c r="O1807" s="44" t="n"/>
      <c r="Q1807" s="44" t="n"/>
      <c r="T1807" s="45" t="n"/>
      <c r="U1807" s="45" t="n"/>
    </row>
    <row r="1808">
      <c r="O1808" s="44" t="n"/>
      <c r="Q1808" s="44" t="n"/>
      <c r="T1808" s="45" t="n"/>
      <c r="U1808" s="45" t="n"/>
    </row>
    <row r="1809">
      <c r="O1809" s="44" t="n"/>
      <c r="Q1809" s="44" t="n"/>
      <c r="T1809" s="45" t="n"/>
      <c r="U1809" s="45" t="n"/>
    </row>
    <row r="1810">
      <c r="O1810" s="44" t="n"/>
      <c r="Q1810" s="44" t="n"/>
      <c r="T1810" s="45" t="n"/>
      <c r="U1810" s="45" t="n"/>
    </row>
    <row r="1811">
      <c r="O1811" s="44" t="n"/>
      <c r="Q1811" s="44" t="n"/>
      <c r="T1811" s="45" t="n"/>
      <c r="U1811" s="45" t="n"/>
    </row>
    <row r="1812">
      <c r="O1812" s="44" t="n"/>
      <c r="Q1812" s="44" t="n"/>
      <c r="T1812" s="45" t="n"/>
      <c r="U1812" s="45" t="n"/>
    </row>
    <row r="1813">
      <c r="O1813" s="44" t="n"/>
      <c r="Q1813" s="44" t="n"/>
      <c r="T1813" s="45" t="n"/>
      <c r="U1813" s="45" t="n"/>
    </row>
    <row r="1814">
      <c r="O1814" s="44" t="n"/>
      <c r="Q1814" s="44" t="n"/>
      <c r="T1814" s="45" t="n"/>
      <c r="U1814" s="45" t="n"/>
    </row>
    <row r="1815">
      <c r="O1815" s="44" t="n"/>
      <c r="Q1815" s="44" t="n"/>
      <c r="T1815" s="45" t="n"/>
      <c r="U1815" s="45" t="n"/>
    </row>
    <row r="1816">
      <c r="O1816" s="44" t="n"/>
      <c r="Q1816" s="44" t="n"/>
      <c r="T1816" s="45" t="n"/>
      <c r="U1816" s="45" t="n"/>
    </row>
    <row r="1817">
      <c r="O1817" s="44" t="n"/>
      <c r="Q1817" s="44" t="n"/>
      <c r="T1817" s="45" t="n"/>
      <c r="U1817" s="45" t="n"/>
    </row>
    <row r="1818">
      <c r="O1818" s="44" t="n"/>
      <c r="Q1818" s="44" t="n"/>
      <c r="T1818" s="45" t="n"/>
      <c r="U1818" s="45" t="n"/>
    </row>
    <row r="1819">
      <c r="O1819" s="44" t="n"/>
      <c r="Q1819" s="44" t="n"/>
      <c r="T1819" s="45" t="n"/>
      <c r="U1819" s="45" t="n"/>
    </row>
    <row r="1820">
      <c r="O1820" s="44" t="n"/>
      <c r="Q1820" s="44" t="n"/>
      <c r="T1820" s="45" t="n"/>
      <c r="U1820" s="45" t="n"/>
    </row>
    <row r="1821">
      <c r="O1821" s="44" t="n"/>
      <c r="Q1821" s="44" t="n"/>
      <c r="T1821" s="45" t="n"/>
      <c r="U1821" s="45" t="n"/>
    </row>
    <row r="1822">
      <c r="O1822" s="44" t="n"/>
      <c r="Q1822" s="44" t="n"/>
      <c r="T1822" s="45" t="n"/>
      <c r="U1822" s="45" t="n"/>
    </row>
    <row r="1823">
      <c r="O1823" s="44" t="n"/>
      <c r="Q1823" s="44" t="n"/>
      <c r="T1823" s="45" t="n"/>
      <c r="U1823" s="45" t="n"/>
    </row>
    <row r="1824">
      <c r="O1824" s="44" t="n"/>
      <c r="Q1824" s="44" t="n"/>
      <c r="T1824" s="45" t="n"/>
      <c r="U1824" s="45" t="n"/>
    </row>
    <row r="1825">
      <c r="O1825" s="44" t="n"/>
      <c r="Q1825" s="44" t="n"/>
      <c r="T1825" s="45" t="n"/>
      <c r="U1825" s="45" t="n"/>
    </row>
    <row r="1826">
      <c r="O1826" s="44" t="n"/>
      <c r="Q1826" s="44" t="n"/>
      <c r="T1826" s="45" t="n"/>
      <c r="U1826" s="45" t="n"/>
    </row>
    <row r="1827">
      <c r="O1827" s="44" t="n"/>
      <c r="Q1827" s="44" t="n"/>
      <c r="T1827" s="45" t="n"/>
      <c r="U1827" s="45" t="n"/>
    </row>
    <row r="1828">
      <c r="O1828" s="44" t="n"/>
      <c r="Q1828" s="44" t="n"/>
      <c r="T1828" s="45" t="n"/>
      <c r="U1828" s="45" t="n"/>
    </row>
    <row r="1829">
      <c r="O1829" s="44" t="n"/>
      <c r="Q1829" s="44" t="n"/>
      <c r="T1829" s="45" t="n"/>
      <c r="U1829" s="45" t="n"/>
    </row>
    <row r="1830">
      <c r="O1830" s="44" t="n"/>
      <c r="Q1830" s="44" t="n"/>
      <c r="T1830" s="45" t="n"/>
      <c r="U1830" s="45" t="n"/>
    </row>
    <row r="1831">
      <c r="O1831" s="44" t="n"/>
      <c r="Q1831" s="44" t="n"/>
      <c r="T1831" s="45" t="n"/>
      <c r="U1831" s="45" t="n"/>
    </row>
    <row r="1832">
      <c r="O1832" s="44" t="n"/>
      <c r="Q1832" s="44" t="n"/>
      <c r="T1832" s="45" t="n"/>
      <c r="U1832" s="45" t="n"/>
    </row>
    <row r="1833">
      <c r="O1833" s="44" t="n"/>
      <c r="Q1833" s="44" t="n"/>
      <c r="T1833" s="45" t="n"/>
      <c r="U1833" s="45" t="n"/>
    </row>
    <row r="1834">
      <c r="O1834" s="44" t="n"/>
      <c r="Q1834" s="44" t="n"/>
      <c r="T1834" s="45" t="n"/>
      <c r="U1834" s="45" t="n"/>
    </row>
    <row r="1835">
      <c r="O1835" s="44" t="n"/>
      <c r="Q1835" s="44" t="n"/>
      <c r="T1835" s="45" t="n"/>
      <c r="U1835" s="45" t="n"/>
    </row>
    <row r="1836">
      <c r="O1836" s="44" t="n"/>
      <c r="Q1836" s="44" t="n"/>
      <c r="T1836" s="45" t="n"/>
      <c r="U1836" s="45" t="n"/>
    </row>
    <row r="1837">
      <c r="O1837" s="44" t="n"/>
      <c r="Q1837" s="44" t="n"/>
      <c r="T1837" s="45" t="n"/>
      <c r="U1837" s="45" t="n"/>
    </row>
    <row r="1838">
      <c r="O1838" s="44" t="n"/>
      <c r="Q1838" s="44" t="n"/>
      <c r="T1838" s="45" t="n"/>
      <c r="U1838" s="45" t="n"/>
    </row>
    <row r="1839">
      <c r="O1839" s="44" t="n"/>
      <c r="Q1839" s="44" t="n"/>
      <c r="T1839" s="45" t="n"/>
      <c r="U1839" s="45" t="n"/>
    </row>
    <row r="1840">
      <c r="O1840" s="44" t="n"/>
      <c r="Q1840" s="44" t="n"/>
      <c r="T1840" s="45" t="n"/>
      <c r="U1840" s="45" t="n"/>
    </row>
    <row r="1841">
      <c r="O1841" s="44" t="n"/>
      <c r="Q1841" s="44" t="n"/>
      <c r="T1841" s="45" t="n"/>
      <c r="U1841" s="45" t="n"/>
    </row>
    <row r="1842">
      <c r="O1842" s="44" t="n"/>
      <c r="Q1842" s="44" t="n"/>
      <c r="T1842" s="45" t="n"/>
      <c r="U1842" s="45" t="n"/>
    </row>
    <row r="1843">
      <c r="O1843" s="44" t="n"/>
      <c r="Q1843" s="44" t="n"/>
      <c r="T1843" s="45" t="n"/>
      <c r="U1843" s="45" t="n"/>
    </row>
    <row r="1844">
      <c r="O1844" s="44" t="n"/>
      <c r="Q1844" s="44" t="n"/>
      <c r="T1844" s="45" t="n"/>
      <c r="U1844" s="45" t="n"/>
    </row>
    <row r="1845">
      <c r="O1845" s="44" t="n"/>
      <c r="Q1845" s="44" t="n"/>
      <c r="T1845" s="45" t="n"/>
      <c r="U1845" s="45" t="n"/>
    </row>
    <row r="1846">
      <c r="O1846" s="44" t="n"/>
      <c r="Q1846" s="44" t="n"/>
      <c r="T1846" s="45" t="n"/>
      <c r="U1846" s="45" t="n"/>
    </row>
    <row r="1847">
      <c r="O1847" s="44" t="n"/>
      <c r="Q1847" s="44" t="n"/>
      <c r="T1847" s="45" t="n"/>
      <c r="U1847" s="45" t="n"/>
    </row>
    <row r="1848">
      <c r="O1848" s="44" t="n"/>
      <c r="Q1848" s="44" t="n"/>
      <c r="T1848" s="45" t="n"/>
      <c r="U1848" s="45" t="n"/>
    </row>
    <row r="1849">
      <c r="O1849" s="44" t="n"/>
      <c r="Q1849" s="44" t="n"/>
      <c r="T1849" s="45" t="n"/>
      <c r="U1849" s="45" t="n"/>
    </row>
    <row r="1850">
      <c r="O1850" s="44" t="n"/>
      <c r="Q1850" s="44" t="n"/>
      <c r="T1850" s="45" t="n"/>
      <c r="U1850" s="45" t="n"/>
    </row>
    <row r="1851">
      <c r="O1851" s="44" t="n"/>
      <c r="Q1851" s="44" t="n"/>
      <c r="T1851" s="45" t="n"/>
      <c r="U1851" s="45" t="n"/>
    </row>
    <row r="1852">
      <c r="O1852" s="44" t="n"/>
      <c r="Q1852" s="44" t="n"/>
      <c r="T1852" s="45" t="n"/>
      <c r="U1852" s="45" t="n"/>
    </row>
    <row r="1853">
      <c r="O1853" s="44" t="n"/>
      <c r="Q1853" s="44" t="n"/>
      <c r="T1853" s="45" t="n"/>
      <c r="U1853" s="45" t="n"/>
    </row>
    <row r="1854">
      <c r="O1854" s="44" t="n"/>
      <c r="Q1854" s="44" t="n"/>
      <c r="T1854" s="45" t="n"/>
      <c r="U1854" s="45" t="n"/>
    </row>
    <row r="1855">
      <c r="O1855" s="44" t="n"/>
      <c r="Q1855" s="44" t="n"/>
      <c r="T1855" s="45" t="n"/>
      <c r="U1855" s="45" t="n"/>
    </row>
    <row r="1856">
      <c r="O1856" s="44" t="n"/>
      <c r="Q1856" s="44" t="n"/>
      <c r="T1856" s="45" t="n"/>
      <c r="U1856" s="45" t="n"/>
    </row>
    <row r="1857">
      <c r="O1857" s="44" t="n"/>
      <c r="Q1857" s="44" t="n"/>
      <c r="T1857" s="45" t="n"/>
      <c r="U1857" s="45" t="n"/>
    </row>
    <row r="1858">
      <c r="O1858" s="44" t="n"/>
      <c r="Q1858" s="44" t="n"/>
      <c r="T1858" s="45" t="n"/>
      <c r="U1858" s="45" t="n"/>
    </row>
    <row r="1859">
      <c r="O1859" s="44" t="n"/>
      <c r="Q1859" s="44" t="n"/>
      <c r="T1859" s="45" t="n"/>
      <c r="U1859" s="45" t="n"/>
    </row>
    <row r="1860">
      <c r="O1860" s="44" t="n"/>
      <c r="Q1860" s="44" t="n"/>
      <c r="T1860" s="45" t="n"/>
      <c r="U1860" s="45" t="n"/>
    </row>
    <row r="1861">
      <c r="O1861" s="44" t="n"/>
      <c r="Q1861" s="44" t="n"/>
      <c r="T1861" s="45" t="n"/>
      <c r="U1861" s="45" t="n"/>
    </row>
    <row r="1862">
      <c r="O1862" s="44" t="n"/>
      <c r="Q1862" s="44" t="n"/>
      <c r="T1862" s="45" t="n"/>
      <c r="U1862" s="45" t="n"/>
    </row>
    <row r="1863">
      <c r="O1863" s="44" t="n"/>
      <c r="Q1863" s="44" t="n"/>
      <c r="T1863" s="45" t="n"/>
      <c r="U1863" s="45" t="n"/>
    </row>
    <row r="1864">
      <c r="O1864" s="44" t="n"/>
      <c r="Q1864" s="44" t="n"/>
      <c r="T1864" s="45" t="n"/>
      <c r="U1864" s="45" t="n"/>
    </row>
    <row r="1865">
      <c r="O1865" s="44" t="n"/>
      <c r="Q1865" s="44" t="n"/>
      <c r="T1865" s="45" t="n"/>
      <c r="U1865" s="45" t="n"/>
    </row>
    <row r="1866">
      <c r="O1866" s="44" t="n"/>
      <c r="Q1866" s="44" t="n"/>
      <c r="T1866" s="45" t="n"/>
      <c r="U1866" s="45" t="n"/>
    </row>
    <row r="1867">
      <c r="O1867" s="44" t="n"/>
      <c r="Q1867" s="44" t="n"/>
      <c r="T1867" s="45" t="n"/>
      <c r="U1867" s="45" t="n"/>
    </row>
    <row r="1868">
      <c r="O1868" s="44" t="n"/>
      <c r="Q1868" s="44" t="n"/>
      <c r="T1868" s="45" t="n"/>
      <c r="U1868" s="45" t="n"/>
    </row>
    <row r="1869">
      <c r="O1869" s="44" t="n"/>
      <c r="Q1869" s="44" t="n"/>
      <c r="T1869" s="45" t="n"/>
      <c r="U1869" s="45" t="n"/>
    </row>
    <row r="1870">
      <c r="O1870" s="44" t="n"/>
      <c r="Q1870" s="44" t="n"/>
      <c r="T1870" s="45" t="n"/>
      <c r="U1870" s="45" t="n"/>
    </row>
    <row r="1871">
      <c r="O1871" s="44" t="n"/>
      <c r="Q1871" s="44" t="n"/>
      <c r="T1871" s="45" t="n"/>
      <c r="U1871" s="45" t="n"/>
    </row>
    <row r="1872">
      <c r="O1872" s="44" t="n"/>
      <c r="Q1872" s="44" t="n"/>
      <c r="T1872" s="45" t="n"/>
      <c r="U1872" s="45" t="n"/>
    </row>
    <row r="1873">
      <c r="O1873" s="44" t="n"/>
      <c r="Q1873" s="44" t="n"/>
      <c r="T1873" s="45" t="n"/>
      <c r="U1873" s="45" t="n"/>
    </row>
    <row r="1874">
      <c r="O1874" s="44" t="n"/>
      <c r="Q1874" s="44" t="n"/>
      <c r="T1874" s="45" t="n"/>
      <c r="U1874" s="45" t="n"/>
    </row>
    <row r="1875">
      <c r="O1875" s="44" t="n"/>
      <c r="Q1875" s="44" t="n"/>
      <c r="T1875" s="45" t="n"/>
      <c r="U1875" s="45" t="n"/>
    </row>
    <row r="1876">
      <c r="O1876" s="44" t="n"/>
      <c r="Q1876" s="44" t="n"/>
      <c r="T1876" s="45" t="n"/>
      <c r="U1876" s="45" t="n"/>
    </row>
    <row r="1877">
      <c r="O1877" s="44" t="n"/>
      <c r="Q1877" s="44" t="n"/>
      <c r="T1877" s="45" t="n"/>
      <c r="U1877" s="45" t="n"/>
    </row>
    <row r="1878">
      <c r="O1878" s="44" t="n"/>
      <c r="Q1878" s="44" t="n"/>
      <c r="T1878" s="45" t="n"/>
      <c r="U1878" s="45" t="n"/>
    </row>
    <row r="1879">
      <c r="O1879" s="44" t="n"/>
      <c r="Q1879" s="44" t="n"/>
      <c r="T1879" s="45" t="n"/>
      <c r="U1879" s="45" t="n"/>
    </row>
    <row r="1880">
      <c r="O1880" s="44" t="n"/>
      <c r="Q1880" s="44" t="n"/>
      <c r="T1880" s="45" t="n"/>
      <c r="U1880" s="45" t="n"/>
    </row>
    <row r="1881">
      <c r="O1881" s="44" t="n"/>
      <c r="Q1881" s="44" t="n"/>
      <c r="T1881" s="45" t="n"/>
      <c r="U1881" s="45" t="n"/>
    </row>
    <row r="1882">
      <c r="O1882" s="44" t="n"/>
      <c r="Q1882" s="44" t="n"/>
      <c r="T1882" s="45" t="n"/>
      <c r="U1882" s="45" t="n"/>
    </row>
    <row r="1883">
      <c r="O1883" s="44" t="n"/>
      <c r="Q1883" s="44" t="n"/>
      <c r="T1883" s="45" t="n"/>
      <c r="U1883" s="45" t="n"/>
    </row>
    <row r="1884">
      <c r="O1884" s="44" t="n"/>
      <c r="Q1884" s="44" t="n"/>
      <c r="T1884" s="45" t="n"/>
      <c r="U1884" s="45" t="n"/>
    </row>
    <row r="1885">
      <c r="O1885" s="44" t="n"/>
      <c r="Q1885" s="44" t="n"/>
      <c r="T1885" s="45" t="n"/>
      <c r="U1885" s="45" t="n"/>
    </row>
    <row r="1886">
      <c r="O1886" s="44" t="n"/>
      <c r="Q1886" s="44" t="n"/>
      <c r="T1886" s="45" t="n"/>
      <c r="U1886" s="45" t="n"/>
    </row>
    <row r="1887">
      <c r="O1887" s="44" t="n"/>
      <c r="Q1887" s="44" t="n"/>
      <c r="T1887" s="45" t="n"/>
      <c r="U1887" s="45" t="n"/>
    </row>
    <row r="1888">
      <c r="O1888" s="44" t="n"/>
      <c r="Q1888" s="44" t="n"/>
      <c r="T1888" s="45" t="n"/>
      <c r="U1888" s="45" t="n"/>
    </row>
    <row r="1889">
      <c r="O1889" s="44" t="n"/>
      <c r="Q1889" s="44" t="n"/>
      <c r="T1889" s="45" t="n"/>
      <c r="U1889" s="45" t="n"/>
    </row>
    <row r="1890">
      <c r="O1890" s="44" t="n"/>
      <c r="Q1890" s="44" t="n"/>
      <c r="T1890" s="45" t="n"/>
      <c r="U1890" s="45" t="n"/>
    </row>
    <row r="1891">
      <c r="O1891" s="44" t="n"/>
      <c r="Q1891" s="44" t="n"/>
      <c r="T1891" s="45" t="n"/>
      <c r="U1891" s="45" t="n"/>
    </row>
    <row r="1892">
      <c r="O1892" s="44" t="n"/>
      <c r="Q1892" s="44" t="n"/>
      <c r="T1892" s="45" t="n"/>
      <c r="U1892" s="45" t="n"/>
    </row>
    <row r="1893">
      <c r="O1893" s="44" t="n"/>
      <c r="Q1893" s="44" t="n"/>
      <c r="T1893" s="45" t="n"/>
      <c r="U1893" s="45" t="n"/>
    </row>
    <row r="1894">
      <c r="O1894" s="44" t="n"/>
      <c r="Q1894" s="44" t="n"/>
      <c r="T1894" s="45" t="n"/>
      <c r="U1894" s="45" t="n"/>
    </row>
    <row r="1895">
      <c r="O1895" s="44" t="n"/>
      <c r="Q1895" s="44" t="n"/>
      <c r="T1895" s="45" t="n"/>
      <c r="U1895" s="45" t="n"/>
    </row>
    <row r="1896">
      <c r="O1896" s="44" t="n"/>
      <c r="Q1896" s="44" t="n"/>
      <c r="T1896" s="45" t="n"/>
      <c r="U1896" s="45" t="n"/>
    </row>
    <row r="1897">
      <c r="O1897" s="44" t="n"/>
      <c r="Q1897" s="44" t="n"/>
      <c r="T1897" s="45" t="n"/>
      <c r="U1897" s="45" t="n"/>
    </row>
    <row r="1898">
      <c r="O1898" s="44" t="n"/>
      <c r="Q1898" s="44" t="n"/>
      <c r="T1898" s="45" t="n"/>
      <c r="U1898" s="45" t="n"/>
    </row>
    <row r="1899">
      <c r="O1899" s="44" t="n"/>
      <c r="Q1899" s="44" t="n"/>
      <c r="T1899" s="45" t="n"/>
      <c r="U1899" s="45" t="n"/>
    </row>
    <row r="1900">
      <c r="O1900" s="44" t="n"/>
      <c r="Q1900" s="44" t="n"/>
      <c r="T1900" s="45" t="n"/>
      <c r="U1900" s="45" t="n"/>
    </row>
    <row r="1901">
      <c r="O1901" s="44" t="n"/>
      <c r="Q1901" s="44" t="n"/>
      <c r="T1901" s="45" t="n"/>
      <c r="U1901" s="45" t="n"/>
    </row>
    <row r="1902">
      <c r="O1902" s="44" t="n"/>
      <c r="Q1902" s="44" t="n"/>
      <c r="T1902" s="45" t="n"/>
      <c r="U1902" s="45" t="n"/>
    </row>
    <row r="1903">
      <c r="O1903" s="44" t="n"/>
      <c r="Q1903" s="44" t="n"/>
      <c r="T1903" s="45" t="n"/>
      <c r="U1903" s="45" t="n"/>
    </row>
    <row r="1904">
      <c r="O1904" s="44" t="n"/>
      <c r="Q1904" s="44" t="n"/>
      <c r="T1904" s="45" t="n"/>
      <c r="U1904" s="45" t="n"/>
    </row>
    <row r="1905">
      <c r="O1905" s="44" t="n"/>
      <c r="Q1905" s="44" t="n"/>
      <c r="T1905" s="45" t="n"/>
      <c r="U1905" s="45" t="n"/>
    </row>
    <row r="1906">
      <c r="O1906" s="44" t="n"/>
      <c r="Q1906" s="44" t="n"/>
      <c r="T1906" s="45" t="n"/>
      <c r="U1906" s="45" t="n"/>
    </row>
    <row r="1907">
      <c r="O1907" s="44" t="n"/>
      <c r="Q1907" s="44" t="n"/>
      <c r="T1907" s="45" t="n"/>
      <c r="U1907" s="45" t="n"/>
    </row>
    <row r="1908">
      <c r="O1908" s="44" t="n"/>
      <c r="Q1908" s="44" t="n"/>
      <c r="T1908" s="45" t="n"/>
      <c r="U1908" s="45" t="n"/>
    </row>
    <row r="1909">
      <c r="O1909" s="44" t="n"/>
      <c r="Q1909" s="44" t="n"/>
      <c r="T1909" s="45" t="n"/>
      <c r="U1909" s="45" t="n"/>
    </row>
    <row r="1910">
      <c r="O1910" s="44" t="n"/>
      <c r="Q1910" s="44" t="n"/>
      <c r="T1910" s="45" t="n"/>
      <c r="U1910" s="45" t="n"/>
    </row>
    <row r="1911">
      <c r="O1911" s="44" t="n"/>
      <c r="Q1911" s="44" t="n"/>
      <c r="T1911" s="45" t="n"/>
      <c r="U1911" s="45" t="n"/>
    </row>
    <row r="1912">
      <c r="O1912" s="44" t="n"/>
      <c r="Q1912" s="44" t="n"/>
      <c r="T1912" s="45" t="n"/>
      <c r="U1912" s="45" t="n"/>
    </row>
    <row r="1913">
      <c r="O1913" s="44" t="n"/>
      <c r="Q1913" s="44" t="n"/>
      <c r="T1913" s="45" t="n"/>
      <c r="U1913" s="45" t="n"/>
    </row>
    <row r="1914">
      <c r="O1914" s="44" t="n"/>
      <c r="Q1914" s="44" t="n"/>
      <c r="T1914" s="45" t="n"/>
      <c r="U1914" s="45" t="n"/>
    </row>
    <row r="1915">
      <c r="O1915" s="44" t="n"/>
      <c r="Q1915" s="44" t="n"/>
      <c r="T1915" s="45" t="n"/>
      <c r="U1915" s="45" t="n"/>
    </row>
    <row r="1916">
      <c r="O1916" s="44" t="n"/>
      <c r="Q1916" s="44" t="n"/>
      <c r="T1916" s="45" t="n"/>
      <c r="U1916" s="45" t="n"/>
    </row>
    <row r="1917">
      <c r="O1917" s="44" t="n"/>
      <c r="Q1917" s="44" t="n"/>
      <c r="T1917" s="45" t="n"/>
      <c r="U1917" s="45" t="n"/>
    </row>
    <row r="1918">
      <c r="O1918" s="44" t="n"/>
      <c r="Q1918" s="44" t="n"/>
      <c r="T1918" s="45" t="n"/>
      <c r="U1918" s="45" t="n"/>
    </row>
    <row r="1919">
      <c r="O1919" s="44" t="n"/>
      <c r="Q1919" s="44" t="n"/>
      <c r="T1919" s="45" t="n"/>
      <c r="U1919" s="45" t="n"/>
    </row>
    <row r="1920">
      <c r="O1920" s="44" t="n"/>
      <c r="Q1920" s="44" t="n"/>
      <c r="T1920" s="45" t="n"/>
      <c r="U1920" s="45" t="n"/>
    </row>
    <row r="1921">
      <c r="O1921" s="44" t="n"/>
      <c r="Q1921" s="44" t="n"/>
      <c r="T1921" s="45" t="n"/>
      <c r="U1921" s="45" t="n"/>
    </row>
    <row r="1922">
      <c r="O1922" s="44" t="n"/>
      <c r="Q1922" s="44" t="n"/>
      <c r="T1922" s="45" t="n"/>
      <c r="U1922" s="45" t="n"/>
    </row>
    <row r="1923">
      <c r="O1923" s="44" t="n"/>
      <c r="Q1923" s="44" t="n"/>
      <c r="T1923" s="45" t="n"/>
      <c r="U1923" s="45" t="n"/>
    </row>
    <row r="1924">
      <c r="O1924" s="44" t="n"/>
      <c r="Q1924" s="44" t="n"/>
      <c r="T1924" s="45" t="n"/>
      <c r="U1924" s="45" t="n"/>
    </row>
    <row r="1925">
      <c r="O1925" s="44" t="n"/>
      <c r="Q1925" s="44" t="n"/>
      <c r="T1925" s="45" t="n"/>
      <c r="U1925" s="45" t="n"/>
    </row>
    <row r="1926">
      <c r="O1926" s="44" t="n"/>
      <c r="Q1926" s="44" t="n"/>
      <c r="T1926" s="45" t="n"/>
      <c r="U1926" s="45" t="n"/>
    </row>
    <row r="1927">
      <c r="O1927" s="44" t="n"/>
      <c r="Q1927" s="44" t="n"/>
      <c r="T1927" s="45" t="n"/>
      <c r="U1927" s="45" t="n"/>
    </row>
    <row r="1928">
      <c r="O1928" s="44" t="n"/>
      <c r="Q1928" s="44" t="n"/>
      <c r="T1928" s="45" t="n"/>
      <c r="U1928" s="45" t="n"/>
    </row>
    <row r="1929">
      <c r="O1929" s="44" t="n"/>
      <c r="Q1929" s="44" t="n"/>
      <c r="T1929" s="45" t="n"/>
      <c r="U1929" s="45" t="n"/>
    </row>
    <row r="1930">
      <c r="O1930" s="44" t="n"/>
      <c r="Q1930" s="44" t="n"/>
      <c r="T1930" s="45" t="n"/>
      <c r="U1930" s="45" t="n"/>
    </row>
    <row r="1931">
      <c r="O1931" s="44" t="n"/>
      <c r="Q1931" s="44" t="n"/>
      <c r="T1931" s="45" t="n"/>
      <c r="U1931" s="45" t="n"/>
    </row>
    <row r="1932">
      <c r="O1932" s="44" t="n"/>
      <c r="Q1932" s="44" t="n"/>
      <c r="T1932" s="45" t="n"/>
      <c r="U1932" s="45" t="n"/>
    </row>
    <row r="1933">
      <c r="O1933" s="44" t="n"/>
      <c r="Q1933" s="44" t="n"/>
      <c r="T1933" s="45" t="n"/>
      <c r="U1933" s="45" t="n"/>
    </row>
    <row r="1934">
      <c r="O1934" s="44" t="n"/>
      <c r="Q1934" s="44" t="n"/>
      <c r="T1934" s="45" t="n"/>
      <c r="U1934" s="45" t="n"/>
    </row>
    <row r="1935">
      <c r="O1935" s="44" t="n"/>
      <c r="Q1935" s="44" t="n"/>
      <c r="T1935" s="45" t="n"/>
      <c r="U1935" s="45" t="n"/>
    </row>
    <row r="1936">
      <c r="O1936" s="44" t="n"/>
      <c r="Q1936" s="44" t="n"/>
      <c r="T1936" s="45" t="n"/>
      <c r="U1936" s="45" t="n"/>
    </row>
    <row r="1937">
      <c r="O1937" s="44" t="n"/>
      <c r="Q1937" s="44" t="n"/>
      <c r="T1937" s="45" t="n"/>
      <c r="U1937" s="45" t="n"/>
    </row>
    <row r="1938">
      <c r="O1938" s="44" t="n"/>
      <c r="Q1938" s="44" t="n"/>
      <c r="T1938" s="45" t="n"/>
      <c r="U1938" s="45" t="n"/>
    </row>
    <row r="1939">
      <c r="O1939" s="44" t="n"/>
      <c r="Q1939" s="44" t="n"/>
      <c r="T1939" s="45" t="n"/>
      <c r="U1939" s="45" t="n"/>
    </row>
    <row r="1940">
      <c r="O1940" s="44" t="n"/>
      <c r="Q1940" s="44" t="n"/>
      <c r="T1940" s="45" t="n"/>
      <c r="U1940" s="45" t="n"/>
    </row>
    <row r="1941">
      <c r="O1941" s="44" t="n"/>
      <c r="Q1941" s="44" t="n"/>
      <c r="T1941" s="45" t="n"/>
      <c r="U1941" s="45" t="n"/>
    </row>
    <row r="1942">
      <c r="O1942" s="44" t="n"/>
      <c r="Q1942" s="44" t="n"/>
      <c r="T1942" s="45" t="n"/>
      <c r="U1942" s="45" t="n"/>
    </row>
    <row r="1943">
      <c r="O1943" s="44" t="n"/>
      <c r="Q1943" s="44" t="n"/>
      <c r="T1943" s="45" t="n"/>
      <c r="U1943" s="45" t="n"/>
    </row>
    <row r="1944">
      <c r="O1944" s="44" t="n"/>
      <c r="Q1944" s="44" t="n"/>
      <c r="T1944" s="45" t="n"/>
      <c r="U1944" s="45" t="n"/>
    </row>
    <row r="1945">
      <c r="O1945" s="44" t="n"/>
      <c r="Q1945" s="44" t="n"/>
      <c r="T1945" s="45" t="n"/>
      <c r="U1945" s="45" t="n"/>
    </row>
    <row r="1946">
      <c r="O1946" s="44" t="n"/>
      <c r="Q1946" s="44" t="n"/>
      <c r="T1946" s="45" t="n"/>
      <c r="U1946" s="45" t="n"/>
    </row>
    <row r="1947">
      <c r="O1947" s="44" t="n"/>
      <c r="Q1947" s="44" t="n"/>
      <c r="T1947" s="45" t="n"/>
      <c r="U1947" s="45" t="n"/>
    </row>
    <row r="1948">
      <c r="O1948" s="44" t="n"/>
      <c r="Q1948" s="44" t="n"/>
      <c r="T1948" s="45" t="n"/>
      <c r="U1948" s="45" t="n"/>
    </row>
    <row r="1949">
      <c r="O1949" s="44" t="n"/>
      <c r="Q1949" s="44" t="n"/>
      <c r="T1949" s="45" t="n"/>
      <c r="U1949" s="45" t="n"/>
    </row>
    <row r="1950">
      <c r="O1950" s="44" t="n"/>
      <c r="Q1950" s="44" t="n"/>
      <c r="T1950" s="45" t="n"/>
      <c r="U1950" s="45" t="n"/>
    </row>
    <row r="1951">
      <c r="O1951" s="44" t="n"/>
      <c r="Q1951" s="44" t="n"/>
      <c r="T1951" s="45" t="n"/>
      <c r="U1951" s="45" t="n"/>
    </row>
    <row r="1952">
      <c r="O1952" s="44" t="n"/>
      <c r="Q1952" s="44" t="n"/>
      <c r="T1952" s="45" t="n"/>
      <c r="U1952" s="45" t="n"/>
    </row>
    <row r="1953">
      <c r="O1953" s="44" t="n"/>
      <c r="Q1953" s="44" t="n"/>
      <c r="T1953" s="45" t="n"/>
      <c r="U1953" s="45" t="n"/>
    </row>
    <row r="1954">
      <c r="O1954" s="44" t="n"/>
      <c r="Q1954" s="44" t="n"/>
      <c r="T1954" s="45" t="n"/>
      <c r="U1954" s="45" t="n"/>
    </row>
    <row r="1955">
      <c r="O1955" s="44" t="n"/>
      <c r="Q1955" s="44" t="n"/>
      <c r="T1955" s="45" t="n"/>
      <c r="U1955" s="45" t="n"/>
    </row>
    <row r="1956">
      <c r="O1956" s="44" t="n"/>
      <c r="Q1956" s="44" t="n"/>
      <c r="T1956" s="45" t="n"/>
      <c r="U1956" s="45" t="n"/>
    </row>
    <row r="1957">
      <c r="O1957" s="44" t="n"/>
      <c r="Q1957" s="44" t="n"/>
      <c r="T1957" s="45" t="n"/>
      <c r="U1957" s="45" t="n"/>
    </row>
    <row r="1958">
      <c r="O1958" s="44" t="n"/>
      <c r="Q1958" s="44" t="n"/>
      <c r="T1958" s="45" t="n"/>
      <c r="U1958" s="45" t="n"/>
    </row>
    <row r="1959">
      <c r="O1959" s="44" t="n"/>
      <c r="Q1959" s="44" t="n"/>
      <c r="T1959" s="45" t="n"/>
      <c r="U1959" s="45" t="n"/>
    </row>
    <row r="1960">
      <c r="O1960" s="44" t="n"/>
      <c r="Q1960" s="44" t="n"/>
      <c r="T1960" s="45" t="n"/>
      <c r="U1960" s="45" t="n"/>
    </row>
    <row r="1961">
      <c r="O1961" s="44" t="n"/>
      <c r="Q1961" s="44" t="n"/>
      <c r="T1961" s="45" t="n"/>
      <c r="U1961" s="45" t="n"/>
    </row>
    <row r="1962">
      <c r="O1962" s="44" t="n"/>
      <c r="Q1962" s="44" t="n"/>
      <c r="T1962" s="45" t="n"/>
      <c r="U1962" s="45" t="n"/>
    </row>
    <row r="1963">
      <c r="O1963" s="44" t="n"/>
      <c r="Q1963" s="44" t="n"/>
      <c r="T1963" s="45" t="n"/>
      <c r="U1963" s="45" t="n"/>
    </row>
    <row r="1964">
      <c r="O1964" s="44" t="n"/>
      <c r="Q1964" s="44" t="n"/>
      <c r="T1964" s="45" t="n"/>
      <c r="U1964" s="45" t="n"/>
    </row>
    <row r="1965">
      <c r="O1965" s="44" t="n"/>
      <c r="Q1965" s="44" t="n"/>
      <c r="T1965" s="45" t="n"/>
      <c r="U1965" s="45" t="n"/>
    </row>
    <row r="1966">
      <c r="O1966" s="44" t="n"/>
      <c r="Q1966" s="44" t="n"/>
      <c r="T1966" s="45" t="n"/>
      <c r="U1966" s="45" t="n"/>
    </row>
    <row r="1967">
      <c r="O1967" s="44" t="n"/>
      <c r="Q1967" s="44" t="n"/>
      <c r="T1967" s="45" t="n"/>
      <c r="U1967" s="45" t="n"/>
    </row>
    <row r="1968">
      <c r="O1968" s="44" t="n"/>
      <c r="Q1968" s="44" t="n"/>
      <c r="T1968" s="45" t="n"/>
      <c r="U1968" s="45" t="n"/>
    </row>
    <row r="1969">
      <c r="O1969" s="44" t="n"/>
      <c r="Q1969" s="44" t="n"/>
      <c r="T1969" s="45" t="n"/>
      <c r="U1969" s="45" t="n"/>
    </row>
    <row r="1970">
      <c r="O1970" s="44" t="n"/>
      <c r="Q1970" s="44" t="n"/>
      <c r="T1970" s="45" t="n"/>
      <c r="U1970" s="45" t="n"/>
    </row>
    <row r="1971">
      <c r="O1971" s="44" t="n"/>
      <c r="Q1971" s="44" t="n"/>
      <c r="T1971" s="45" t="n"/>
      <c r="U1971" s="45" t="n"/>
    </row>
    <row r="1972">
      <c r="O1972" s="44" t="n"/>
      <c r="Q1972" s="44" t="n"/>
      <c r="T1972" s="45" t="n"/>
      <c r="U1972" s="45" t="n"/>
    </row>
    <row r="1973">
      <c r="O1973" s="44" t="n"/>
      <c r="Q1973" s="44" t="n"/>
      <c r="T1973" s="45" t="n"/>
      <c r="U1973" s="45" t="n"/>
    </row>
    <row r="1974">
      <c r="O1974" s="44" t="n"/>
      <c r="Q1974" s="44" t="n"/>
      <c r="T1974" s="45" t="n"/>
      <c r="U1974" s="45" t="n"/>
    </row>
    <row r="1975">
      <c r="O1975" s="44" t="n"/>
      <c r="Q1975" s="44" t="n"/>
      <c r="T1975" s="45" t="n"/>
      <c r="U1975" s="45" t="n"/>
    </row>
    <row r="1976">
      <c r="O1976" s="44" t="n"/>
      <c r="Q1976" s="44" t="n"/>
      <c r="T1976" s="45" t="n"/>
      <c r="U1976" s="45" t="n"/>
    </row>
    <row r="1977">
      <c r="O1977" s="44" t="n"/>
      <c r="Q1977" s="44" t="n"/>
      <c r="T1977" s="45" t="n"/>
      <c r="U1977" s="45" t="n"/>
    </row>
    <row r="1978">
      <c r="O1978" s="44" t="n"/>
      <c r="Q1978" s="44" t="n"/>
      <c r="T1978" s="45" t="n"/>
      <c r="U1978" s="45" t="n"/>
    </row>
    <row r="1979">
      <c r="O1979" s="44" t="n"/>
      <c r="Q1979" s="44" t="n"/>
      <c r="T1979" s="45" t="n"/>
      <c r="U1979" s="45" t="n"/>
    </row>
    <row r="1980">
      <c r="O1980" s="44" t="n"/>
      <c r="Q1980" s="44" t="n"/>
      <c r="T1980" s="45" t="n"/>
      <c r="U1980" s="45" t="n"/>
    </row>
    <row r="1981">
      <c r="O1981" s="44" t="n"/>
      <c r="Q1981" s="44" t="n"/>
      <c r="T1981" s="45" t="n"/>
      <c r="U1981" s="45" t="n"/>
    </row>
    <row r="1982">
      <c r="O1982" s="44" t="n"/>
      <c r="Q1982" s="44" t="n"/>
      <c r="T1982" s="45" t="n"/>
      <c r="U1982" s="45" t="n"/>
    </row>
    <row r="1983">
      <c r="O1983" s="44" t="n"/>
      <c r="Q1983" s="44" t="n"/>
      <c r="T1983" s="45" t="n"/>
      <c r="U1983" s="45" t="n"/>
    </row>
    <row r="1984">
      <c r="O1984" s="44" t="n"/>
      <c r="Q1984" s="44" t="n"/>
      <c r="T1984" s="45" t="n"/>
      <c r="U1984" s="45" t="n"/>
    </row>
    <row r="1985">
      <c r="O1985" s="44" t="n"/>
      <c r="Q1985" s="44" t="n"/>
      <c r="T1985" s="45" t="n"/>
      <c r="U1985" s="45" t="n"/>
    </row>
    <row r="1986">
      <c r="O1986" s="44" t="n"/>
      <c r="Q1986" s="44" t="n"/>
      <c r="T1986" s="45" t="n"/>
      <c r="U1986" s="45" t="n"/>
    </row>
    <row r="1987">
      <c r="O1987" s="44" t="n"/>
      <c r="Q1987" s="44" t="n"/>
      <c r="T1987" s="45" t="n"/>
      <c r="U1987" s="45" t="n"/>
    </row>
    <row r="1988">
      <c r="O1988" s="44" t="n"/>
      <c r="Q1988" s="44" t="n"/>
      <c r="T1988" s="45" t="n"/>
      <c r="U1988" s="45" t="n"/>
    </row>
    <row r="1989">
      <c r="O1989" s="44" t="n"/>
      <c r="Q1989" s="44" t="n"/>
      <c r="T1989" s="45" t="n"/>
      <c r="U1989" s="45" t="n"/>
    </row>
    <row r="1990">
      <c r="O1990" s="44" t="n"/>
      <c r="Q1990" s="44" t="n"/>
      <c r="T1990" s="45" t="n"/>
      <c r="U1990" s="45" t="n"/>
    </row>
    <row r="1991">
      <c r="O1991" s="44" t="n"/>
      <c r="Q1991" s="44" t="n"/>
      <c r="T1991" s="45" t="n"/>
      <c r="U1991" s="45" t="n"/>
    </row>
    <row r="1992">
      <c r="O1992" s="44" t="n"/>
      <c r="Q1992" s="44" t="n"/>
      <c r="T1992" s="45" t="n"/>
      <c r="U1992" s="45" t="n"/>
    </row>
    <row r="1993">
      <c r="O1993" s="44" t="n"/>
      <c r="Q1993" s="44" t="n"/>
      <c r="T1993" s="45" t="n"/>
      <c r="U1993" s="45" t="n"/>
    </row>
    <row r="1994">
      <c r="O1994" s="44" t="n"/>
      <c r="Q1994" s="44" t="n"/>
      <c r="T1994" s="45" t="n"/>
      <c r="U1994" s="45" t="n"/>
    </row>
    <row r="1995">
      <c r="O1995" s="44" t="n"/>
      <c r="Q1995" s="44" t="n"/>
      <c r="T1995" s="45" t="n"/>
      <c r="U1995" s="45" t="n"/>
    </row>
    <row r="1996">
      <c r="O1996" s="44" t="n"/>
      <c r="Q1996" s="44" t="n"/>
      <c r="T1996" s="45" t="n"/>
      <c r="U1996" s="45" t="n"/>
    </row>
    <row r="1997">
      <c r="O1997" s="44" t="n"/>
      <c r="Q1997" s="44" t="n"/>
      <c r="T1997" s="45" t="n"/>
      <c r="U1997" s="45" t="n"/>
    </row>
    <row r="1998">
      <c r="O1998" s="44" t="n"/>
      <c r="Q1998" s="44" t="n"/>
      <c r="T1998" s="45" t="n"/>
      <c r="U1998" s="45" t="n"/>
    </row>
    <row r="1999">
      <c r="O1999" s="44" t="n"/>
      <c r="Q1999" s="44" t="n"/>
      <c r="T1999" s="45" t="n"/>
      <c r="U1999" s="45" t="n"/>
    </row>
    <row r="2000">
      <c r="O2000" s="44" t="n"/>
      <c r="Q2000" s="44" t="n"/>
      <c r="T2000" s="45" t="n"/>
      <c r="U2000" s="45" t="n"/>
    </row>
    <row r="2001">
      <c r="O2001" s="44" t="n"/>
      <c r="Q2001" s="44" t="n"/>
      <c r="T2001" s="45" t="n"/>
      <c r="U2001" s="45" t="n"/>
    </row>
    <row r="2002">
      <c r="O2002" s="44" t="n"/>
      <c r="Q2002" s="44" t="n"/>
      <c r="T2002" s="45" t="n"/>
      <c r="U2002" s="45" t="n"/>
    </row>
    <row r="2003">
      <c r="O2003" s="44" t="n"/>
      <c r="Q2003" s="44" t="n"/>
      <c r="T2003" s="45" t="n"/>
      <c r="U2003" s="45" t="n"/>
    </row>
    <row r="2004">
      <c r="O2004" s="44" t="n"/>
      <c r="Q2004" s="44" t="n"/>
      <c r="T2004" s="45" t="n"/>
      <c r="U2004" s="45" t="n"/>
    </row>
    <row r="2005">
      <c r="O2005" s="44" t="n"/>
      <c r="Q2005" s="44" t="n"/>
      <c r="T2005" s="45" t="n"/>
      <c r="U2005" s="45" t="n"/>
    </row>
    <row r="2006">
      <c r="O2006" s="44" t="n"/>
      <c r="Q2006" s="44" t="n"/>
      <c r="T2006" s="45" t="n"/>
      <c r="U2006" s="45" t="n"/>
    </row>
    <row r="2007">
      <c r="O2007" s="44" t="n"/>
      <c r="Q2007" s="44" t="n"/>
      <c r="T2007" s="45" t="n"/>
      <c r="U2007" s="45" t="n"/>
    </row>
    <row r="2008">
      <c r="O2008" s="44" t="n"/>
      <c r="Q2008" s="44" t="n"/>
      <c r="T2008" s="45" t="n"/>
      <c r="U2008" s="45" t="n"/>
    </row>
    <row r="2009">
      <c r="O2009" s="44" t="n"/>
      <c r="Q2009" s="44" t="n"/>
      <c r="T2009" s="45" t="n"/>
      <c r="U2009" s="45" t="n"/>
    </row>
    <row r="2010">
      <c r="O2010" s="44" t="n"/>
      <c r="Q2010" s="44" t="n"/>
      <c r="T2010" s="45" t="n"/>
      <c r="U2010" s="45" t="n"/>
    </row>
    <row r="2011">
      <c r="O2011" s="44" t="n"/>
      <c r="Q2011" s="44" t="n"/>
      <c r="T2011" s="45" t="n"/>
      <c r="U2011" s="45" t="n"/>
    </row>
    <row r="2012">
      <c r="O2012" s="44" t="n"/>
      <c r="Q2012" s="44" t="n"/>
      <c r="T2012" s="45" t="n"/>
      <c r="U2012" s="45" t="n"/>
    </row>
    <row r="2013">
      <c r="O2013" s="44" t="n"/>
      <c r="Q2013" s="44" t="n"/>
      <c r="T2013" s="45" t="n"/>
      <c r="U2013" s="45" t="n"/>
    </row>
    <row r="2014">
      <c r="O2014" s="44" t="n"/>
      <c r="Q2014" s="44" t="n"/>
      <c r="T2014" s="45" t="n"/>
      <c r="U2014" s="45" t="n"/>
    </row>
    <row r="2015">
      <c r="O2015" s="44" t="n"/>
      <c r="Q2015" s="44" t="n"/>
      <c r="T2015" s="45" t="n"/>
      <c r="U2015" s="45" t="n"/>
    </row>
  </sheetData>
  <autoFilter ref="A15:AF2015"/>
  <dataValidations count="3">
    <dataValidation sqref="B16:B2015 R16:R2015" showDropDown="0" showInputMessage="0" showErrorMessage="0" allowBlank="1" type="list">
      <formula1>'選択肢マスター'!$T$2:$T$3</formula1>
    </dataValidation>
    <dataValidation sqref="C16:C2015" showDropDown="0" showInputMessage="0" showErrorMessage="0" allowBlank="1" type="list">
      <formula1>'選択肢マスター'!$U$2:$U$4</formula1>
    </dataValidation>
    <dataValidation sqref="P16:P2015 V16:V2015" showDropDown="0" showInputMessage="0" showErrorMessage="0" allowBlank="1" type="list">
      <formula1>'選択肢マスター'!$B$2:$B$23</formula1>
    </dataValidation>
  </dataValidations>
  <pageMargins left="0.75" right="0.75" top="1" bottom="1" header="0.5" footer="0.5"/>
</worksheet>
</file>

<file path=xl/worksheets/sheet35.xml><?xml version="1.0" encoding="utf-8"?>
<worksheet xmlns="http://schemas.openxmlformats.org/spreadsheetml/2006/main">
  <sheetPr>
    <tabColor rgb="00BDD7EE"/>
    <outlinePr summaryBelow="1" summaryRight="1"/>
    <pageSetUpPr/>
  </sheetPr>
  <dimension ref="A1:R1004"/>
  <sheetViews>
    <sheetView workbookViewId="0">
      <pane ySplit="4" topLeftCell="A5" activePane="bottomLeft" state="frozen"/>
      <selection pane="bottomLeft" activeCell="A1" sqref="A1"/>
    </sheetView>
  </sheetViews>
  <sheetFormatPr baseColWidth="8" defaultRowHeight="15"/>
  <cols>
    <col width="11" customWidth="1" min="1" max="1"/>
    <col width="10" customWidth="1" min="2" max="2"/>
    <col width="11" customWidth="1" min="3" max="3"/>
    <col width="18" customWidth="1" min="4" max="4"/>
    <col width="15" customWidth="1" min="5" max="5"/>
    <col width="13" customWidth="1" min="6" max="6"/>
    <col width="22" customWidth="1" min="7" max="7"/>
    <col width="11" customWidth="1" min="8" max="8"/>
    <col width="14" customWidth="1" min="9" max="9"/>
    <col width="12" customWidth="1" min="10" max="10"/>
    <col width="13" customWidth="1" min="11" max="11"/>
    <col width="11" customWidth="1" min="12" max="12"/>
    <col width="20" customWidth="1" min="13" max="13"/>
    <col width="30" customWidth="1" min="14" max="14"/>
    <col width="22" customWidth="1" min="16" max="16"/>
    <col width="13" customWidth="1" min="17" max="17"/>
    <col width="26" customWidth="1" min="18" max="18"/>
  </cols>
  <sheetData>
    <row r="1" ht="22" customHeight="1">
      <c r="A1" s="1" t="inlineStr">
        <is>
          <t>再販リスト — 案内時期が来た方を抽出する器</t>
        </is>
      </c>
    </row>
    <row r="2">
      <c r="A2" s="2" t="inlineStr">
        <is>
          <t>顧客管理台帳から貼り付けて使います。次回案内月は EDATE（最終施工日, サイクル月数）で自動計算。</t>
        </is>
      </c>
    </row>
    <row r="3">
      <c r="P3" s="11" t="inlineStr">
        <is>
          <t>▼ 推奨サイクル</t>
        </is>
      </c>
    </row>
    <row r="4" ht="30" customHeight="1">
      <c r="A4" s="3" t="inlineStr">
        <is>
          <t>顧客ID</t>
        </is>
      </c>
      <c r="B4" s="3" t="inlineStr">
        <is>
          <t>名義</t>
        </is>
      </c>
      <c r="C4" s="3" t="inlineStr">
        <is>
          <t>送信系統</t>
        </is>
      </c>
      <c r="D4" s="3" t="inlineStr">
        <is>
          <t>氏名</t>
        </is>
      </c>
      <c r="E4" s="3" t="inlineStr">
        <is>
          <t>TEL</t>
        </is>
      </c>
      <c r="F4" s="3" t="inlineStr">
        <is>
          <t>最終施工日</t>
        </is>
      </c>
      <c r="G4" s="3" t="inlineStr">
        <is>
          <t>実施メニュー</t>
        </is>
      </c>
      <c r="H4" s="3" t="inlineStr">
        <is>
          <t>サイクル(月)</t>
        </is>
      </c>
      <c r="I4" s="3" t="inlineStr">
        <is>
          <t>次回案内月(自動)</t>
        </is>
      </c>
      <c r="J4" s="3" t="inlineStr">
        <is>
          <t>案内状況</t>
        </is>
      </c>
      <c r="K4" s="3" t="inlineStr">
        <is>
          <t>案内日</t>
        </is>
      </c>
      <c r="L4" s="3" t="inlineStr">
        <is>
          <t>手段</t>
        </is>
      </c>
      <c r="M4" s="3" t="inlineStr">
        <is>
          <t>結果</t>
        </is>
      </c>
      <c r="N4" s="3" t="inlineStr">
        <is>
          <t>メモ</t>
        </is>
      </c>
      <c r="P4" s="3" t="inlineStr">
        <is>
          <t>メニュー</t>
        </is>
      </c>
      <c r="Q4" s="3" t="inlineStr">
        <is>
          <t>サイクル(月)</t>
        </is>
      </c>
      <c r="R4" s="3" t="inlineStr">
        <is>
          <t>案内の時期</t>
        </is>
      </c>
    </row>
    <row r="5">
      <c r="F5" s="44" t="n"/>
      <c r="I5" s="88">
        <f>IFERROR(EDATE($F5,$H5),"")</f>
        <v/>
      </c>
      <c r="K5" s="44" t="n"/>
      <c r="P5" t="inlineStr">
        <is>
          <t>エアコン(ノーマル/ロボ)</t>
        </is>
      </c>
      <c r="Q5" t="n">
        <v>12</v>
      </c>
      <c r="R5" s="2" t="inlineStr">
        <is>
          <t>3〜4月・9〜10月に案内</t>
        </is>
      </c>
    </row>
    <row r="6">
      <c r="F6" s="44" t="n"/>
      <c r="I6" s="88">
        <f>IFERROR(EDATE($F6,$H6),"")</f>
        <v/>
      </c>
      <c r="K6" s="44" t="n"/>
      <c r="P6" t="inlineStr">
        <is>
          <t>浴室</t>
        </is>
      </c>
      <c r="Q6" t="n">
        <v>12</v>
      </c>
      <c r="R6" s="2" t="inlineStr">
        <is>
          <t>施工の11か月後</t>
        </is>
      </c>
    </row>
    <row r="7">
      <c r="F7" s="44" t="n"/>
      <c r="I7" s="88">
        <f>IFERROR(EDATE($F7,$H7),"")</f>
        <v/>
      </c>
      <c r="K7" s="44" t="n"/>
      <c r="P7" t="inlineStr">
        <is>
          <t>換気扇（レンジフード）</t>
        </is>
      </c>
      <c r="Q7" t="n">
        <v>12</v>
      </c>
      <c r="R7" s="2" t="inlineStr">
        <is>
          <t>11〜12月（年末）</t>
        </is>
      </c>
    </row>
    <row r="8">
      <c r="F8" s="44" t="n"/>
      <c r="I8" s="88">
        <f>IFERROR(EDATE($F8,$H8),"")</f>
        <v/>
      </c>
      <c r="K8" s="44" t="n"/>
      <c r="P8" t="inlineStr">
        <is>
          <t>洗濯機</t>
        </is>
      </c>
      <c r="Q8" t="n">
        <v>12</v>
      </c>
      <c r="R8" s="2" t="inlineStr">
        <is>
          <t>施工の11か月後</t>
        </is>
      </c>
    </row>
    <row r="9">
      <c r="F9" s="44" t="n"/>
      <c r="I9" s="88">
        <f>IFERROR(EDATE($F9,$H9),"")</f>
        <v/>
      </c>
      <c r="K9" s="44" t="n"/>
      <c r="P9" t="inlineStr">
        <is>
          <t>トイレ/洗面</t>
        </is>
      </c>
      <c r="Q9" t="n">
        <v>12</v>
      </c>
      <c r="R9" s="2" t="inlineStr">
        <is>
          <t>他メニューと同時提案</t>
        </is>
      </c>
    </row>
    <row r="10">
      <c r="F10" s="44" t="n"/>
      <c r="I10" s="88">
        <f>IFERROR(EDATE($F10,$H10),"")</f>
        <v/>
      </c>
      <c r="K10" s="44" t="n"/>
      <c r="P10" t="inlineStr">
        <is>
          <t>追焚配管</t>
        </is>
      </c>
      <c r="Q10" t="n">
        <v>24</v>
      </c>
      <c r="R10" s="2" t="inlineStr">
        <is>
          <t>浴室と同時提案</t>
        </is>
      </c>
    </row>
    <row r="11">
      <c r="F11" s="44" t="n"/>
      <c r="I11" s="88">
        <f>IFERROR(EDATE($F11,$H11),"")</f>
        <v/>
      </c>
      <c r="K11" s="44" t="n"/>
      <c r="P11" t="inlineStr">
        <is>
          <t>おそうじ定期便</t>
        </is>
      </c>
      <c r="Q11" t="n">
        <v>1</v>
      </c>
      <c r="R11" s="2" t="inlineStr">
        <is>
          <t>毎月</t>
        </is>
      </c>
    </row>
    <row r="12">
      <c r="F12" s="44" t="n"/>
      <c r="I12" s="88">
        <f>IFERROR(EDATE($F12,$H12),"")</f>
        <v/>
      </c>
      <c r="K12" s="44" t="n"/>
      <c r="P12" t="inlineStr">
        <is>
          <t>定期清掃（法人）</t>
        </is>
      </c>
      <c r="Q12" t="n">
        <v>1</v>
      </c>
      <c r="R12" s="2" t="inlineStr">
        <is>
          <t>契約による</t>
        </is>
      </c>
    </row>
    <row r="13">
      <c r="F13" s="44" t="n"/>
      <c r="I13" s="88">
        <f>IFERROR(EDATE($F13,$H13),"")</f>
        <v/>
      </c>
      <c r="K13" s="44" t="n"/>
    </row>
    <row r="14">
      <c r="F14" s="44" t="n"/>
      <c r="I14" s="88">
        <f>IFERROR(EDATE($F14,$H14),"")</f>
        <v/>
      </c>
      <c r="K14" s="44" t="n"/>
    </row>
    <row r="15">
      <c r="F15" s="44" t="n"/>
      <c r="I15" s="88">
        <f>IFERROR(EDATE($F15,$H15),"")</f>
        <v/>
      </c>
      <c r="K15" s="44" t="n"/>
      <c r="P15" s="8" t="inlineStr">
        <is>
          <t>【送る前に必ず】</t>
        </is>
      </c>
    </row>
    <row r="16">
      <c r="F16" s="44" t="n"/>
      <c r="I16" s="88">
        <f>IFERROR(EDATE($F16,$H16),"")</f>
        <v/>
      </c>
      <c r="K16" s="44" t="n"/>
      <c r="P16" s="2" t="inlineStr">
        <is>
          <t>・楽ラクーン経由は連絡不可。送信系統で外す</t>
        </is>
      </c>
    </row>
    <row r="17">
      <c r="F17" s="44" t="n"/>
      <c r="I17" s="88">
        <f>IFERROR(EDATE($F17,$H17),"")</f>
        <v/>
      </c>
      <c r="K17" s="44" t="n"/>
      <c r="P17" s="2" t="inlineStr">
        <is>
          <t>・スケジュールマッチング／入札案件は「本舗の番号」から</t>
        </is>
      </c>
    </row>
    <row r="18">
      <c r="F18" s="44" t="n"/>
      <c r="I18" s="88">
        <f>IFERROR(EDATE($F18,$H18),"")</f>
        <v/>
      </c>
      <c r="K18" s="44" t="n"/>
      <c r="P18" s="2" t="inlineStr">
        <is>
          <t>・名乗り（ワンヒッター／おそうじ本舗）は台帳の最終施工の名義と機械照合してから</t>
        </is>
      </c>
    </row>
    <row r="19">
      <c r="F19" s="44" t="n"/>
      <c r="I19" s="88">
        <f>IFERROR(EDATE($F19,$H19),"")</f>
        <v/>
      </c>
      <c r="K19" s="44" t="n"/>
      <c r="P19" s="2" t="inlineStr">
        <is>
          <t>・実施メニュー列だけで「未購入」を判定しない。備考の全文キーワード照合を併用</t>
        </is>
      </c>
    </row>
    <row r="20">
      <c r="F20" s="44" t="n"/>
      <c r="I20" s="88">
        <f>IFERROR(EDATE($F20,$H20),"")</f>
        <v/>
      </c>
      <c r="K20" s="44" t="n"/>
      <c r="P20" s="2" t="inlineStr">
        <is>
          <t xml:space="preserve">　（2026年分だけで21行・14名が該当。既に施工済みのお客様へ売り込むことになる）</t>
        </is>
      </c>
    </row>
    <row r="21">
      <c r="F21" s="44" t="n"/>
      <c r="I21" s="88">
        <f>IFERROR(EDATE($F21,$H21),"")</f>
        <v/>
      </c>
      <c r="K21" s="44" t="n"/>
    </row>
    <row r="22">
      <c r="F22" s="44" t="n"/>
      <c r="I22" s="88">
        <f>IFERROR(EDATE($F22,$H22),"")</f>
        <v/>
      </c>
      <c r="K22" s="44" t="n"/>
    </row>
    <row r="23">
      <c r="F23" s="44" t="n"/>
      <c r="I23" s="88">
        <f>IFERROR(EDATE($F23,$H23),"")</f>
        <v/>
      </c>
      <c r="K23" s="44" t="n"/>
    </row>
    <row r="24">
      <c r="F24" s="44" t="n"/>
      <c r="I24" s="88">
        <f>IFERROR(EDATE($F24,$H24),"")</f>
        <v/>
      </c>
      <c r="K24" s="44" t="n"/>
    </row>
    <row r="25">
      <c r="F25" s="44" t="n"/>
      <c r="I25" s="88">
        <f>IFERROR(EDATE($F25,$H25),"")</f>
        <v/>
      </c>
      <c r="K25" s="44" t="n"/>
    </row>
    <row r="26">
      <c r="F26" s="44" t="n"/>
      <c r="I26" s="88">
        <f>IFERROR(EDATE($F26,$H26),"")</f>
        <v/>
      </c>
      <c r="K26" s="44" t="n"/>
    </row>
    <row r="27">
      <c r="F27" s="44" t="n"/>
      <c r="I27" s="88">
        <f>IFERROR(EDATE($F27,$H27),"")</f>
        <v/>
      </c>
      <c r="K27" s="44" t="n"/>
    </row>
    <row r="28">
      <c r="F28" s="44" t="n"/>
      <c r="I28" s="88">
        <f>IFERROR(EDATE($F28,$H28),"")</f>
        <v/>
      </c>
      <c r="K28" s="44" t="n"/>
    </row>
    <row r="29">
      <c r="F29" s="44" t="n"/>
      <c r="I29" s="88">
        <f>IFERROR(EDATE($F29,$H29),"")</f>
        <v/>
      </c>
      <c r="K29" s="44" t="n"/>
    </row>
    <row r="30">
      <c r="F30" s="44" t="n"/>
      <c r="I30" s="88">
        <f>IFERROR(EDATE($F30,$H30),"")</f>
        <v/>
      </c>
      <c r="K30" s="44" t="n"/>
    </row>
    <row r="31">
      <c r="F31" s="44" t="n"/>
      <c r="I31" s="88">
        <f>IFERROR(EDATE($F31,$H31),"")</f>
        <v/>
      </c>
      <c r="K31" s="44" t="n"/>
    </row>
    <row r="32">
      <c r="F32" s="44" t="n"/>
      <c r="I32" s="88">
        <f>IFERROR(EDATE($F32,$H32),"")</f>
        <v/>
      </c>
      <c r="K32" s="44" t="n"/>
    </row>
    <row r="33">
      <c r="F33" s="44" t="n"/>
      <c r="I33" s="88">
        <f>IFERROR(EDATE($F33,$H33),"")</f>
        <v/>
      </c>
      <c r="K33" s="44" t="n"/>
    </row>
    <row r="34">
      <c r="F34" s="44" t="n"/>
      <c r="I34" s="88">
        <f>IFERROR(EDATE($F34,$H34),"")</f>
        <v/>
      </c>
      <c r="K34" s="44" t="n"/>
    </row>
    <row r="35">
      <c r="F35" s="44" t="n"/>
      <c r="I35" s="88">
        <f>IFERROR(EDATE($F35,$H35),"")</f>
        <v/>
      </c>
      <c r="K35" s="44" t="n"/>
    </row>
    <row r="36">
      <c r="F36" s="44" t="n"/>
      <c r="I36" s="88">
        <f>IFERROR(EDATE($F36,$H36),"")</f>
        <v/>
      </c>
      <c r="K36" s="44" t="n"/>
    </row>
    <row r="37">
      <c r="F37" s="44" t="n"/>
      <c r="I37" s="88">
        <f>IFERROR(EDATE($F37,$H37),"")</f>
        <v/>
      </c>
      <c r="K37" s="44" t="n"/>
    </row>
    <row r="38">
      <c r="F38" s="44" t="n"/>
      <c r="I38" s="88">
        <f>IFERROR(EDATE($F38,$H38),"")</f>
        <v/>
      </c>
      <c r="K38" s="44" t="n"/>
    </row>
    <row r="39">
      <c r="F39" s="44" t="n"/>
      <c r="I39" s="88">
        <f>IFERROR(EDATE($F39,$H39),"")</f>
        <v/>
      </c>
      <c r="K39" s="44" t="n"/>
    </row>
    <row r="40">
      <c r="F40" s="44" t="n"/>
      <c r="I40" s="88">
        <f>IFERROR(EDATE($F40,$H40),"")</f>
        <v/>
      </c>
      <c r="K40" s="44" t="n"/>
    </row>
    <row r="41">
      <c r="F41" s="44" t="n"/>
      <c r="I41" s="88">
        <f>IFERROR(EDATE($F41,$H41),"")</f>
        <v/>
      </c>
      <c r="K41" s="44" t="n"/>
    </row>
    <row r="42">
      <c r="F42" s="44" t="n"/>
      <c r="I42" s="88">
        <f>IFERROR(EDATE($F42,$H42),"")</f>
        <v/>
      </c>
      <c r="K42" s="44" t="n"/>
    </row>
    <row r="43">
      <c r="F43" s="44" t="n"/>
      <c r="I43" s="88">
        <f>IFERROR(EDATE($F43,$H43),"")</f>
        <v/>
      </c>
      <c r="K43" s="44" t="n"/>
    </row>
    <row r="44">
      <c r="F44" s="44" t="n"/>
      <c r="I44" s="88">
        <f>IFERROR(EDATE($F44,$H44),"")</f>
        <v/>
      </c>
      <c r="K44" s="44" t="n"/>
    </row>
    <row r="45">
      <c r="F45" s="44" t="n"/>
      <c r="I45" s="88">
        <f>IFERROR(EDATE($F45,$H45),"")</f>
        <v/>
      </c>
      <c r="K45" s="44" t="n"/>
    </row>
    <row r="46">
      <c r="F46" s="44" t="n"/>
      <c r="I46" s="88">
        <f>IFERROR(EDATE($F46,$H46),"")</f>
        <v/>
      </c>
      <c r="K46" s="44" t="n"/>
    </row>
    <row r="47">
      <c r="F47" s="44" t="n"/>
      <c r="I47" s="88">
        <f>IFERROR(EDATE($F47,$H47),"")</f>
        <v/>
      </c>
      <c r="K47" s="44" t="n"/>
    </row>
    <row r="48">
      <c r="F48" s="44" t="n"/>
      <c r="I48" s="88">
        <f>IFERROR(EDATE($F48,$H48),"")</f>
        <v/>
      </c>
      <c r="K48" s="44" t="n"/>
    </row>
    <row r="49">
      <c r="F49" s="44" t="n"/>
      <c r="I49" s="88">
        <f>IFERROR(EDATE($F49,$H49),"")</f>
        <v/>
      </c>
      <c r="K49" s="44" t="n"/>
    </row>
    <row r="50">
      <c r="F50" s="44" t="n"/>
      <c r="I50" s="88">
        <f>IFERROR(EDATE($F50,$H50),"")</f>
        <v/>
      </c>
      <c r="K50" s="44" t="n"/>
    </row>
    <row r="51">
      <c r="F51" s="44" t="n"/>
      <c r="I51" s="88">
        <f>IFERROR(EDATE($F51,$H51),"")</f>
        <v/>
      </c>
      <c r="K51" s="44" t="n"/>
    </row>
    <row r="52">
      <c r="F52" s="44" t="n"/>
      <c r="I52" s="88">
        <f>IFERROR(EDATE($F52,$H52),"")</f>
        <v/>
      </c>
      <c r="K52" s="44" t="n"/>
    </row>
    <row r="53">
      <c r="F53" s="44" t="n"/>
      <c r="I53" s="88">
        <f>IFERROR(EDATE($F53,$H53),"")</f>
        <v/>
      </c>
      <c r="K53" s="44" t="n"/>
    </row>
    <row r="54">
      <c r="F54" s="44" t="n"/>
      <c r="I54" s="88">
        <f>IFERROR(EDATE($F54,$H54),"")</f>
        <v/>
      </c>
      <c r="K54" s="44" t="n"/>
    </row>
    <row r="55">
      <c r="F55" s="44" t="n"/>
      <c r="I55" s="88">
        <f>IFERROR(EDATE($F55,$H55),"")</f>
        <v/>
      </c>
      <c r="K55" s="44" t="n"/>
    </row>
    <row r="56">
      <c r="F56" s="44" t="n"/>
      <c r="I56" s="88">
        <f>IFERROR(EDATE($F56,$H56),"")</f>
        <v/>
      </c>
      <c r="K56" s="44" t="n"/>
    </row>
    <row r="57">
      <c r="F57" s="44" t="n"/>
      <c r="I57" s="88">
        <f>IFERROR(EDATE($F57,$H57),"")</f>
        <v/>
      </c>
      <c r="K57" s="44" t="n"/>
    </row>
    <row r="58">
      <c r="F58" s="44" t="n"/>
      <c r="I58" s="88">
        <f>IFERROR(EDATE($F58,$H58),"")</f>
        <v/>
      </c>
      <c r="K58" s="44" t="n"/>
    </row>
    <row r="59">
      <c r="F59" s="44" t="n"/>
      <c r="I59" s="88">
        <f>IFERROR(EDATE($F59,$H59),"")</f>
        <v/>
      </c>
      <c r="K59" s="44" t="n"/>
    </row>
    <row r="60">
      <c r="F60" s="44" t="n"/>
      <c r="I60" s="88">
        <f>IFERROR(EDATE($F60,$H60),"")</f>
        <v/>
      </c>
      <c r="K60" s="44" t="n"/>
    </row>
    <row r="61">
      <c r="F61" s="44" t="n"/>
      <c r="I61" s="88">
        <f>IFERROR(EDATE($F61,$H61),"")</f>
        <v/>
      </c>
      <c r="K61" s="44" t="n"/>
    </row>
    <row r="62">
      <c r="F62" s="44" t="n"/>
      <c r="I62" s="88">
        <f>IFERROR(EDATE($F62,$H62),"")</f>
        <v/>
      </c>
      <c r="K62" s="44" t="n"/>
    </row>
    <row r="63">
      <c r="F63" s="44" t="n"/>
      <c r="I63" s="88">
        <f>IFERROR(EDATE($F63,$H63),"")</f>
        <v/>
      </c>
      <c r="K63" s="44" t="n"/>
    </row>
    <row r="64">
      <c r="F64" s="44" t="n"/>
      <c r="I64" s="88">
        <f>IFERROR(EDATE($F64,$H64),"")</f>
        <v/>
      </c>
      <c r="K64" s="44" t="n"/>
    </row>
    <row r="65">
      <c r="F65" s="44" t="n"/>
      <c r="I65" s="88">
        <f>IFERROR(EDATE($F65,$H65),"")</f>
        <v/>
      </c>
      <c r="K65" s="44" t="n"/>
    </row>
    <row r="66">
      <c r="F66" s="44" t="n"/>
      <c r="I66" s="88">
        <f>IFERROR(EDATE($F66,$H66),"")</f>
        <v/>
      </c>
      <c r="K66" s="44" t="n"/>
    </row>
    <row r="67">
      <c r="F67" s="44" t="n"/>
      <c r="I67" s="88">
        <f>IFERROR(EDATE($F67,$H67),"")</f>
        <v/>
      </c>
      <c r="K67" s="44" t="n"/>
    </row>
    <row r="68">
      <c r="F68" s="44" t="n"/>
      <c r="I68" s="88">
        <f>IFERROR(EDATE($F68,$H68),"")</f>
        <v/>
      </c>
      <c r="K68" s="44" t="n"/>
    </row>
    <row r="69">
      <c r="F69" s="44" t="n"/>
      <c r="I69" s="88">
        <f>IFERROR(EDATE($F69,$H69),"")</f>
        <v/>
      </c>
      <c r="K69" s="44" t="n"/>
    </row>
    <row r="70">
      <c r="F70" s="44" t="n"/>
      <c r="I70" s="88">
        <f>IFERROR(EDATE($F70,$H70),"")</f>
        <v/>
      </c>
      <c r="K70" s="44" t="n"/>
    </row>
    <row r="71">
      <c r="F71" s="44" t="n"/>
      <c r="I71" s="88">
        <f>IFERROR(EDATE($F71,$H71),"")</f>
        <v/>
      </c>
      <c r="K71" s="44" t="n"/>
    </row>
    <row r="72">
      <c r="F72" s="44" t="n"/>
      <c r="I72" s="88">
        <f>IFERROR(EDATE($F72,$H72),"")</f>
        <v/>
      </c>
      <c r="K72" s="44" t="n"/>
    </row>
    <row r="73">
      <c r="F73" s="44" t="n"/>
      <c r="I73" s="88">
        <f>IFERROR(EDATE($F73,$H73),"")</f>
        <v/>
      </c>
      <c r="K73" s="44" t="n"/>
    </row>
    <row r="74">
      <c r="F74" s="44" t="n"/>
      <c r="I74" s="88">
        <f>IFERROR(EDATE($F74,$H74),"")</f>
        <v/>
      </c>
      <c r="K74" s="44" t="n"/>
    </row>
    <row r="75">
      <c r="F75" s="44" t="n"/>
      <c r="I75" s="88">
        <f>IFERROR(EDATE($F75,$H75),"")</f>
        <v/>
      </c>
      <c r="K75" s="44" t="n"/>
    </row>
    <row r="76">
      <c r="F76" s="44" t="n"/>
      <c r="I76" s="88">
        <f>IFERROR(EDATE($F76,$H76),"")</f>
        <v/>
      </c>
      <c r="K76" s="44" t="n"/>
    </row>
    <row r="77">
      <c r="F77" s="44" t="n"/>
      <c r="I77" s="88">
        <f>IFERROR(EDATE($F77,$H77),"")</f>
        <v/>
      </c>
      <c r="K77" s="44" t="n"/>
    </row>
    <row r="78">
      <c r="F78" s="44" t="n"/>
      <c r="I78" s="88">
        <f>IFERROR(EDATE($F78,$H78),"")</f>
        <v/>
      </c>
      <c r="K78" s="44" t="n"/>
    </row>
    <row r="79">
      <c r="F79" s="44" t="n"/>
      <c r="I79" s="88">
        <f>IFERROR(EDATE($F79,$H79),"")</f>
        <v/>
      </c>
      <c r="K79" s="44" t="n"/>
    </row>
    <row r="80">
      <c r="F80" s="44" t="n"/>
      <c r="I80" s="88">
        <f>IFERROR(EDATE($F80,$H80),"")</f>
        <v/>
      </c>
      <c r="K80" s="44" t="n"/>
    </row>
    <row r="81">
      <c r="F81" s="44" t="n"/>
      <c r="I81" s="88">
        <f>IFERROR(EDATE($F81,$H81),"")</f>
        <v/>
      </c>
      <c r="K81" s="44" t="n"/>
    </row>
    <row r="82">
      <c r="F82" s="44" t="n"/>
      <c r="I82" s="88">
        <f>IFERROR(EDATE($F82,$H82),"")</f>
        <v/>
      </c>
      <c r="K82" s="44" t="n"/>
    </row>
    <row r="83">
      <c r="F83" s="44" t="n"/>
      <c r="I83" s="88">
        <f>IFERROR(EDATE($F83,$H83),"")</f>
        <v/>
      </c>
      <c r="K83" s="44" t="n"/>
    </row>
    <row r="84">
      <c r="F84" s="44" t="n"/>
      <c r="I84" s="88">
        <f>IFERROR(EDATE($F84,$H84),"")</f>
        <v/>
      </c>
      <c r="K84" s="44" t="n"/>
    </row>
    <row r="85">
      <c r="F85" s="44" t="n"/>
      <c r="I85" s="88">
        <f>IFERROR(EDATE($F85,$H85),"")</f>
        <v/>
      </c>
      <c r="K85" s="44" t="n"/>
    </row>
    <row r="86">
      <c r="F86" s="44" t="n"/>
      <c r="I86" s="88">
        <f>IFERROR(EDATE($F86,$H86),"")</f>
        <v/>
      </c>
      <c r="K86" s="44" t="n"/>
    </row>
    <row r="87">
      <c r="F87" s="44" t="n"/>
      <c r="I87" s="88">
        <f>IFERROR(EDATE($F87,$H87),"")</f>
        <v/>
      </c>
      <c r="K87" s="44" t="n"/>
    </row>
    <row r="88">
      <c r="F88" s="44" t="n"/>
      <c r="I88" s="88">
        <f>IFERROR(EDATE($F88,$H88),"")</f>
        <v/>
      </c>
      <c r="K88" s="44" t="n"/>
    </row>
    <row r="89">
      <c r="F89" s="44" t="n"/>
      <c r="I89" s="88">
        <f>IFERROR(EDATE($F89,$H89),"")</f>
        <v/>
      </c>
      <c r="K89" s="44" t="n"/>
    </row>
    <row r="90">
      <c r="F90" s="44" t="n"/>
      <c r="I90" s="88">
        <f>IFERROR(EDATE($F90,$H90),"")</f>
        <v/>
      </c>
      <c r="K90" s="44" t="n"/>
    </row>
    <row r="91">
      <c r="F91" s="44" t="n"/>
      <c r="I91" s="88">
        <f>IFERROR(EDATE($F91,$H91),"")</f>
        <v/>
      </c>
      <c r="K91" s="44" t="n"/>
    </row>
    <row r="92">
      <c r="F92" s="44" t="n"/>
      <c r="I92" s="88">
        <f>IFERROR(EDATE($F92,$H92),"")</f>
        <v/>
      </c>
      <c r="K92" s="44" t="n"/>
    </row>
    <row r="93">
      <c r="F93" s="44" t="n"/>
      <c r="I93" s="88">
        <f>IFERROR(EDATE($F93,$H93),"")</f>
        <v/>
      </c>
      <c r="K93" s="44" t="n"/>
    </row>
    <row r="94">
      <c r="F94" s="44" t="n"/>
      <c r="I94" s="88">
        <f>IFERROR(EDATE($F94,$H94),"")</f>
        <v/>
      </c>
      <c r="K94" s="44" t="n"/>
    </row>
    <row r="95">
      <c r="F95" s="44" t="n"/>
      <c r="I95" s="88">
        <f>IFERROR(EDATE($F95,$H95),"")</f>
        <v/>
      </c>
      <c r="K95" s="44" t="n"/>
    </row>
    <row r="96">
      <c r="F96" s="44" t="n"/>
      <c r="I96" s="88">
        <f>IFERROR(EDATE($F96,$H96),"")</f>
        <v/>
      </c>
      <c r="K96" s="44" t="n"/>
    </row>
    <row r="97">
      <c r="F97" s="44" t="n"/>
      <c r="I97" s="88">
        <f>IFERROR(EDATE($F97,$H97),"")</f>
        <v/>
      </c>
      <c r="K97" s="44" t="n"/>
    </row>
    <row r="98">
      <c r="F98" s="44" t="n"/>
      <c r="I98" s="88">
        <f>IFERROR(EDATE($F98,$H98),"")</f>
        <v/>
      </c>
      <c r="K98" s="44" t="n"/>
    </row>
    <row r="99">
      <c r="F99" s="44" t="n"/>
      <c r="I99" s="88">
        <f>IFERROR(EDATE($F99,$H99),"")</f>
        <v/>
      </c>
      <c r="K99" s="44" t="n"/>
    </row>
    <row r="100">
      <c r="F100" s="44" t="n"/>
      <c r="I100" s="88">
        <f>IFERROR(EDATE($F100,$H100),"")</f>
        <v/>
      </c>
      <c r="K100" s="44" t="n"/>
    </row>
    <row r="101">
      <c r="F101" s="44" t="n"/>
      <c r="I101" s="88">
        <f>IFERROR(EDATE($F101,$H101),"")</f>
        <v/>
      </c>
      <c r="K101" s="44" t="n"/>
    </row>
    <row r="102">
      <c r="F102" s="44" t="n"/>
      <c r="I102" s="88">
        <f>IFERROR(EDATE($F102,$H102),"")</f>
        <v/>
      </c>
      <c r="K102" s="44" t="n"/>
    </row>
    <row r="103">
      <c r="F103" s="44" t="n"/>
      <c r="I103" s="88">
        <f>IFERROR(EDATE($F103,$H103),"")</f>
        <v/>
      </c>
      <c r="K103" s="44" t="n"/>
    </row>
    <row r="104">
      <c r="F104" s="44" t="n"/>
      <c r="I104" s="88">
        <f>IFERROR(EDATE($F104,$H104),"")</f>
        <v/>
      </c>
      <c r="K104" s="44" t="n"/>
    </row>
    <row r="105">
      <c r="F105" s="44" t="n"/>
      <c r="I105" s="88">
        <f>IFERROR(EDATE($F105,$H105),"")</f>
        <v/>
      </c>
      <c r="K105" s="44" t="n"/>
    </row>
    <row r="106">
      <c r="F106" s="44" t="n"/>
      <c r="I106" s="88">
        <f>IFERROR(EDATE($F106,$H106),"")</f>
        <v/>
      </c>
      <c r="K106" s="44" t="n"/>
    </row>
    <row r="107">
      <c r="F107" s="44" t="n"/>
      <c r="I107" s="88">
        <f>IFERROR(EDATE($F107,$H107),"")</f>
        <v/>
      </c>
      <c r="K107" s="44" t="n"/>
    </row>
    <row r="108">
      <c r="F108" s="44" t="n"/>
      <c r="I108" s="88">
        <f>IFERROR(EDATE($F108,$H108),"")</f>
        <v/>
      </c>
      <c r="K108" s="44" t="n"/>
    </row>
    <row r="109">
      <c r="F109" s="44" t="n"/>
      <c r="I109" s="88">
        <f>IFERROR(EDATE($F109,$H109),"")</f>
        <v/>
      </c>
      <c r="K109" s="44" t="n"/>
    </row>
    <row r="110">
      <c r="F110" s="44" t="n"/>
      <c r="I110" s="88">
        <f>IFERROR(EDATE($F110,$H110),"")</f>
        <v/>
      </c>
      <c r="K110" s="44" t="n"/>
    </row>
    <row r="111">
      <c r="F111" s="44" t="n"/>
      <c r="I111" s="88">
        <f>IFERROR(EDATE($F111,$H111),"")</f>
        <v/>
      </c>
      <c r="K111" s="44" t="n"/>
    </row>
    <row r="112">
      <c r="F112" s="44" t="n"/>
      <c r="I112" s="88">
        <f>IFERROR(EDATE($F112,$H112),"")</f>
        <v/>
      </c>
      <c r="K112" s="44" t="n"/>
    </row>
    <row r="113">
      <c r="F113" s="44" t="n"/>
      <c r="I113" s="88">
        <f>IFERROR(EDATE($F113,$H113),"")</f>
        <v/>
      </c>
      <c r="K113" s="44" t="n"/>
    </row>
    <row r="114">
      <c r="F114" s="44" t="n"/>
      <c r="I114" s="88">
        <f>IFERROR(EDATE($F114,$H114),"")</f>
        <v/>
      </c>
      <c r="K114" s="44" t="n"/>
    </row>
    <row r="115">
      <c r="F115" s="44" t="n"/>
      <c r="I115" s="88">
        <f>IFERROR(EDATE($F115,$H115),"")</f>
        <v/>
      </c>
      <c r="K115" s="44" t="n"/>
    </row>
    <row r="116">
      <c r="F116" s="44" t="n"/>
      <c r="I116" s="88">
        <f>IFERROR(EDATE($F116,$H116),"")</f>
        <v/>
      </c>
      <c r="K116" s="44" t="n"/>
    </row>
    <row r="117">
      <c r="F117" s="44" t="n"/>
      <c r="I117" s="88">
        <f>IFERROR(EDATE($F117,$H117),"")</f>
        <v/>
      </c>
      <c r="K117" s="44" t="n"/>
    </row>
    <row r="118">
      <c r="F118" s="44" t="n"/>
      <c r="I118" s="88">
        <f>IFERROR(EDATE($F118,$H118),"")</f>
        <v/>
      </c>
      <c r="K118" s="44" t="n"/>
    </row>
    <row r="119">
      <c r="F119" s="44" t="n"/>
      <c r="I119" s="88">
        <f>IFERROR(EDATE($F119,$H119),"")</f>
        <v/>
      </c>
      <c r="K119" s="44" t="n"/>
    </row>
    <row r="120">
      <c r="F120" s="44" t="n"/>
      <c r="I120" s="88">
        <f>IFERROR(EDATE($F120,$H120),"")</f>
        <v/>
      </c>
      <c r="K120" s="44" t="n"/>
    </row>
    <row r="121">
      <c r="F121" s="44" t="n"/>
      <c r="I121" s="88">
        <f>IFERROR(EDATE($F121,$H121),"")</f>
        <v/>
      </c>
      <c r="K121" s="44" t="n"/>
    </row>
    <row r="122">
      <c r="F122" s="44" t="n"/>
      <c r="I122" s="88">
        <f>IFERROR(EDATE($F122,$H122),"")</f>
        <v/>
      </c>
      <c r="K122" s="44" t="n"/>
    </row>
    <row r="123">
      <c r="F123" s="44" t="n"/>
      <c r="I123" s="88">
        <f>IFERROR(EDATE($F123,$H123),"")</f>
        <v/>
      </c>
      <c r="K123" s="44" t="n"/>
    </row>
    <row r="124">
      <c r="F124" s="44" t="n"/>
      <c r="I124" s="88">
        <f>IFERROR(EDATE($F124,$H124),"")</f>
        <v/>
      </c>
      <c r="K124" s="44" t="n"/>
    </row>
    <row r="125">
      <c r="F125" s="44" t="n"/>
      <c r="I125" s="88">
        <f>IFERROR(EDATE($F125,$H125),"")</f>
        <v/>
      </c>
      <c r="K125" s="44" t="n"/>
    </row>
    <row r="126">
      <c r="F126" s="44" t="n"/>
      <c r="I126" s="88">
        <f>IFERROR(EDATE($F126,$H126),"")</f>
        <v/>
      </c>
      <c r="K126" s="44" t="n"/>
    </row>
    <row r="127">
      <c r="F127" s="44" t="n"/>
      <c r="I127" s="88">
        <f>IFERROR(EDATE($F127,$H127),"")</f>
        <v/>
      </c>
      <c r="K127" s="44" t="n"/>
    </row>
    <row r="128">
      <c r="F128" s="44" t="n"/>
      <c r="I128" s="88">
        <f>IFERROR(EDATE($F128,$H128),"")</f>
        <v/>
      </c>
      <c r="K128" s="44" t="n"/>
    </row>
    <row r="129">
      <c r="F129" s="44" t="n"/>
      <c r="I129" s="88">
        <f>IFERROR(EDATE($F129,$H129),"")</f>
        <v/>
      </c>
      <c r="K129" s="44" t="n"/>
    </row>
    <row r="130">
      <c r="F130" s="44" t="n"/>
      <c r="I130" s="88">
        <f>IFERROR(EDATE($F130,$H130),"")</f>
        <v/>
      </c>
      <c r="K130" s="44" t="n"/>
    </row>
    <row r="131">
      <c r="F131" s="44" t="n"/>
      <c r="I131" s="88">
        <f>IFERROR(EDATE($F131,$H131),"")</f>
        <v/>
      </c>
      <c r="K131" s="44" t="n"/>
    </row>
    <row r="132">
      <c r="F132" s="44" t="n"/>
      <c r="I132" s="88">
        <f>IFERROR(EDATE($F132,$H132),"")</f>
        <v/>
      </c>
      <c r="K132" s="44" t="n"/>
    </row>
    <row r="133">
      <c r="F133" s="44" t="n"/>
      <c r="I133" s="88">
        <f>IFERROR(EDATE($F133,$H133),"")</f>
        <v/>
      </c>
      <c r="K133" s="44" t="n"/>
    </row>
    <row r="134">
      <c r="F134" s="44" t="n"/>
      <c r="I134" s="88">
        <f>IFERROR(EDATE($F134,$H134),"")</f>
        <v/>
      </c>
      <c r="K134" s="44" t="n"/>
    </row>
    <row r="135">
      <c r="F135" s="44" t="n"/>
      <c r="I135" s="88">
        <f>IFERROR(EDATE($F135,$H135),"")</f>
        <v/>
      </c>
      <c r="K135" s="44" t="n"/>
    </row>
    <row r="136">
      <c r="F136" s="44" t="n"/>
      <c r="I136" s="88">
        <f>IFERROR(EDATE($F136,$H136),"")</f>
        <v/>
      </c>
      <c r="K136" s="44" t="n"/>
    </row>
    <row r="137">
      <c r="F137" s="44" t="n"/>
      <c r="I137" s="88">
        <f>IFERROR(EDATE($F137,$H137),"")</f>
        <v/>
      </c>
      <c r="K137" s="44" t="n"/>
    </row>
    <row r="138">
      <c r="F138" s="44" t="n"/>
      <c r="I138" s="88">
        <f>IFERROR(EDATE($F138,$H138),"")</f>
        <v/>
      </c>
      <c r="K138" s="44" t="n"/>
    </row>
    <row r="139">
      <c r="F139" s="44" t="n"/>
      <c r="I139" s="88">
        <f>IFERROR(EDATE($F139,$H139),"")</f>
        <v/>
      </c>
      <c r="K139" s="44" t="n"/>
    </row>
    <row r="140">
      <c r="F140" s="44" t="n"/>
      <c r="I140" s="88">
        <f>IFERROR(EDATE($F140,$H140),"")</f>
        <v/>
      </c>
      <c r="K140" s="44" t="n"/>
    </row>
    <row r="141">
      <c r="F141" s="44" t="n"/>
      <c r="I141" s="88">
        <f>IFERROR(EDATE($F141,$H141),"")</f>
        <v/>
      </c>
      <c r="K141" s="44" t="n"/>
    </row>
    <row r="142">
      <c r="F142" s="44" t="n"/>
      <c r="I142" s="88">
        <f>IFERROR(EDATE($F142,$H142),"")</f>
        <v/>
      </c>
      <c r="K142" s="44" t="n"/>
    </row>
    <row r="143">
      <c r="F143" s="44" t="n"/>
      <c r="I143" s="88">
        <f>IFERROR(EDATE($F143,$H143),"")</f>
        <v/>
      </c>
      <c r="K143" s="44" t="n"/>
    </row>
    <row r="144">
      <c r="F144" s="44" t="n"/>
      <c r="I144" s="88">
        <f>IFERROR(EDATE($F144,$H144),"")</f>
        <v/>
      </c>
      <c r="K144" s="44" t="n"/>
    </row>
    <row r="145">
      <c r="F145" s="44" t="n"/>
      <c r="I145" s="88">
        <f>IFERROR(EDATE($F145,$H145),"")</f>
        <v/>
      </c>
      <c r="K145" s="44" t="n"/>
    </row>
    <row r="146">
      <c r="F146" s="44" t="n"/>
      <c r="I146" s="88">
        <f>IFERROR(EDATE($F146,$H146),"")</f>
        <v/>
      </c>
      <c r="K146" s="44" t="n"/>
    </row>
    <row r="147">
      <c r="F147" s="44" t="n"/>
      <c r="I147" s="88">
        <f>IFERROR(EDATE($F147,$H147),"")</f>
        <v/>
      </c>
      <c r="K147" s="44" t="n"/>
    </row>
    <row r="148">
      <c r="F148" s="44" t="n"/>
      <c r="I148" s="88">
        <f>IFERROR(EDATE($F148,$H148),"")</f>
        <v/>
      </c>
      <c r="K148" s="44" t="n"/>
    </row>
    <row r="149">
      <c r="F149" s="44" t="n"/>
      <c r="I149" s="88">
        <f>IFERROR(EDATE($F149,$H149),"")</f>
        <v/>
      </c>
      <c r="K149" s="44" t="n"/>
    </row>
    <row r="150">
      <c r="F150" s="44" t="n"/>
      <c r="I150" s="88">
        <f>IFERROR(EDATE($F150,$H150),"")</f>
        <v/>
      </c>
      <c r="K150" s="44" t="n"/>
    </row>
    <row r="151">
      <c r="F151" s="44" t="n"/>
      <c r="I151" s="88">
        <f>IFERROR(EDATE($F151,$H151),"")</f>
        <v/>
      </c>
      <c r="K151" s="44" t="n"/>
    </row>
    <row r="152">
      <c r="F152" s="44" t="n"/>
      <c r="I152" s="88">
        <f>IFERROR(EDATE($F152,$H152),"")</f>
        <v/>
      </c>
      <c r="K152" s="44" t="n"/>
    </row>
    <row r="153">
      <c r="F153" s="44" t="n"/>
      <c r="I153" s="88">
        <f>IFERROR(EDATE($F153,$H153),"")</f>
        <v/>
      </c>
      <c r="K153" s="44" t="n"/>
    </row>
    <row r="154">
      <c r="F154" s="44" t="n"/>
      <c r="I154" s="88">
        <f>IFERROR(EDATE($F154,$H154),"")</f>
        <v/>
      </c>
      <c r="K154" s="44" t="n"/>
    </row>
    <row r="155">
      <c r="F155" s="44" t="n"/>
      <c r="I155" s="88">
        <f>IFERROR(EDATE($F155,$H155),"")</f>
        <v/>
      </c>
      <c r="K155" s="44" t="n"/>
    </row>
    <row r="156">
      <c r="F156" s="44" t="n"/>
      <c r="I156" s="88">
        <f>IFERROR(EDATE($F156,$H156),"")</f>
        <v/>
      </c>
      <c r="K156" s="44" t="n"/>
    </row>
    <row r="157">
      <c r="F157" s="44" t="n"/>
      <c r="I157" s="88">
        <f>IFERROR(EDATE($F157,$H157),"")</f>
        <v/>
      </c>
      <c r="K157" s="44" t="n"/>
    </row>
    <row r="158">
      <c r="F158" s="44" t="n"/>
      <c r="I158" s="88">
        <f>IFERROR(EDATE($F158,$H158),"")</f>
        <v/>
      </c>
      <c r="K158" s="44" t="n"/>
    </row>
    <row r="159">
      <c r="F159" s="44" t="n"/>
      <c r="I159" s="88">
        <f>IFERROR(EDATE($F159,$H159),"")</f>
        <v/>
      </c>
      <c r="K159" s="44" t="n"/>
    </row>
    <row r="160">
      <c r="F160" s="44" t="n"/>
      <c r="I160" s="88">
        <f>IFERROR(EDATE($F160,$H160),"")</f>
        <v/>
      </c>
      <c r="K160" s="44" t="n"/>
    </row>
    <row r="161">
      <c r="F161" s="44" t="n"/>
      <c r="I161" s="88">
        <f>IFERROR(EDATE($F161,$H161),"")</f>
        <v/>
      </c>
      <c r="K161" s="44" t="n"/>
    </row>
    <row r="162">
      <c r="F162" s="44" t="n"/>
      <c r="I162" s="88">
        <f>IFERROR(EDATE($F162,$H162),"")</f>
        <v/>
      </c>
      <c r="K162" s="44" t="n"/>
    </row>
    <row r="163">
      <c r="F163" s="44" t="n"/>
      <c r="I163" s="88">
        <f>IFERROR(EDATE($F163,$H163),"")</f>
        <v/>
      </c>
      <c r="K163" s="44" t="n"/>
    </row>
    <row r="164">
      <c r="F164" s="44" t="n"/>
      <c r="I164" s="88">
        <f>IFERROR(EDATE($F164,$H164),"")</f>
        <v/>
      </c>
      <c r="K164" s="44" t="n"/>
    </row>
    <row r="165">
      <c r="F165" s="44" t="n"/>
      <c r="I165" s="88">
        <f>IFERROR(EDATE($F165,$H165),"")</f>
        <v/>
      </c>
      <c r="K165" s="44" t="n"/>
    </row>
    <row r="166">
      <c r="F166" s="44" t="n"/>
      <c r="I166" s="88">
        <f>IFERROR(EDATE($F166,$H166),"")</f>
        <v/>
      </c>
      <c r="K166" s="44" t="n"/>
    </row>
    <row r="167">
      <c r="F167" s="44" t="n"/>
      <c r="I167" s="88">
        <f>IFERROR(EDATE($F167,$H167),"")</f>
        <v/>
      </c>
      <c r="K167" s="44" t="n"/>
    </row>
    <row r="168">
      <c r="F168" s="44" t="n"/>
      <c r="I168" s="88">
        <f>IFERROR(EDATE($F168,$H168),"")</f>
        <v/>
      </c>
      <c r="K168" s="44" t="n"/>
    </row>
    <row r="169">
      <c r="F169" s="44" t="n"/>
      <c r="I169" s="88">
        <f>IFERROR(EDATE($F169,$H169),"")</f>
        <v/>
      </c>
      <c r="K169" s="44" t="n"/>
    </row>
    <row r="170">
      <c r="F170" s="44" t="n"/>
      <c r="I170" s="88">
        <f>IFERROR(EDATE($F170,$H170),"")</f>
        <v/>
      </c>
      <c r="K170" s="44" t="n"/>
    </row>
    <row r="171">
      <c r="F171" s="44" t="n"/>
      <c r="I171" s="88">
        <f>IFERROR(EDATE($F171,$H171),"")</f>
        <v/>
      </c>
      <c r="K171" s="44" t="n"/>
    </row>
    <row r="172">
      <c r="F172" s="44" t="n"/>
      <c r="I172" s="88">
        <f>IFERROR(EDATE($F172,$H172),"")</f>
        <v/>
      </c>
      <c r="K172" s="44" t="n"/>
    </row>
    <row r="173">
      <c r="F173" s="44" t="n"/>
      <c r="I173" s="88">
        <f>IFERROR(EDATE($F173,$H173),"")</f>
        <v/>
      </c>
      <c r="K173" s="44" t="n"/>
    </row>
    <row r="174">
      <c r="F174" s="44" t="n"/>
      <c r="I174" s="88">
        <f>IFERROR(EDATE($F174,$H174),"")</f>
        <v/>
      </c>
      <c r="K174" s="44" t="n"/>
    </row>
    <row r="175">
      <c r="F175" s="44" t="n"/>
      <c r="I175" s="88">
        <f>IFERROR(EDATE($F175,$H175),"")</f>
        <v/>
      </c>
      <c r="K175" s="44" t="n"/>
    </row>
    <row r="176">
      <c r="F176" s="44" t="n"/>
      <c r="I176" s="88">
        <f>IFERROR(EDATE($F176,$H176),"")</f>
        <v/>
      </c>
      <c r="K176" s="44" t="n"/>
    </row>
    <row r="177">
      <c r="F177" s="44" t="n"/>
      <c r="I177" s="88">
        <f>IFERROR(EDATE($F177,$H177),"")</f>
        <v/>
      </c>
      <c r="K177" s="44" t="n"/>
    </row>
    <row r="178">
      <c r="F178" s="44" t="n"/>
      <c r="I178" s="88">
        <f>IFERROR(EDATE($F178,$H178),"")</f>
        <v/>
      </c>
      <c r="K178" s="44" t="n"/>
    </row>
    <row r="179">
      <c r="F179" s="44" t="n"/>
      <c r="I179" s="88">
        <f>IFERROR(EDATE($F179,$H179),"")</f>
        <v/>
      </c>
      <c r="K179" s="44" t="n"/>
    </row>
    <row r="180">
      <c r="F180" s="44" t="n"/>
      <c r="I180" s="88">
        <f>IFERROR(EDATE($F180,$H180),"")</f>
        <v/>
      </c>
      <c r="K180" s="44" t="n"/>
    </row>
    <row r="181">
      <c r="F181" s="44" t="n"/>
      <c r="I181" s="88">
        <f>IFERROR(EDATE($F181,$H181),"")</f>
        <v/>
      </c>
      <c r="K181" s="44" t="n"/>
    </row>
    <row r="182">
      <c r="F182" s="44" t="n"/>
      <c r="I182" s="88">
        <f>IFERROR(EDATE($F182,$H182),"")</f>
        <v/>
      </c>
      <c r="K182" s="44" t="n"/>
    </row>
    <row r="183">
      <c r="F183" s="44" t="n"/>
      <c r="I183" s="88">
        <f>IFERROR(EDATE($F183,$H183),"")</f>
        <v/>
      </c>
      <c r="K183" s="44" t="n"/>
    </row>
    <row r="184">
      <c r="F184" s="44" t="n"/>
      <c r="I184" s="88">
        <f>IFERROR(EDATE($F184,$H184),"")</f>
        <v/>
      </c>
      <c r="K184" s="44" t="n"/>
    </row>
    <row r="185">
      <c r="F185" s="44" t="n"/>
      <c r="I185" s="88">
        <f>IFERROR(EDATE($F185,$H185),"")</f>
        <v/>
      </c>
      <c r="K185" s="44" t="n"/>
    </row>
    <row r="186">
      <c r="F186" s="44" t="n"/>
      <c r="I186" s="88">
        <f>IFERROR(EDATE($F186,$H186),"")</f>
        <v/>
      </c>
      <c r="K186" s="44" t="n"/>
    </row>
    <row r="187">
      <c r="F187" s="44" t="n"/>
      <c r="I187" s="88">
        <f>IFERROR(EDATE($F187,$H187),"")</f>
        <v/>
      </c>
      <c r="K187" s="44" t="n"/>
    </row>
    <row r="188">
      <c r="F188" s="44" t="n"/>
      <c r="I188" s="88">
        <f>IFERROR(EDATE($F188,$H188),"")</f>
        <v/>
      </c>
      <c r="K188" s="44" t="n"/>
    </row>
    <row r="189">
      <c r="F189" s="44" t="n"/>
      <c r="I189" s="88">
        <f>IFERROR(EDATE($F189,$H189),"")</f>
        <v/>
      </c>
      <c r="K189" s="44" t="n"/>
    </row>
    <row r="190">
      <c r="F190" s="44" t="n"/>
      <c r="I190" s="88">
        <f>IFERROR(EDATE($F190,$H190),"")</f>
        <v/>
      </c>
      <c r="K190" s="44" t="n"/>
    </row>
    <row r="191">
      <c r="F191" s="44" t="n"/>
      <c r="I191" s="88">
        <f>IFERROR(EDATE($F191,$H191),"")</f>
        <v/>
      </c>
      <c r="K191" s="44" t="n"/>
    </row>
    <row r="192">
      <c r="F192" s="44" t="n"/>
      <c r="I192" s="88">
        <f>IFERROR(EDATE($F192,$H192),"")</f>
        <v/>
      </c>
      <c r="K192" s="44" t="n"/>
    </row>
    <row r="193">
      <c r="F193" s="44" t="n"/>
      <c r="I193" s="88">
        <f>IFERROR(EDATE($F193,$H193),"")</f>
        <v/>
      </c>
      <c r="K193" s="44" t="n"/>
    </row>
    <row r="194">
      <c r="F194" s="44" t="n"/>
      <c r="I194" s="88">
        <f>IFERROR(EDATE($F194,$H194),"")</f>
        <v/>
      </c>
      <c r="K194" s="44" t="n"/>
    </row>
    <row r="195">
      <c r="F195" s="44" t="n"/>
      <c r="I195" s="88">
        <f>IFERROR(EDATE($F195,$H195),"")</f>
        <v/>
      </c>
      <c r="K195" s="44" t="n"/>
    </row>
    <row r="196">
      <c r="F196" s="44" t="n"/>
      <c r="I196" s="88">
        <f>IFERROR(EDATE($F196,$H196),"")</f>
        <v/>
      </c>
      <c r="K196" s="44" t="n"/>
    </row>
    <row r="197">
      <c r="F197" s="44" t="n"/>
      <c r="I197" s="88">
        <f>IFERROR(EDATE($F197,$H197),"")</f>
        <v/>
      </c>
      <c r="K197" s="44" t="n"/>
    </row>
    <row r="198">
      <c r="F198" s="44" t="n"/>
      <c r="I198" s="88">
        <f>IFERROR(EDATE($F198,$H198),"")</f>
        <v/>
      </c>
      <c r="K198" s="44" t="n"/>
    </row>
    <row r="199">
      <c r="F199" s="44" t="n"/>
      <c r="I199" s="88">
        <f>IFERROR(EDATE($F199,$H199),"")</f>
        <v/>
      </c>
      <c r="K199" s="44" t="n"/>
    </row>
    <row r="200">
      <c r="F200" s="44" t="n"/>
      <c r="I200" s="88">
        <f>IFERROR(EDATE($F200,$H200),"")</f>
        <v/>
      </c>
      <c r="K200" s="44" t="n"/>
    </row>
    <row r="201">
      <c r="F201" s="44" t="n"/>
      <c r="I201" s="88">
        <f>IFERROR(EDATE($F201,$H201),"")</f>
        <v/>
      </c>
      <c r="K201" s="44" t="n"/>
    </row>
    <row r="202">
      <c r="F202" s="44" t="n"/>
      <c r="I202" s="88">
        <f>IFERROR(EDATE($F202,$H202),"")</f>
        <v/>
      </c>
      <c r="K202" s="44" t="n"/>
    </row>
    <row r="203">
      <c r="F203" s="44" t="n"/>
      <c r="I203" s="88">
        <f>IFERROR(EDATE($F203,$H203),"")</f>
        <v/>
      </c>
      <c r="K203" s="44" t="n"/>
    </row>
    <row r="204">
      <c r="F204" s="44" t="n"/>
      <c r="I204" s="88">
        <f>IFERROR(EDATE($F204,$H204),"")</f>
        <v/>
      </c>
      <c r="K204" s="44" t="n"/>
    </row>
    <row r="205">
      <c r="F205" s="44" t="n"/>
      <c r="I205" s="88">
        <f>IFERROR(EDATE($F205,$H205),"")</f>
        <v/>
      </c>
      <c r="K205" s="44" t="n"/>
    </row>
    <row r="206">
      <c r="F206" s="44" t="n"/>
      <c r="I206" s="88">
        <f>IFERROR(EDATE($F206,$H206),"")</f>
        <v/>
      </c>
      <c r="K206" s="44" t="n"/>
    </row>
    <row r="207">
      <c r="F207" s="44" t="n"/>
      <c r="I207" s="88">
        <f>IFERROR(EDATE($F207,$H207),"")</f>
        <v/>
      </c>
      <c r="K207" s="44" t="n"/>
    </row>
    <row r="208">
      <c r="F208" s="44" t="n"/>
      <c r="I208" s="88">
        <f>IFERROR(EDATE($F208,$H208),"")</f>
        <v/>
      </c>
      <c r="K208" s="44" t="n"/>
    </row>
    <row r="209">
      <c r="F209" s="44" t="n"/>
      <c r="I209" s="88">
        <f>IFERROR(EDATE($F209,$H209),"")</f>
        <v/>
      </c>
      <c r="K209" s="44" t="n"/>
    </row>
    <row r="210">
      <c r="F210" s="44" t="n"/>
      <c r="I210" s="88">
        <f>IFERROR(EDATE($F210,$H210),"")</f>
        <v/>
      </c>
      <c r="K210" s="44" t="n"/>
    </row>
    <row r="211">
      <c r="F211" s="44" t="n"/>
      <c r="I211" s="88">
        <f>IFERROR(EDATE($F211,$H211),"")</f>
        <v/>
      </c>
      <c r="K211" s="44" t="n"/>
    </row>
    <row r="212">
      <c r="F212" s="44" t="n"/>
      <c r="I212" s="88">
        <f>IFERROR(EDATE($F212,$H212),"")</f>
        <v/>
      </c>
      <c r="K212" s="44" t="n"/>
    </row>
    <row r="213">
      <c r="F213" s="44" t="n"/>
      <c r="I213" s="88">
        <f>IFERROR(EDATE($F213,$H213),"")</f>
        <v/>
      </c>
      <c r="K213" s="44" t="n"/>
    </row>
    <row r="214">
      <c r="F214" s="44" t="n"/>
      <c r="I214" s="88">
        <f>IFERROR(EDATE($F214,$H214),"")</f>
        <v/>
      </c>
      <c r="K214" s="44" t="n"/>
    </row>
    <row r="215">
      <c r="F215" s="44" t="n"/>
      <c r="I215" s="88">
        <f>IFERROR(EDATE($F215,$H215),"")</f>
        <v/>
      </c>
      <c r="K215" s="44" t="n"/>
    </row>
    <row r="216">
      <c r="F216" s="44" t="n"/>
      <c r="I216" s="88">
        <f>IFERROR(EDATE($F216,$H216),"")</f>
        <v/>
      </c>
      <c r="K216" s="44" t="n"/>
    </row>
    <row r="217">
      <c r="F217" s="44" t="n"/>
      <c r="I217" s="88">
        <f>IFERROR(EDATE($F217,$H217),"")</f>
        <v/>
      </c>
      <c r="K217" s="44" t="n"/>
    </row>
    <row r="218">
      <c r="F218" s="44" t="n"/>
      <c r="I218" s="88">
        <f>IFERROR(EDATE($F218,$H218),"")</f>
        <v/>
      </c>
      <c r="K218" s="44" t="n"/>
    </row>
    <row r="219">
      <c r="F219" s="44" t="n"/>
      <c r="I219" s="88">
        <f>IFERROR(EDATE($F219,$H219),"")</f>
        <v/>
      </c>
      <c r="K219" s="44" t="n"/>
    </row>
    <row r="220">
      <c r="F220" s="44" t="n"/>
      <c r="I220" s="88">
        <f>IFERROR(EDATE($F220,$H220),"")</f>
        <v/>
      </c>
      <c r="K220" s="44" t="n"/>
    </row>
    <row r="221">
      <c r="F221" s="44" t="n"/>
      <c r="I221" s="88">
        <f>IFERROR(EDATE($F221,$H221),"")</f>
        <v/>
      </c>
      <c r="K221" s="44" t="n"/>
    </row>
    <row r="222">
      <c r="F222" s="44" t="n"/>
      <c r="I222" s="88">
        <f>IFERROR(EDATE($F222,$H222),"")</f>
        <v/>
      </c>
      <c r="K222" s="44" t="n"/>
    </row>
    <row r="223">
      <c r="F223" s="44" t="n"/>
      <c r="I223" s="88">
        <f>IFERROR(EDATE($F223,$H223),"")</f>
        <v/>
      </c>
      <c r="K223" s="44" t="n"/>
    </row>
    <row r="224">
      <c r="F224" s="44" t="n"/>
      <c r="I224" s="88">
        <f>IFERROR(EDATE($F224,$H224),"")</f>
        <v/>
      </c>
      <c r="K224" s="44" t="n"/>
    </row>
    <row r="225">
      <c r="F225" s="44" t="n"/>
      <c r="I225" s="88">
        <f>IFERROR(EDATE($F225,$H225),"")</f>
        <v/>
      </c>
      <c r="K225" s="44" t="n"/>
    </row>
    <row r="226">
      <c r="F226" s="44" t="n"/>
      <c r="I226" s="88">
        <f>IFERROR(EDATE($F226,$H226),"")</f>
        <v/>
      </c>
      <c r="K226" s="44" t="n"/>
    </row>
    <row r="227">
      <c r="F227" s="44" t="n"/>
      <c r="I227" s="88">
        <f>IFERROR(EDATE($F227,$H227),"")</f>
        <v/>
      </c>
      <c r="K227" s="44" t="n"/>
    </row>
    <row r="228">
      <c r="F228" s="44" t="n"/>
      <c r="I228" s="88">
        <f>IFERROR(EDATE($F228,$H228),"")</f>
        <v/>
      </c>
      <c r="K228" s="44" t="n"/>
    </row>
    <row r="229">
      <c r="F229" s="44" t="n"/>
      <c r="I229" s="88">
        <f>IFERROR(EDATE($F229,$H229),"")</f>
        <v/>
      </c>
      <c r="K229" s="44" t="n"/>
    </row>
    <row r="230">
      <c r="F230" s="44" t="n"/>
      <c r="I230" s="88">
        <f>IFERROR(EDATE($F230,$H230),"")</f>
        <v/>
      </c>
      <c r="K230" s="44" t="n"/>
    </row>
    <row r="231">
      <c r="F231" s="44" t="n"/>
      <c r="I231" s="88">
        <f>IFERROR(EDATE($F231,$H231),"")</f>
        <v/>
      </c>
      <c r="K231" s="44" t="n"/>
    </row>
    <row r="232">
      <c r="F232" s="44" t="n"/>
      <c r="I232" s="88">
        <f>IFERROR(EDATE($F232,$H232),"")</f>
        <v/>
      </c>
      <c r="K232" s="44" t="n"/>
    </row>
    <row r="233">
      <c r="F233" s="44" t="n"/>
      <c r="I233" s="88">
        <f>IFERROR(EDATE($F233,$H233),"")</f>
        <v/>
      </c>
      <c r="K233" s="44" t="n"/>
    </row>
    <row r="234">
      <c r="F234" s="44" t="n"/>
      <c r="I234" s="88">
        <f>IFERROR(EDATE($F234,$H234),"")</f>
        <v/>
      </c>
      <c r="K234" s="44" t="n"/>
    </row>
    <row r="235">
      <c r="F235" s="44" t="n"/>
      <c r="I235" s="88">
        <f>IFERROR(EDATE($F235,$H235),"")</f>
        <v/>
      </c>
      <c r="K235" s="44" t="n"/>
    </row>
    <row r="236">
      <c r="F236" s="44" t="n"/>
      <c r="I236" s="88">
        <f>IFERROR(EDATE($F236,$H236),"")</f>
        <v/>
      </c>
      <c r="K236" s="44" t="n"/>
    </row>
    <row r="237">
      <c r="F237" s="44" t="n"/>
      <c r="I237" s="88">
        <f>IFERROR(EDATE($F237,$H237),"")</f>
        <v/>
      </c>
      <c r="K237" s="44" t="n"/>
    </row>
    <row r="238">
      <c r="F238" s="44" t="n"/>
      <c r="I238" s="88">
        <f>IFERROR(EDATE($F238,$H238),"")</f>
        <v/>
      </c>
      <c r="K238" s="44" t="n"/>
    </row>
    <row r="239">
      <c r="F239" s="44" t="n"/>
      <c r="I239" s="88">
        <f>IFERROR(EDATE($F239,$H239),"")</f>
        <v/>
      </c>
      <c r="K239" s="44" t="n"/>
    </row>
    <row r="240">
      <c r="F240" s="44" t="n"/>
      <c r="I240" s="88">
        <f>IFERROR(EDATE($F240,$H240),"")</f>
        <v/>
      </c>
      <c r="K240" s="44" t="n"/>
    </row>
    <row r="241">
      <c r="F241" s="44" t="n"/>
      <c r="I241" s="88">
        <f>IFERROR(EDATE($F241,$H241),"")</f>
        <v/>
      </c>
      <c r="K241" s="44" t="n"/>
    </row>
    <row r="242">
      <c r="F242" s="44" t="n"/>
      <c r="I242" s="88">
        <f>IFERROR(EDATE($F242,$H242),"")</f>
        <v/>
      </c>
      <c r="K242" s="44" t="n"/>
    </row>
    <row r="243">
      <c r="F243" s="44" t="n"/>
      <c r="I243" s="88">
        <f>IFERROR(EDATE($F243,$H243),"")</f>
        <v/>
      </c>
      <c r="K243" s="44" t="n"/>
    </row>
    <row r="244">
      <c r="F244" s="44" t="n"/>
      <c r="I244" s="88">
        <f>IFERROR(EDATE($F244,$H244),"")</f>
        <v/>
      </c>
      <c r="K244" s="44" t="n"/>
    </row>
    <row r="245">
      <c r="F245" s="44" t="n"/>
      <c r="I245" s="88">
        <f>IFERROR(EDATE($F245,$H245),"")</f>
        <v/>
      </c>
      <c r="K245" s="44" t="n"/>
    </row>
    <row r="246">
      <c r="F246" s="44" t="n"/>
      <c r="I246" s="88">
        <f>IFERROR(EDATE($F246,$H246),"")</f>
        <v/>
      </c>
      <c r="K246" s="44" t="n"/>
    </row>
    <row r="247">
      <c r="F247" s="44" t="n"/>
      <c r="I247" s="88">
        <f>IFERROR(EDATE($F247,$H247),"")</f>
        <v/>
      </c>
      <c r="K247" s="44" t="n"/>
    </row>
    <row r="248">
      <c r="F248" s="44" t="n"/>
      <c r="I248" s="88">
        <f>IFERROR(EDATE($F248,$H248),"")</f>
        <v/>
      </c>
      <c r="K248" s="44" t="n"/>
    </row>
    <row r="249">
      <c r="F249" s="44" t="n"/>
      <c r="I249" s="88">
        <f>IFERROR(EDATE($F249,$H249),"")</f>
        <v/>
      </c>
      <c r="K249" s="44" t="n"/>
    </row>
    <row r="250">
      <c r="F250" s="44" t="n"/>
      <c r="I250" s="88">
        <f>IFERROR(EDATE($F250,$H250),"")</f>
        <v/>
      </c>
      <c r="K250" s="44" t="n"/>
    </row>
    <row r="251">
      <c r="F251" s="44" t="n"/>
      <c r="I251" s="88">
        <f>IFERROR(EDATE($F251,$H251),"")</f>
        <v/>
      </c>
      <c r="K251" s="44" t="n"/>
    </row>
    <row r="252">
      <c r="F252" s="44" t="n"/>
      <c r="I252" s="88">
        <f>IFERROR(EDATE($F252,$H252),"")</f>
        <v/>
      </c>
      <c r="K252" s="44" t="n"/>
    </row>
    <row r="253">
      <c r="F253" s="44" t="n"/>
      <c r="I253" s="88">
        <f>IFERROR(EDATE($F253,$H253),"")</f>
        <v/>
      </c>
      <c r="K253" s="44" t="n"/>
    </row>
    <row r="254">
      <c r="F254" s="44" t="n"/>
      <c r="I254" s="88">
        <f>IFERROR(EDATE($F254,$H254),"")</f>
        <v/>
      </c>
      <c r="K254" s="44" t="n"/>
    </row>
    <row r="255">
      <c r="F255" s="44" t="n"/>
      <c r="I255" s="88">
        <f>IFERROR(EDATE($F255,$H255),"")</f>
        <v/>
      </c>
      <c r="K255" s="44" t="n"/>
    </row>
    <row r="256">
      <c r="F256" s="44" t="n"/>
      <c r="I256" s="88">
        <f>IFERROR(EDATE($F256,$H256),"")</f>
        <v/>
      </c>
      <c r="K256" s="44" t="n"/>
    </row>
    <row r="257">
      <c r="F257" s="44" t="n"/>
      <c r="I257" s="88">
        <f>IFERROR(EDATE($F257,$H257),"")</f>
        <v/>
      </c>
      <c r="K257" s="44" t="n"/>
    </row>
    <row r="258">
      <c r="F258" s="44" t="n"/>
      <c r="I258" s="88">
        <f>IFERROR(EDATE($F258,$H258),"")</f>
        <v/>
      </c>
      <c r="K258" s="44" t="n"/>
    </row>
    <row r="259">
      <c r="F259" s="44" t="n"/>
      <c r="I259" s="88">
        <f>IFERROR(EDATE($F259,$H259),"")</f>
        <v/>
      </c>
      <c r="K259" s="44" t="n"/>
    </row>
    <row r="260">
      <c r="F260" s="44" t="n"/>
      <c r="I260" s="88">
        <f>IFERROR(EDATE($F260,$H260),"")</f>
        <v/>
      </c>
      <c r="K260" s="44" t="n"/>
    </row>
    <row r="261">
      <c r="F261" s="44" t="n"/>
      <c r="I261" s="88">
        <f>IFERROR(EDATE($F261,$H261),"")</f>
        <v/>
      </c>
      <c r="K261" s="44" t="n"/>
    </row>
    <row r="262">
      <c r="F262" s="44" t="n"/>
      <c r="I262" s="88">
        <f>IFERROR(EDATE($F262,$H262),"")</f>
        <v/>
      </c>
      <c r="K262" s="44" t="n"/>
    </row>
    <row r="263">
      <c r="F263" s="44" t="n"/>
      <c r="I263" s="88">
        <f>IFERROR(EDATE($F263,$H263),"")</f>
        <v/>
      </c>
      <c r="K263" s="44" t="n"/>
    </row>
    <row r="264">
      <c r="F264" s="44" t="n"/>
      <c r="I264" s="88">
        <f>IFERROR(EDATE($F264,$H264),"")</f>
        <v/>
      </c>
      <c r="K264" s="44" t="n"/>
    </row>
    <row r="265">
      <c r="F265" s="44" t="n"/>
      <c r="I265" s="88">
        <f>IFERROR(EDATE($F265,$H265),"")</f>
        <v/>
      </c>
      <c r="K265" s="44" t="n"/>
    </row>
    <row r="266">
      <c r="F266" s="44" t="n"/>
      <c r="I266" s="88">
        <f>IFERROR(EDATE($F266,$H266),"")</f>
        <v/>
      </c>
      <c r="K266" s="44" t="n"/>
    </row>
    <row r="267">
      <c r="F267" s="44" t="n"/>
      <c r="I267" s="88">
        <f>IFERROR(EDATE($F267,$H267),"")</f>
        <v/>
      </c>
      <c r="K267" s="44" t="n"/>
    </row>
    <row r="268">
      <c r="F268" s="44" t="n"/>
      <c r="I268" s="88">
        <f>IFERROR(EDATE($F268,$H268),"")</f>
        <v/>
      </c>
      <c r="K268" s="44" t="n"/>
    </row>
    <row r="269">
      <c r="F269" s="44" t="n"/>
      <c r="I269" s="88">
        <f>IFERROR(EDATE($F269,$H269),"")</f>
        <v/>
      </c>
      <c r="K269" s="44" t="n"/>
    </row>
    <row r="270">
      <c r="F270" s="44" t="n"/>
      <c r="I270" s="88">
        <f>IFERROR(EDATE($F270,$H270),"")</f>
        <v/>
      </c>
      <c r="K270" s="44" t="n"/>
    </row>
    <row r="271">
      <c r="F271" s="44" t="n"/>
      <c r="I271" s="88">
        <f>IFERROR(EDATE($F271,$H271),"")</f>
        <v/>
      </c>
      <c r="K271" s="44" t="n"/>
    </row>
    <row r="272">
      <c r="F272" s="44" t="n"/>
      <c r="I272" s="88">
        <f>IFERROR(EDATE($F272,$H272),"")</f>
        <v/>
      </c>
      <c r="K272" s="44" t="n"/>
    </row>
    <row r="273">
      <c r="F273" s="44" t="n"/>
      <c r="I273" s="88">
        <f>IFERROR(EDATE($F273,$H273),"")</f>
        <v/>
      </c>
      <c r="K273" s="44" t="n"/>
    </row>
    <row r="274">
      <c r="F274" s="44" t="n"/>
      <c r="I274" s="88">
        <f>IFERROR(EDATE($F274,$H274),"")</f>
        <v/>
      </c>
      <c r="K274" s="44" t="n"/>
    </row>
    <row r="275">
      <c r="F275" s="44" t="n"/>
      <c r="I275" s="88">
        <f>IFERROR(EDATE($F275,$H275),"")</f>
        <v/>
      </c>
      <c r="K275" s="44" t="n"/>
    </row>
    <row r="276">
      <c r="F276" s="44" t="n"/>
      <c r="I276" s="88">
        <f>IFERROR(EDATE($F276,$H276),"")</f>
        <v/>
      </c>
      <c r="K276" s="44" t="n"/>
    </row>
    <row r="277">
      <c r="F277" s="44" t="n"/>
      <c r="I277" s="88">
        <f>IFERROR(EDATE($F277,$H277),"")</f>
        <v/>
      </c>
      <c r="K277" s="44" t="n"/>
    </row>
    <row r="278">
      <c r="F278" s="44" t="n"/>
      <c r="I278" s="88">
        <f>IFERROR(EDATE($F278,$H278),"")</f>
        <v/>
      </c>
      <c r="K278" s="44" t="n"/>
    </row>
    <row r="279">
      <c r="F279" s="44" t="n"/>
      <c r="I279" s="88">
        <f>IFERROR(EDATE($F279,$H279),"")</f>
        <v/>
      </c>
      <c r="K279" s="44" t="n"/>
    </row>
    <row r="280">
      <c r="F280" s="44" t="n"/>
      <c r="I280" s="88">
        <f>IFERROR(EDATE($F280,$H280),"")</f>
        <v/>
      </c>
      <c r="K280" s="44" t="n"/>
    </row>
    <row r="281">
      <c r="F281" s="44" t="n"/>
      <c r="I281" s="88">
        <f>IFERROR(EDATE($F281,$H281),"")</f>
        <v/>
      </c>
      <c r="K281" s="44" t="n"/>
    </row>
    <row r="282">
      <c r="F282" s="44" t="n"/>
      <c r="I282" s="88">
        <f>IFERROR(EDATE($F282,$H282),"")</f>
        <v/>
      </c>
      <c r="K282" s="44" t="n"/>
    </row>
    <row r="283">
      <c r="F283" s="44" t="n"/>
      <c r="I283" s="88">
        <f>IFERROR(EDATE($F283,$H283),"")</f>
        <v/>
      </c>
      <c r="K283" s="44" t="n"/>
    </row>
    <row r="284">
      <c r="F284" s="44" t="n"/>
      <c r="I284" s="88">
        <f>IFERROR(EDATE($F284,$H284),"")</f>
        <v/>
      </c>
      <c r="K284" s="44" t="n"/>
    </row>
    <row r="285">
      <c r="F285" s="44" t="n"/>
      <c r="I285" s="88">
        <f>IFERROR(EDATE($F285,$H285),"")</f>
        <v/>
      </c>
      <c r="K285" s="44" t="n"/>
    </row>
    <row r="286">
      <c r="F286" s="44" t="n"/>
      <c r="I286" s="88">
        <f>IFERROR(EDATE($F286,$H286),"")</f>
        <v/>
      </c>
      <c r="K286" s="44" t="n"/>
    </row>
    <row r="287">
      <c r="F287" s="44" t="n"/>
      <c r="I287" s="88">
        <f>IFERROR(EDATE($F287,$H287),"")</f>
        <v/>
      </c>
      <c r="K287" s="44" t="n"/>
    </row>
    <row r="288">
      <c r="F288" s="44" t="n"/>
      <c r="I288" s="88">
        <f>IFERROR(EDATE($F288,$H288),"")</f>
        <v/>
      </c>
      <c r="K288" s="44" t="n"/>
    </row>
    <row r="289">
      <c r="F289" s="44" t="n"/>
      <c r="I289" s="88">
        <f>IFERROR(EDATE($F289,$H289),"")</f>
        <v/>
      </c>
      <c r="K289" s="44" t="n"/>
    </row>
    <row r="290">
      <c r="F290" s="44" t="n"/>
      <c r="I290" s="88">
        <f>IFERROR(EDATE($F290,$H290),"")</f>
        <v/>
      </c>
      <c r="K290" s="44" t="n"/>
    </row>
    <row r="291">
      <c r="F291" s="44" t="n"/>
      <c r="I291" s="88">
        <f>IFERROR(EDATE($F291,$H291),"")</f>
        <v/>
      </c>
      <c r="K291" s="44" t="n"/>
    </row>
    <row r="292">
      <c r="F292" s="44" t="n"/>
      <c r="I292" s="88">
        <f>IFERROR(EDATE($F292,$H292),"")</f>
        <v/>
      </c>
      <c r="K292" s="44" t="n"/>
    </row>
    <row r="293">
      <c r="F293" s="44" t="n"/>
      <c r="I293" s="88">
        <f>IFERROR(EDATE($F293,$H293),"")</f>
        <v/>
      </c>
      <c r="K293" s="44" t="n"/>
    </row>
    <row r="294">
      <c r="F294" s="44" t="n"/>
      <c r="I294" s="88">
        <f>IFERROR(EDATE($F294,$H294),"")</f>
        <v/>
      </c>
      <c r="K294" s="44" t="n"/>
    </row>
    <row r="295">
      <c r="F295" s="44" t="n"/>
      <c r="I295" s="88">
        <f>IFERROR(EDATE($F295,$H295),"")</f>
        <v/>
      </c>
      <c r="K295" s="44" t="n"/>
    </row>
    <row r="296">
      <c r="F296" s="44" t="n"/>
      <c r="I296" s="88">
        <f>IFERROR(EDATE($F296,$H296),"")</f>
        <v/>
      </c>
      <c r="K296" s="44" t="n"/>
    </row>
    <row r="297">
      <c r="F297" s="44" t="n"/>
      <c r="I297" s="88">
        <f>IFERROR(EDATE($F297,$H297),"")</f>
        <v/>
      </c>
      <c r="K297" s="44" t="n"/>
    </row>
    <row r="298">
      <c r="F298" s="44" t="n"/>
      <c r="I298" s="88">
        <f>IFERROR(EDATE($F298,$H298),"")</f>
        <v/>
      </c>
      <c r="K298" s="44" t="n"/>
    </row>
    <row r="299">
      <c r="F299" s="44" t="n"/>
      <c r="I299" s="88">
        <f>IFERROR(EDATE($F299,$H299),"")</f>
        <v/>
      </c>
      <c r="K299" s="44" t="n"/>
    </row>
    <row r="300">
      <c r="F300" s="44" t="n"/>
      <c r="I300" s="88">
        <f>IFERROR(EDATE($F300,$H300),"")</f>
        <v/>
      </c>
      <c r="K300" s="44" t="n"/>
    </row>
    <row r="301">
      <c r="F301" s="44" t="n"/>
      <c r="I301" s="88">
        <f>IFERROR(EDATE($F301,$H301),"")</f>
        <v/>
      </c>
      <c r="K301" s="44" t="n"/>
    </row>
    <row r="302">
      <c r="F302" s="44" t="n"/>
      <c r="I302" s="88">
        <f>IFERROR(EDATE($F302,$H302),"")</f>
        <v/>
      </c>
      <c r="K302" s="44" t="n"/>
    </row>
    <row r="303">
      <c r="F303" s="44" t="n"/>
      <c r="I303" s="88">
        <f>IFERROR(EDATE($F303,$H303),"")</f>
        <v/>
      </c>
      <c r="K303" s="44" t="n"/>
    </row>
    <row r="304">
      <c r="F304" s="44" t="n"/>
      <c r="I304" s="88">
        <f>IFERROR(EDATE($F304,$H304),"")</f>
        <v/>
      </c>
      <c r="K304" s="44" t="n"/>
    </row>
    <row r="305">
      <c r="F305" s="44" t="n"/>
      <c r="I305" s="88">
        <f>IFERROR(EDATE($F305,$H305),"")</f>
        <v/>
      </c>
      <c r="K305" s="44" t="n"/>
    </row>
    <row r="306">
      <c r="F306" s="44" t="n"/>
      <c r="I306" s="88">
        <f>IFERROR(EDATE($F306,$H306),"")</f>
        <v/>
      </c>
      <c r="K306" s="44" t="n"/>
    </row>
    <row r="307">
      <c r="F307" s="44" t="n"/>
      <c r="I307" s="88">
        <f>IFERROR(EDATE($F307,$H307),"")</f>
        <v/>
      </c>
      <c r="K307" s="44" t="n"/>
    </row>
    <row r="308">
      <c r="F308" s="44" t="n"/>
      <c r="I308" s="88">
        <f>IFERROR(EDATE($F308,$H308),"")</f>
        <v/>
      </c>
      <c r="K308" s="44" t="n"/>
    </row>
    <row r="309">
      <c r="F309" s="44" t="n"/>
      <c r="I309" s="88">
        <f>IFERROR(EDATE($F309,$H309),"")</f>
        <v/>
      </c>
      <c r="K309" s="44" t="n"/>
    </row>
    <row r="310">
      <c r="F310" s="44" t="n"/>
      <c r="I310" s="88">
        <f>IFERROR(EDATE($F310,$H310),"")</f>
        <v/>
      </c>
      <c r="K310" s="44" t="n"/>
    </row>
    <row r="311">
      <c r="F311" s="44" t="n"/>
      <c r="I311" s="88">
        <f>IFERROR(EDATE($F311,$H311),"")</f>
        <v/>
      </c>
      <c r="K311" s="44" t="n"/>
    </row>
    <row r="312">
      <c r="F312" s="44" t="n"/>
      <c r="I312" s="88">
        <f>IFERROR(EDATE($F312,$H312),"")</f>
        <v/>
      </c>
      <c r="K312" s="44" t="n"/>
    </row>
    <row r="313">
      <c r="F313" s="44" t="n"/>
      <c r="I313" s="88">
        <f>IFERROR(EDATE($F313,$H313),"")</f>
        <v/>
      </c>
      <c r="K313" s="44" t="n"/>
    </row>
    <row r="314">
      <c r="F314" s="44" t="n"/>
      <c r="I314" s="88">
        <f>IFERROR(EDATE($F314,$H314),"")</f>
        <v/>
      </c>
      <c r="K314" s="44" t="n"/>
    </row>
    <row r="315">
      <c r="F315" s="44" t="n"/>
      <c r="I315" s="88">
        <f>IFERROR(EDATE($F315,$H315),"")</f>
        <v/>
      </c>
      <c r="K315" s="44" t="n"/>
    </row>
    <row r="316">
      <c r="F316" s="44" t="n"/>
      <c r="I316" s="88">
        <f>IFERROR(EDATE($F316,$H316),"")</f>
        <v/>
      </c>
      <c r="K316" s="44" t="n"/>
    </row>
    <row r="317">
      <c r="F317" s="44" t="n"/>
      <c r="I317" s="88">
        <f>IFERROR(EDATE($F317,$H317),"")</f>
        <v/>
      </c>
      <c r="K317" s="44" t="n"/>
    </row>
    <row r="318">
      <c r="F318" s="44" t="n"/>
      <c r="I318" s="88">
        <f>IFERROR(EDATE($F318,$H318),"")</f>
        <v/>
      </c>
      <c r="K318" s="44" t="n"/>
    </row>
    <row r="319">
      <c r="F319" s="44" t="n"/>
      <c r="I319" s="88">
        <f>IFERROR(EDATE($F319,$H319),"")</f>
        <v/>
      </c>
      <c r="K319" s="44" t="n"/>
    </row>
    <row r="320">
      <c r="F320" s="44" t="n"/>
      <c r="I320" s="88">
        <f>IFERROR(EDATE($F320,$H320),"")</f>
        <v/>
      </c>
      <c r="K320" s="44" t="n"/>
    </row>
    <row r="321">
      <c r="F321" s="44" t="n"/>
      <c r="I321" s="88">
        <f>IFERROR(EDATE($F321,$H321),"")</f>
        <v/>
      </c>
      <c r="K321" s="44" t="n"/>
    </row>
    <row r="322">
      <c r="F322" s="44" t="n"/>
      <c r="I322" s="88">
        <f>IFERROR(EDATE($F322,$H322),"")</f>
        <v/>
      </c>
      <c r="K322" s="44" t="n"/>
    </row>
    <row r="323">
      <c r="F323" s="44" t="n"/>
      <c r="I323" s="88">
        <f>IFERROR(EDATE($F323,$H323),"")</f>
        <v/>
      </c>
      <c r="K323" s="44" t="n"/>
    </row>
    <row r="324">
      <c r="F324" s="44" t="n"/>
      <c r="I324" s="88">
        <f>IFERROR(EDATE($F324,$H324),"")</f>
        <v/>
      </c>
      <c r="K324" s="44" t="n"/>
    </row>
    <row r="325">
      <c r="F325" s="44" t="n"/>
      <c r="I325" s="88">
        <f>IFERROR(EDATE($F325,$H325),"")</f>
        <v/>
      </c>
      <c r="K325" s="44" t="n"/>
    </row>
    <row r="326">
      <c r="F326" s="44" t="n"/>
      <c r="I326" s="88">
        <f>IFERROR(EDATE($F326,$H326),"")</f>
        <v/>
      </c>
      <c r="K326" s="44" t="n"/>
    </row>
    <row r="327">
      <c r="F327" s="44" t="n"/>
      <c r="I327" s="88">
        <f>IFERROR(EDATE($F327,$H327),"")</f>
        <v/>
      </c>
      <c r="K327" s="44" t="n"/>
    </row>
    <row r="328">
      <c r="F328" s="44" t="n"/>
      <c r="I328" s="88">
        <f>IFERROR(EDATE($F328,$H328),"")</f>
        <v/>
      </c>
      <c r="K328" s="44" t="n"/>
    </row>
    <row r="329">
      <c r="F329" s="44" t="n"/>
      <c r="I329" s="88">
        <f>IFERROR(EDATE($F329,$H329),"")</f>
        <v/>
      </c>
      <c r="K329" s="44" t="n"/>
    </row>
    <row r="330">
      <c r="F330" s="44" t="n"/>
      <c r="I330" s="88">
        <f>IFERROR(EDATE($F330,$H330),"")</f>
        <v/>
      </c>
      <c r="K330" s="44" t="n"/>
    </row>
    <row r="331">
      <c r="F331" s="44" t="n"/>
      <c r="I331" s="88">
        <f>IFERROR(EDATE($F331,$H331),"")</f>
        <v/>
      </c>
      <c r="K331" s="44" t="n"/>
    </row>
    <row r="332">
      <c r="F332" s="44" t="n"/>
      <c r="I332" s="88">
        <f>IFERROR(EDATE($F332,$H332),"")</f>
        <v/>
      </c>
      <c r="K332" s="44" t="n"/>
    </row>
    <row r="333">
      <c r="F333" s="44" t="n"/>
      <c r="I333" s="88">
        <f>IFERROR(EDATE($F333,$H333),"")</f>
        <v/>
      </c>
      <c r="K333" s="44" t="n"/>
    </row>
    <row r="334">
      <c r="F334" s="44" t="n"/>
      <c r="I334" s="88">
        <f>IFERROR(EDATE($F334,$H334),"")</f>
        <v/>
      </c>
      <c r="K334" s="44" t="n"/>
    </row>
    <row r="335">
      <c r="F335" s="44" t="n"/>
      <c r="I335" s="88">
        <f>IFERROR(EDATE($F335,$H335),"")</f>
        <v/>
      </c>
      <c r="K335" s="44" t="n"/>
    </row>
    <row r="336">
      <c r="F336" s="44" t="n"/>
      <c r="I336" s="88">
        <f>IFERROR(EDATE($F336,$H336),"")</f>
        <v/>
      </c>
      <c r="K336" s="44" t="n"/>
    </row>
    <row r="337">
      <c r="F337" s="44" t="n"/>
      <c r="I337" s="88">
        <f>IFERROR(EDATE($F337,$H337),"")</f>
        <v/>
      </c>
      <c r="K337" s="44" t="n"/>
    </row>
    <row r="338">
      <c r="F338" s="44" t="n"/>
      <c r="I338" s="88">
        <f>IFERROR(EDATE($F338,$H338),"")</f>
        <v/>
      </c>
      <c r="K338" s="44" t="n"/>
    </row>
    <row r="339">
      <c r="F339" s="44" t="n"/>
      <c r="I339" s="88">
        <f>IFERROR(EDATE($F339,$H339),"")</f>
        <v/>
      </c>
      <c r="K339" s="44" t="n"/>
    </row>
    <row r="340">
      <c r="F340" s="44" t="n"/>
      <c r="I340" s="88">
        <f>IFERROR(EDATE($F340,$H340),"")</f>
        <v/>
      </c>
      <c r="K340" s="44" t="n"/>
    </row>
    <row r="341">
      <c r="F341" s="44" t="n"/>
      <c r="I341" s="88">
        <f>IFERROR(EDATE($F341,$H341),"")</f>
        <v/>
      </c>
      <c r="K341" s="44" t="n"/>
    </row>
    <row r="342">
      <c r="F342" s="44" t="n"/>
      <c r="I342" s="88">
        <f>IFERROR(EDATE($F342,$H342),"")</f>
        <v/>
      </c>
      <c r="K342" s="44" t="n"/>
    </row>
    <row r="343">
      <c r="F343" s="44" t="n"/>
      <c r="I343" s="88">
        <f>IFERROR(EDATE($F343,$H343),"")</f>
        <v/>
      </c>
      <c r="K343" s="44" t="n"/>
    </row>
    <row r="344">
      <c r="F344" s="44" t="n"/>
      <c r="I344" s="88">
        <f>IFERROR(EDATE($F344,$H344),"")</f>
        <v/>
      </c>
      <c r="K344" s="44" t="n"/>
    </row>
    <row r="345">
      <c r="F345" s="44" t="n"/>
      <c r="I345" s="88">
        <f>IFERROR(EDATE($F345,$H345),"")</f>
        <v/>
      </c>
      <c r="K345" s="44" t="n"/>
    </row>
    <row r="346">
      <c r="F346" s="44" t="n"/>
      <c r="I346" s="88">
        <f>IFERROR(EDATE($F346,$H346),"")</f>
        <v/>
      </c>
      <c r="K346" s="44" t="n"/>
    </row>
    <row r="347">
      <c r="F347" s="44" t="n"/>
      <c r="I347" s="88">
        <f>IFERROR(EDATE($F347,$H347),"")</f>
        <v/>
      </c>
      <c r="K347" s="44" t="n"/>
    </row>
    <row r="348">
      <c r="F348" s="44" t="n"/>
      <c r="I348" s="88">
        <f>IFERROR(EDATE($F348,$H348),"")</f>
        <v/>
      </c>
      <c r="K348" s="44" t="n"/>
    </row>
    <row r="349">
      <c r="F349" s="44" t="n"/>
      <c r="I349" s="88">
        <f>IFERROR(EDATE($F349,$H349),"")</f>
        <v/>
      </c>
      <c r="K349" s="44" t="n"/>
    </row>
    <row r="350">
      <c r="F350" s="44" t="n"/>
      <c r="I350" s="88">
        <f>IFERROR(EDATE($F350,$H350),"")</f>
        <v/>
      </c>
      <c r="K350" s="44" t="n"/>
    </row>
    <row r="351">
      <c r="F351" s="44" t="n"/>
      <c r="I351" s="88">
        <f>IFERROR(EDATE($F351,$H351),"")</f>
        <v/>
      </c>
      <c r="K351" s="44" t="n"/>
    </row>
    <row r="352">
      <c r="F352" s="44" t="n"/>
      <c r="I352" s="88">
        <f>IFERROR(EDATE($F352,$H352),"")</f>
        <v/>
      </c>
      <c r="K352" s="44" t="n"/>
    </row>
    <row r="353">
      <c r="F353" s="44" t="n"/>
      <c r="I353" s="88">
        <f>IFERROR(EDATE($F353,$H353),"")</f>
        <v/>
      </c>
      <c r="K353" s="44" t="n"/>
    </row>
    <row r="354">
      <c r="F354" s="44" t="n"/>
      <c r="I354" s="88">
        <f>IFERROR(EDATE($F354,$H354),"")</f>
        <v/>
      </c>
      <c r="K354" s="44" t="n"/>
    </row>
    <row r="355">
      <c r="F355" s="44" t="n"/>
      <c r="I355" s="88">
        <f>IFERROR(EDATE($F355,$H355),"")</f>
        <v/>
      </c>
      <c r="K355" s="44" t="n"/>
    </row>
    <row r="356">
      <c r="F356" s="44" t="n"/>
      <c r="I356" s="88">
        <f>IFERROR(EDATE($F356,$H356),"")</f>
        <v/>
      </c>
      <c r="K356" s="44" t="n"/>
    </row>
    <row r="357">
      <c r="F357" s="44" t="n"/>
      <c r="I357" s="88">
        <f>IFERROR(EDATE($F357,$H357),"")</f>
        <v/>
      </c>
      <c r="K357" s="44" t="n"/>
    </row>
    <row r="358">
      <c r="F358" s="44" t="n"/>
      <c r="I358" s="88">
        <f>IFERROR(EDATE($F358,$H358),"")</f>
        <v/>
      </c>
      <c r="K358" s="44" t="n"/>
    </row>
    <row r="359">
      <c r="F359" s="44" t="n"/>
      <c r="I359" s="88">
        <f>IFERROR(EDATE($F359,$H359),"")</f>
        <v/>
      </c>
      <c r="K359" s="44" t="n"/>
    </row>
    <row r="360">
      <c r="F360" s="44" t="n"/>
      <c r="I360" s="88">
        <f>IFERROR(EDATE($F360,$H360),"")</f>
        <v/>
      </c>
      <c r="K360" s="44" t="n"/>
    </row>
    <row r="361">
      <c r="F361" s="44" t="n"/>
      <c r="I361" s="88">
        <f>IFERROR(EDATE($F361,$H361),"")</f>
        <v/>
      </c>
      <c r="K361" s="44" t="n"/>
    </row>
    <row r="362">
      <c r="F362" s="44" t="n"/>
      <c r="I362" s="88">
        <f>IFERROR(EDATE($F362,$H362),"")</f>
        <v/>
      </c>
      <c r="K362" s="44" t="n"/>
    </row>
    <row r="363">
      <c r="F363" s="44" t="n"/>
      <c r="I363" s="88">
        <f>IFERROR(EDATE($F363,$H363),"")</f>
        <v/>
      </c>
      <c r="K363" s="44" t="n"/>
    </row>
    <row r="364">
      <c r="F364" s="44" t="n"/>
      <c r="I364" s="88">
        <f>IFERROR(EDATE($F364,$H364),"")</f>
        <v/>
      </c>
      <c r="K364" s="44" t="n"/>
    </row>
    <row r="365">
      <c r="F365" s="44" t="n"/>
      <c r="I365" s="88">
        <f>IFERROR(EDATE($F365,$H365),"")</f>
        <v/>
      </c>
      <c r="K365" s="44" t="n"/>
    </row>
    <row r="366">
      <c r="F366" s="44" t="n"/>
      <c r="I366" s="88">
        <f>IFERROR(EDATE($F366,$H366),"")</f>
        <v/>
      </c>
      <c r="K366" s="44" t="n"/>
    </row>
    <row r="367">
      <c r="F367" s="44" t="n"/>
      <c r="I367" s="88">
        <f>IFERROR(EDATE($F367,$H367),"")</f>
        <v/>
      </c>
      <c r="K367" s="44" t="n"/>
    </row>
    <row r="368">
      <c r="F368" s="44" t="n"/>
      <c r="I368" s="88">
        <f>IFERROR(EDATE($F368,$H368),"")</f>
        <v/>
      </c>
      <c r="K368" s="44" t="n"/>
    </row>
    <row r="369">
      <c r="F369" s="44" t="n"/>
      <c r="I369" s="88">
        <f>IFERROR(EDATE($F369,$H369),"")</f>
        <v/>
      </c>
      <c r="K369" s="44" t="n"/>
    </row>
    <row r="370">
      <c r="F370" s="44" t="n"/>
      <c r="I370" s="88">
        <f>IFERROR(EDATE($F370,$H370),"")</f>
        <v/>
      </c>
      <c r="K370" s="44" t="n"/>
    </row>
    <row r="371">
      <c r="F371" s="44" t="n"/>
      <c r="I371" s="88">
        <f>IFERROR(EDATE($F371,$H371),"")</f>
        <v/>
      </c>
      <c r="K371" s="44" t="n"/>
    </row>
    <row r="372">
      <c r="F372" s="44" t="n"/>
      <c r="I372" s="88">
        <f>IFERROR(EDATE($F372,$H372),"")</f>
        <v/>
      </c>
      <c r="K372" s="44" t="n"/>
    </row>
    <row r="373">
      <c r="F373" s="44" t="n"/>
      <c r="I373" s="88">
        <f>IFERROR(EDATE($F373,$H373),"")</f>
        <v/>
      </c>
      <c r="K373" s="44" t="n"/>
    </row>
    <row r="374">
      <c r="F374" s="44" t="n"/>
      <c r="I374" s="88">
        <f>IFERROR(EDATE($F374,$H374),"")</f>
        <v/>
      </c>
      <c r="K374" s="44" t="n"/>
    </row>
    <row r="375">
      <c r="F375" s="44" t="n"/>
      <c r="I375" s="88">
        <f>IFERROR(EDATE($F375,$H375),"")</f>
        <v/>
      </c>
      <c r="K375" s="44" t="n"/>
    </row>
    <row r="376">
      <c r="F376" s="44" t="n"/>
      <c r="I376" s="88">
        <f>IFERROR(EDATE($F376,$H376),"")</f>
        <v/>
      </c>
      <c r="K376" s="44" t="n"/>
    </row>
    <row r="377">
      <c r="F377" s="44" t="n"/>
      <c r="I377" s="88">
        <f>IFERROR(EDATE($F377,$H377),"")</f>
        <v/>
      </c>
      <c r="K377" s="44" t="n"/>
    </row>
    <row r="378">
      <c r="F378" s="44" t="n"/>
      <c r="I378" s="88">
        <f>IFERROR(EDATE($F378,$H378),"")</f>
        <v/>
      </c>
      <c r="K378" s="44" t="n"/>
    </row>
    <row r="379">
      <c r="F379" s="44" t="n"/>
      <c r="I379" s="88">
        <f>IFERROR(EDATE($F379,$H379),"")</f>
        <v/>
      </c>
      <c r="K379" s="44" t="n"/>
    </row>
    <row r="380">
      <c r="F380" s="44" t="n"/>
      <c r="I380" s="88">
        <f>IFERROR(EDATE($F380,$H380),"")</f>
        <v/>
      </c>
      <c r="K380" s="44" t="n"/>
    </row>
    <row r="381">
      <c r="F381" s="44" t="n"/>
      <c r="I381" s="88">
        <f>IFERROR(EDATE($F381,$H381),"")</f>
        <v/>
      </c>
      <c r="K381" s="44" t="n"/>
    </row>
    <row r="382">
      <c r="F382" s="44" t="n"/>
      <c r="I382" s="88">
        <f>IFERROR(EDATE($F382,$H382),"")</f>
        <v/>
      </c>
      <c r="K382" s="44" t="n"/>
    </row>
    <row r="383">
      <c r="F383" s="44" t="n"/>
      <c r="I383" s="88">
        <f>IFERROR(EDATE($F383,$H383),"")</f>
        <v/>
      </c>
      <c r="K383" s="44" t="n"/>
    </row>
    <row r="384">
      <c r="F384" s="44" t="n"/>
      <c r="I384" s="88">
        <f>IFERROR(EDATE($F384,$H384),"")</f>
        <v/>
      </c>
      <c r="K384" s="44" t="n"/>
    </row>
    <row r="385">
      <c r="F385" s="44" t="n"/>
      <c r="I385" s="88">
        <f>IFERROR(EDATE($F385,$H385),"")</f>
        <v/>
      </c>
      <c r="K385" s="44" t="n"/>
    </row>
    <row r="386">
      <c r="F386" s="44" t="n"/>
      <c r="I386" s="88">
        <f>IFERROR(EDATE($F386,$H386),"")</f>
        <v/>
      </c>
      <c r="K386" s="44" t="n"/>
    </row>
    <row r="387">
      <c r="F387" s="44" t="n"/>
      <c r="I387" s="88">
        <f>IFERROR(EDATE($F387,$H387),"")</f>
        <v/>
      </c>
      <c r="K387" s="44" t="n"/>
    </row>
    <row r="388">
      <c r="F388" s="44" t="n"/>
      <c r="I388" s="88">
        <f>IFERROR(EDATE($F388,$H388),"")</f>
        <v/>
      </c>
      <c r="K388" s="44" t="n"/>
    </row>
    <row r="389">
      <c r="F389" s="44" t="n"/>
      <c r="I389" s="88">
        <f>IFERROR(EDATE($F389,$H389),"")</f>
        <v/>
      </c>
      <c r="K389" s="44" t="n"/>
    </row>
    <row r="390">
      <c r="F390" s="44" t="n"/>
      <c r="I390" s="88">
        <f>IFERROR(EDATE($F390,$H390),"")</f>
        <v/>
      </c>
      <c r="K390" s="44" t="n"/>
    </row>
    <row r="391">
      <c r="F391" s="44" t="n"/>
      <c r="I391" s="88">
        <f>IFERROR(EDATE($F391,$H391),"")</f>
        <v/>
      </c>
      <c r="K391" s="44" t="n"/>
    </row>
    <row r="392">
      <c r="F392" s="44" t="n"/>
      <c r="I392" s="88">
        <f>IFERROR(EDATE($F392,$H392),"")</f>
        <v/>
      </c>
      <c r="K392" s="44" t="n"/>
    </row>
    <row r="393">
      <c r="F393" s="44" t="n"/>
      <c r="I393" s="88">
        <f>IFERROR(EDATE($F393,$H393),"")</f>
        <v/>
      </c>
      <c r="K393" s="44" t="n"/>
    </row>
    <row r="394">
      <c r="F394" s="44" t="n"/>
      <c r="I394" s="88">
        <f>IFERROR(EDATE($F394,$H394),"")</f>
        <v/>
      </c>
      <c r="K394" s="44" t="n"/>
    </row>
    <row r="395">
      <c r="F395" s="44" t="n"/>
      <c r="I395" s="88">
        <f>IFERROR(EDATE($F395,$H395),"")</f>
        <v/>
      </c>
      <c r="K395" s="44" t="n"/>
    </row>
    <row r="396">
      <c r="F396" s="44" t="n"/>
      <c r="I396" s="88">
        <f>IFERROR(EDATE($F396,$H396),"")</f>
        <v/>
      </c>
      <c r="K396" s="44" t="n"/>
    </row>
    <row r="397">
      <c r="F397" s="44" t="n"/>
      <c r="I397" s="88">
        <f>IFERROR(EDATE($F397,$H397),"")</f>
        <v/>
      </c>
      <c r="K397" s="44" t="n"/>
    </row>
    <row r="398">
      <c r="F398" s="44" t="n"/>
      <c r="I398" s="88">
        <f>IFERROR(EDATE($F398,$H398),"")</f>
        <v/>
      </c>
      <c r="K398" s="44" t="n"/>
    </row>
    <row r="399">
      <c r="F399" s="44" t="n"/>
      <c r="I399" s="88">
        <f>IFERROR(EDATE($F399,$H399),"")</f>
        <v/>
      </c>
      <c r="K399" s="44" t="n"/>
    </row>
    <row r="400">
      <c r="F400" s="44" t="n"/>
      <c r="I400" s="88">
        <f>IFERROR(EDATE($F400,$H400),"")</f>
        <v/>
      </c>
      <c r="K400" s="44" t="n"/>
    </row>
    <row r="401">
      <c r="F401" s="44" t="n"/>
      <c r="I401" s="88">
        <f>IFERROR(EDATE($F401,$H401),"")</f>
        <v/>
      </c>
      <c r="K401" s="44" t="n"/>
    </row>
    <row r="402">
      <c r="F402" s="44" t="n"/>
      <c r="I402" s="88">
        <f>IFERROR(EDATE($F402,$H402),"")</f>
        <v/>
      </c>
      <c r="K402" s="44" t="n"/>
    </row>
    <row r="403">
      <c r="F403" s="44" t="n"/>
      <c r="I403" s="88">
        <f>IFERROR(EDATE($F403,$H403),"")</f>
        <v/>
      </c>
      <c r="K403" s="44" t="n"/>
    </row>
    <row r="404">
      <c r="F404" s="44" t="n"/>
      <c r="I404" s="88">
        <f>IFERROR(EDATE($F404,$H404),"")</f>
        <v/>
      </c>
      <c r="K404" s="44" t="n"/>
    </row>
    <row r="405">
      <c r="F405" s="44" t="n"/>
      <c r="I405" s="88">
        <f>IFERROR(EDATE($F405,$H405),"")</f>
        <v/>
      </c>
      <c r="K405" s="44" t="n"/>
    </row>
    <row r="406">
      <c r="F406" s="44" t="n"/>
      <c r="I406" s="88">
        <f>IFERROR(EDATE($F406,$H406),"")</f>
        <v/>
      </c>
      <c r="K406" s="44" t="n"/>
    </row>
    <row r="407">
      <c r="F407" s="44" t="n"/>
      <c r="I407" s="88">
        <f>IFERROR(EDATE($F407,$H407),"")</f>
        <v/>
      </c>
      <c r="K407" s="44" t="n"/>
    </row>
    <row r="408">
      <c r="F408" s="44" t="n"/>
      <c r="I408" s="88">
        <f>IFERROR(EDATE($F408,$H408),"")</f>
        <v/>
      </c>
      <c r="K408" s="44" t="n"/>
    </row>
    <row r="409">
      <c r="F409" s="44" t="n"/>
      <c r="I409" s="88">
        <f>IFERROR(EDATE($F409,$H409),"")</f>
        <v/>
      </c>
      <c r="K409" s="44" t="n"/>
    </row>
    <row r="410">
      <c r="F410" s="44" t="n"/>
      <c r="I410" s="88">
        <f>IFERROR(EDATE($F410,$H410),"")</f>
        <v/>
      </c>
      <c r="K410" s="44" t="n"/>
    </row>
    <row r="411">
      <c r="F411" s="44" t="n"/>
      <c r="I411" s="88">
        <f>IFERROR(EDATE($F411,$H411),"")</f>
        <v/>
      </c>
      <c r="K411" s="44" t="n"/>
    </row>
    <row r="412">
      <c r="F412" s="44" t="n"/>
      <c r="I412" s="88">
        <f>IFERROR(EDATE($F412,$H412),"")</f>
        <v/>
      </c>
      <c r="K412" s="44" t="n"/>
    </row>
    <row r="413">
      <c r="F413" s="44" t="n"/>
      <c r="I413" s="88">
        <f>IFERROR(EDATE($F413,$H413),"")</f>
        <v/>
      </c>
      <c r="K413" s="44" t="n"/>
    </row>
    <row r="414">
      <c r="F414" s="44" t="n"/>
      <c r="I414" s="88">
        <f>IFERROR(EDATE($F414,$H414),"")</f>
        <v/>
      </c>
      <c r="K414" s="44" t="n"/>
    </row>
    <row r="415">
      <c r="F415" s="44" t="n"/>
      <c r="I415" s="88">
        <f>IFERROR(EDATE($F415,$H415),"")</f>
        <v/>
      </c>
      <c r="K415" s="44" t="n"/>
    </row>
    <row r="416">
      <c r="F416" s="44" t="n"/>
      <c r="I416" s="88">
        <f>IFERROR(EDATE($F416,$H416),"")</f>
        <v/>
      </c>
      <c r="K416" s="44" t="n"/>
    </row>
    <row r="417">
      <c r="F417" s="44" t="n"/>
      <c r="I417" s="88">
        <f>IFERROR(EDATE($F417,$H417),"")</f>
        <v/>
      </c>
      <c r="K417" s="44" t="n"/>
    </row>
    <row r="418">
      <c r="F418" s="44" t="n"/>
      <c r="I418" s="88">
        <f>IFERROR(EDATE($F418,$H418),"")</f>
        <v/>
      </c>
      <c r="K418" s="44" t="n"/>
    </row>
    <row r="419">
      <c r="F419" s="44" t="n"/>
      <c r="I419" s="88">
        <f>IFERROR(EDATE($F419,$H419),"")</f>
        <v/>
      </c>
      <c r="K419" s="44" t="n"/>
    </row>
    <row r="420">
      <c r="F420" s="44" t="n"/>
      <c r="I420" s="88">
        <f>IFERROR(EDATE($F420,$H420),"")</f>
        <v/>
      </c>
      <c r="K420" s="44" t="n"/>
    </row>
    <row r="421">
      <c r="F421" s="44" t="n"/>
      <c r="I421" s="88">
        <f>IFERROR(EDATE($F421,$H421),"")</f>
        <v/>
      </c>
      <c r="K421" s="44" t="n"/>
    </row>
    <row r="422">
      <c r="F422" s="44" t="n"/>
      <c r="I422" s="88">
        <f>IFERROR(EDATE($F422,$H422),"")</f>
        <v/>
      </c>
      <c r="K422" s="44" t="n"/>
    </row>
    <row r="423">
      <c r="F423" s="44" t="n"/>
      <c r="I423" s="88">
        <f>IFERROR(EDATE($F423,$H423),"")</f>
        <v/>
      </c>
      <c r="K423" s="44" t="n"/>
    </row>
    <row r="424">
      <c r="F424" s="44" t="n"/>
      <c r="I424" s="88">
        <f>IFERROR(EDATE($F424,$H424),"")</f>
        <v/>
      </c>
      <c r="K424" s="44" t="n"/>
    </row>
    <row r="425">
      <c r="F425" s="44" t="n"/>
      <c r="I425" s="88">
        <f>IFERROR(EDATE($F425,$H425),"")</f>
        <v/>
      </c>
      <c r="K425" s="44" t="n"/>
    </row>
    <row r="426">
      <c r="F426" s="44" t="n"/>
      <c r="I426" s="88">
        <f>IFERROR(EDATE($F426,$H426),"")</f>
        <v/>
      </c>
      <c r="K426" s="44" t="n"/>
    </row>
    <row r="427">
      <c r="F427" s="44" t="n"/>
      <c r="I427" s="88">
        <f>IFERROR(EDATE($F427,$H427),"")</f>
        <v/>
      </c>
      <c r="K427" s="44" t="n"/>
    </row>
    <row r="428">
      <c r="F428" s="44" t="n"/>
      <c r="I428" s="88">
        <f>IFERROR(EDATE($F428,$H428),"")</f>
        <v/>
      </c>
      <c r="K428" s="44" t="n"/>
    </row>
    <row r="429">
      <c r="F429" s="44" t="n"/>
      <c r="I429" s="88">
        <f>IFERROR(EDATE($F429,$H429),"")</f>
        <v/>
      </c>
      <c r="K429" s="44" t="n"/>
    </row>
    <row r="430">
      <c r="F430" s="44" t="n"/>
      <c r="I430" s="88">
        <f>IFERROR(EDATE($F430,$H430),"")</f>
        <v/>
      </c>
      <c r="K430" s="44" t="n"/>
    </row>
    <row r="431">
      <c r="F431" s="44" t="n"/>
      <c r="I431" s="88">
        <f>IFERROR(EDATE($F431,$H431),"")</f>
        <v/>
      </c>
      <c r="K431" s="44" t="n"/>
    </row>
    <row r="432">
      <c r="F432" s="44" t="n"/>
      <c r="I432" s="88">
        <f>IFERROR(EDATE($F432,$H432),"")</f>
        <v/>
      </c>
      <c r="K432" s="44" t="n"/>
    </row>
    <row r="433">
      <c r="F433" s="44" t="n"/>
      <c r="I433" s="88">
        <f>IFERROR(EDATE($F433,$H433),"")</f>
        <v/>
      </c>
      <c r="K433" s="44" t="n"/>
    </row>
    <row r="434">
      <c r="F434" s="44" t="n"/>
      <c r="I434" s="88">
        <f>IFERROR(EDATE($F434,$H434),"")</f>
        <v/>
      </c>
      <c r="K434" s="44" t="n"/>
    </row>
    <row r="435">
      <c r="F435" s="44" t="n"/>
      <c r="I435" s="88">
        <f>IFERROR(EDATE($F435,$H435),"")</f>
        <v/>
      </c>
      <c r="K435" s="44" t="n"/>
    </row>
    <row r="436">
      <c r="F436" s="44" t="n"/>
      <c r="I436" s="88">
        <f>IFERROR(EDATE($F436,$H436),"")</f>
        <v/>
      </c>
      <c r="K436" s="44" t="n"/>
    </row>
    <row r="437">
      <c r="F437" s="44" t="n"/>
      <c r="I437" s="88">
        <f>IFERROR(EDATE($F437,$H437),"")</f>
        <v/>
      </c>
      <c r="K437" s="44" t="n"/>
    </row>
    <row r="438">
      <c r="F438" s="44" t="n"/>
      <c r="I438" s="88">
        <f>IFERROR(EDATE($F438,$H438),"")</f>
        <v/>
      </c>
      <c r="K438" s="44" t="n"/>
    </row>
    <row r="439">
      <c r="F439" s="44" t="n"/>
      <c r="I439" s="88">
        <f>IFERROR(EDATE($F439,$H439),"")</f>
        <v/>
      </c>
      <c r="K439" s="44" t="n"/>
    </row>
    <row r="440">
      <c r="F440" s="44" t="n"/>
      <c r="I440" s="88">
        <f>IFERROR(EDATE($F440,$H440),"")</f>
        <v/>
      </c>
      <c r="K440" s="44" t="n"/>
    </row>
    <row r="441">
      <c r="F441" s="44" t="n"/>
      <c r="I441" s="88">
        <f>IFERROR(EDATE($F441,$H441),"")</f>
        <v/>
      </c>
      <c r="K441" s="44" t="n"/>
    </row>
    <row r="442">
      <c r="F442" s="44" t="n"/>
      <c r="I442" s="88">
        <f>IFERROR(EDATE($F442,$H442),"")</f>
        <v/>
      </c>
      <c r="K442" s="44" t="n"/>
    </row>
    <row r="443">
      <c r="F443" s="44" t="n"/>
      <c r="I443" s="88">
        <f>IFERROR(EDATE($F443,$H443),"")</f>
        <v/>
      </c>
      <c r="K443" s="44" t="n"/>
    </row>
    <row r="444">
      <c r="F444" s="44" t="n"/>
      <c r="I444" s="88">
        <f>IFERROR(EDATE($F444,$H444),"")</f>
        <v/>
      </c>
      <c r="K444" s="44" t="n"/>
    </row>
    <row r="445">
      <c r="F445" s="44" t="n"/>
      <c r="I445" s="88">
        <f>IFERROR(EDATE($F445,$H445),"")</f>
        <v/>
      </c>
      <c r="K445" s="44" t="n"/>
    </row>
    <row r="446">
      <c r="F446" s="44" t="n"/>
      <c r="I446" s="88">
        <f>IFERROR(EDATE($F446,$H446),"")</f>
        <v/>
      </c>
      <c r="K446" s="44" t="n"/>
    </row>
    <row r="447">
      <c r="F447" s="44" t="n"/>
      <c r="I447" s="88">
        <f>IFERROR(EDATE($F447,$H447),"")</f>
        <v/>
      </c>
      <c r="K447" s="44" t="n"/>
    </row>
    <row r="448">
      <c r="F448" s="44" t="n"/>
      <c r="I448" s="88">
        <f>IFERROR(EDATE($F448,$H448),"")</f>
        <v/>
      </c>
      <c r="K448" s="44" t="n"/>
    </row>
    <row r="449">
      <c r="F449" s="44" t="n"/>
      <c r="I449" s="88">
        <f>IFERROR(EDATE($F449,$H449),"")</f>
        <v/>
      </c>
      <c r="K449" s="44" t="n"/>
    </row>
    <row r="450">
      <c r="F450" s="44" t="n"/>
      <c r="I450" s="88">
        <f>IFERROR(EDATE($F450,$H450),"")</f>
        <v/>
      </c>
      <c r="K450" s="44" t="n"/>
    </row>
    <row r="451">
      <c r="F451" s="44" t="n"/>
      <c r="I451" s="88">
        <f>IFERROR(EDATE($F451,$H451),"")</f>
        <v/>
      </c>
      <c r="K451" s="44" t="n"/>
    </row>
    <row r="452">
      <c r="F452" s="44" t="n"/>
      <c r="I452" s="88">
        <f>IFERROR(EDATE($F452,$H452),"")</f>
        <v/>
      </c>
      <c r="K452" s="44" t="n"/>
    </row>
    <row r="453">
      <c r="F453" s="44" t="n"/>
      <c r="I453" s="88">
        <f>IFERROR(EDATE($F453,$H453),"")</f>
        <v/>
      </c>
      <c r="K453" s="44" t="n"/>
    </row>
    <row r="454">
      <c r="F454" s="44" t="n"/>
      <c r="I454" s="88">
        <f>IFERROR(EDATE($F454,$H454),"")</f>
        <v/>
      </c>
      <c r="K454" s="44" t="n"/>
    </row>
    <row r="455">
      <c r="F455" s="44" t="n"/>
      <c r="I455" s="88">
        <f>IFERROR(EDATE($F455,$H455),"")</f>
        <v/>
      </c>
      <c r="K455" s="44" t="n"/>
    </row>
    <row r="456">
      <c r="F456" s="44" t="n"/>
      <c r="I456" s="88">
        <f>IFERROR(EDATE($F456,$H456),"")</f>
        <v/>
      </c>
      <c r="K456" s="44" t="n"/>
    </row>
    <row r="457">
      <c r="F457" s="44" t="n"/>
      <c r="I457" s="88">
        <f>IFERROR(EDATE($F457,$H457),"")</f>
        <v/>
      </c>
      <c r="K457" s="44" t="n"/>
    </row>
    <row r="458">
      <c r="F458" s="44" t="n"/>
      <c r="I458" s="88">
        <f>IFERROR(EDATE($F458,$H458),"")</f>
        <v/>
      </c>
      <c r="K458" s="44" t="n"/>
    </row>
    <row r="459">
      <c r="F459" s="44" t="n"/>
      <c r="I459" s="88">
        <f>IFERROR(EDATE($F459,$H459),"")</f>
        <v/>
      </c>
      <c r="K459" s="44" t="n"/>
    </row>
    <row r="460">
      <c r="F460" s="44" t="n"/>
      <c r="I460" s="88">
        <f>IFERROR(EDATE($F460,$H460),"")</f>
        <v/>
      </c>
      <c r="K460" s="44" t="n"/>
    </row>
    <row r="461">
      <c r="F461" s="44" t="n"/>
      <c r="I461" s="88">
        <f>IFERROR(EDATE($F461,$H461),"")</f>
        <v/>
      </c>
      <c r="K461" s="44" t="n"/>
    </row>
    <row r="462">
      <c r="F462" s="44" t="n"/>
      <c r="I462" s="88">
        <f>IFERROR(EDATE($F462,$H462),"")</f>
        <v/>
      </c>
      <c r="K462" s="44" t="n"/>
    </row>
    <row r="463">
      <c r="F463" s="44" t="n"/>
      <c r="I463" s="88">
        <f>IFERROR(EDATE($F463,$H463),"")</f>
        <v/>
      </c>
      <c r="K463" s="44" t="n"/>
    </row>
    <row r="464">
      <c r="F464" s="44" t="n"/>
      <c r="I464" s="88">
        <f>IFERROR(EDATE($F464,$H464),"")</f>
        <v/>
      </c>
      <c r="K464" s="44" t="n"/>
    </row>
    <row r="465">
      <c r="F465" s="44" t="n"/>
      <c r="I465" s="88">
        <f>IFERROR(EDATE($F465,$H465),"")</f>
        <v/>
      </c>
      <c r="K465" s="44" t="n"/>
    </row>
    <row r="466">
      <c r="F466" s="44" t="n"/>
      <c r="I466" s="88">
        <f>IFERROR(EDATE($F466,$H466),"")</f>
        <v/>
      </c>
      <c r="K466" s="44" t="n"/>
    </row>
    <row r="467">
      <c r="F467" s="44" t="n"/>
      <c r="I467" s="88">
        <f>IFERROR(EDATE($F467,$H467),"")</f>
        <v/>
      </c>
      <c r="K467" s="44" t="n"/>
    </row>
    <row r="468">
      <c r="F468" s="44" t="n"/>
      <c r="I468" s="88">
        <f>IFERROR(EDATE($F468,$H468),"")</f>
        <v/>
      </c>
      <c r="K468" s="44" t="n"/>
    </row>
    <row r="469">
      <c r="F469" s="44" t="n"/>
      <c r="I469" s="88">
        <f>IFERROR(EDATE($F469,$H469),"")</f>
        <v/>
      </c>
      <c r="K469" s="44" t="n"/>
    </row>
    <row r="470">
      <c r="F470" s="44" t="n"/>
      <c r="I470" s="88">
        <f>IFERROR(EDATE($F470,$H470),"")</f>
        <v/>
      </c>
      <c r="K470" s="44" t="n"/>
    </row>
    <row r="471">
      <c r="F471" s="44" t="n"/>
      <c r="I471" s="88">
        <f>IFERROR(EDATE($F471,$H471),"")</f>
        <v/>
      </c>
      <c r="K471" s="44" t="n"/>
    </row>
    <row r="472">
      <c r="F472" s="44" t="n"/>
      <c r="I472" s="88">
        <f>IFERROR(EDATE($F472,$H472),"")</f>
        <v/>
      </c>
      <c r="K472" s="44" t="n"/>
    </row>
    <row r="473">
      <c r="F473" s="44" t="n"/>
      <c r="I473" s="88">
        <f>IFERROR(EDATE($F473,$H473),"")</f>
        <v/>
      </c>
      <c r="K473" s="44" t="n"/>
    </row>
    <row r="474">
      <c r="F474" s="44" t="n"/>
      <c r="I474" s="88">
        <f>IFERROR(EDATE($F474,$H474),"")</f>
        <v/>
      </c>
      <c r="K474" s="44" t="n"/>
    </row>
    <row r="475">
      <c r="F475" s="44" t="n"/>
      <c r="I475" s="88">
        <f>IFERROR(EDATE($F475,$H475),"")</f>
        <v/>
      </c>
      <c r="K475" s="44" t="n"/>
    </row>
    <row r="476">
      <c r="F476" s="44" t="n"/>
      <c r="I476" s="88">
        <f>IFERROR(EDATE($F476,$H476),"")</f>
        <v/>
      </c>
      <c r="K476" s="44" t="n"/>
    </row>
    <row r="477">
      <c r="F477" s="44" t="n"/>
      <c r="I477" s="88">
        <f>IFERROR(EDATE($F477,$H477),"")</f>
        <v/>
      </c>
      <c r="K477" s="44" t="n"/>
    </row>
    <row r="478">
      <c r="F478" s="44" t="n"/>
      <c r="I478" s="88">
        <f>IFERROR(EDATE($F478,$H478),"")</f>
        <v/>
      </c>
      <c r="K478" s="44" t="n"/>
    </row>
    <row r="479">
      <c r="F479" s="44" t="n"/>
      <c r="I479" s="88">
        <f>IFERROR(EDATE($F479,$H479),"")</f>
        <v/>
      </c>
      <c r="K479" s="44" t="n"/>
    </row>
    <row r="480">
      <c r="F480" s="44" t="n"/>
      <c r="I480" s="88">
        <f>IFERROR(EDATE($F480,$H480),"")</f>
        <v/>
      </c>
      <c r="K480" s="44" t="n"/>
    </row>
    <row r="481">
      <c r="F481" s="44" t="n"/>
      <c r="I481" s="88">
        <f>IFERROR(EDATE($F481,$H481),"")</f>
        <v/>
      </c>
      <c r="K481" s="44" t="n"/>
    </row>
    <row r="482">
      <c r="F482" s="44" t="n"/>
      <c r="I482" s="88">
        <f>IFERROR(EDATE($F482,$H482),"")</f>
        <v/>
      </c>
      <c r="K482" s="44" t="n"/>
    </row>
    <row r="483">
      <c r="F483" s="44" t="n"/>
      <c r="I483" s="88">
        <f>IFERROR(EDATE($F483,$H483),"")</f>
        <v/>
      </c>
      <c r="K483" s="44" t="n"/>
    </row>
    <row r="484">
      <c r="F484" s="44" t="n"/>
      <c r="I484" s="88">
        <f>IFERROR(EDATE($F484,$H484),"")</f>
        <v/>
      </c>
      <c r="K484" s="44" t="n"/>
    </row>
    <row r="485">
      <c r="F485" s="44" t="n"/>
      <c r="I485" s="88">
        <f>IFERROR(EDATE($F485,$H485),"")</f>
        <v/>
      </c>
      <c r="K485" s="44" t="n"/>
    </row>
    <row r="486">
      <c r="F486" s="44" t="n"/>
      <c r="I486" s="88">
        <f>IFERROR(EDATE($F486,$H486),"")</f>
        <v/>
      </c>
      <c r="K486" s="44" t="n"/>
    </row>
    <row r="487">
      <c r="F487" s="44" t="n"/>
      <c r="I487" s="88">
        <f>IFERROR(EDATE($F487,$H487),"")</f>
        <v/>
      </c>
      <c r="K487" s="44" t="n"/>
    </row>
    <row r="488">
      <c r="F488" s="44" t="n"/>
      <c r="I488" s="88">
        <f>IFERROR(EDATE($F488,$H488),"")</f>
        <v/>
      </c>
      <c r="K488" s="44" t="n"/>
    </row>
    <row r="489">
      <c r="F489" s="44" t="n"/>
      <c r="I489" s="88">
        <f>IFERROR(EDATE($F489,$H489),"")</f>
        <v/>
      </c>
      <c r="K489" s="44" t="n"/>
    </row>
    <row r="490">
      <c r="F490" s="44" t="n"/>
      <c r="I490" s="88">
        <f>IFERROR(EDATE($F490,$H490),"")</f>
        <v/>
      </c>
      <c r="K490" s="44" t="n"/>
    </row>
    <row r="491">
      <c r="F491" s="44" t="n"/>
      <c r="I491" s="88">
        <f>IFERROR(EDATE($F491,$H491),"")</f>
        <v/>
      </c>
      <c r="K491" s="44" t="n"/>
    </row>
    <row r="492">
      <c r="F492" s="44" t="n"/>
      <c r="I492" s="88">
        <f>IFERROR(EDATE($F492,$H492),"")</f>
        <v/>
      </c>
      <c r="K492" s="44" t="n"/>
    </row>
    <row r="493">
      <c r="F493" s="44" t="n"/>
      <c r="I493" s="88">
        <f>IFERROR(EDATE($F493,$H493),"")</f>
        <v/>
      </c>
      <c r="K493" s="44" t="n"/>
    </row>
    <row r="494">
      <c r="F494" s="44" t="n"/>
      <c r="I494" s="88">
        <f>IFERROR(EDATE($F494,$H494),"")</f>
        <v/>
      </c>
      <c r="K494" s="44" t="n"/>
    </row>
    <row r="495">
      <c r="F495" s="44" t="n"/>
      <c r="I495" s="88">
        <f>IFERROR(EDATE($F495,$H495),"")</f>
        <v/>
      </c>
      <c r="K495" s="44" t="n"/>
    </row>
    <row r="496">
      <c r="F496" s="44" t="n"/>
      <c r="I496" s="88">
        <f>IFERROR(EDATE($F496,$H496),"")</f>
        <v/>
      </c>
      <c r="K496" s="44" t="n"/>
    </row>
    <row r="497">
      <c r="F497" s="44" t="n"/>
      <c r="I497" s="88">
        <f>IFERROR(EDATE($F497,$H497),"")</f>
        <v/>
      </c>
      <c r="K497" s="44" t="n"/>
    </row>
    <row r="498">
      <c r="F498" s="44" t="n"/>
      <c r="I498" s="88">
        <f>IFERROR(EDATE($F498,$H498),"")</f>
        <v/>
      </c>
      <c r="K498" s="44" t="n"/>
    </row>
    <row r="499">
      <c r="F499" s="44" t="n"/>
      <c r="I499" s="88">
        <f>IFERROR(EDATE($F499,$H499),"")</f>
        <v/>
      </c>
      <c r="K499" s="44" t="n"/>
    </row>
    <row r="500">
      <c r="F500" s="44" t="n"/>
      <c r="I500" s="88">
        <f>IFERROR(EDATE($F500,$H500),"")</f>
        <v/>
      </c>
      <c r="K500" s="44" t="n"/>
    </row>
    <row r="501">
      <c r="F501" s="44" t="n"/>
      <c r="I501" s="88">
        <f>IFERROR(EDATE($F501,$H501),"")</f>
        <v/>
      </c>
      <c r="K501" s="44" t="n"/>
    </row>
    <row r="502">
      <c r="F502" s="44" t="n"/>
      <c r="I502" s="88">
        <f>IFERROR(EDATE($F502,$H502),"")</f>
        <v/>
      </c>
      <c r="K502" s="44" t="n"/>
    </row>
    <row r="503">
      <c r="F503" s="44" t="n"/>
      <c r="I503" s="88">
        <f>IFERROR(EDATE($F503,$H503),"")</f>
        <v/>
      </c>
      <c r="K503" s="44" t="n"/>
    </row>
    <row r="504">
      <c r="F504" s="44" t="n"/>
      <c r="I504" s="88">
        <f>IFERROR(EDATE($F504,$H504),"")</f>
        <v/>
      </c>
      <c r="K504" s="44" t="n"/>
    </row>
    <row r="505">
      <c r="F505" s="44" t="n"/>
      <c r="I505" s="88">
        <f>IFERROR(EDATE($F505,$H505),"")</f>
        <v/>
      </c>
      <c r="K505" s="44" t="n"/>
    </row>
    <row r="506">
      <c r="F506" s="44" t="n"/>
      <c r="I506" s="88">
        <f>IFERROR(EDATE($F506,$H506),"")</f>
        <v/>
      </c>
      <c r="K506" s="44" t="n"/>
    </row>
    <row r="507">
      <c r="F507" s="44" t="n"/>
      <c r="I507" s="88">
        <f>IFERROR(EDATE($F507,$H507),"")</f>
        <v/>
      </c>
      <c r="K507" s="44" t="n"/>
    </row>
    <row r="508">
      <c r="F508" s="44" t="n"/>
      <c r="I508" s="88">
        <f>IFERROR(EDATE($F508,$H508),"")</f>
        <v/>
      </c>
      <c r="K508" s="44" t="n"/>
    </row>
    <row r="509">
      <c r="F509" s="44" t="n"/>
      <c r="I509" s="88">
        <f>IFERROR(EDATE($F509,$H509),"")</f>
        <v/>
      </c>
      <c r="K509" s="44" t="n"/>
    </row>
    <row r="510">
      <c r="F510" s="44" t="n"/>
      <c r="I510" s="88">
        <f>IFERROR(EDATE($F510,$H510),"")</f>
        <v/>
      </c>
      <c r="K510" s="44" t="n"/>
    </row>
    <row r="511">
      <c r="F511" s="44" t="n"/>
      <c r="I511" s="88">
        <f>IFERROR(EDATE($F511,$H511),"")</f>
        <v/>
      </c>
      <c r="K511" s="44" t="n"/>
    </row>
    <row r="512">
      <c r="F512" s="44" t="n"/>
      <c r="I512" s="88">
        <f>IFERROR(EDATE($F512,$H512),"")</f>
        <v/>
      </c>
      <c r="K512" s="44" t="n"/>
    </row>
    <row r="513">
      <c r="F513" s="44" t="n"/>
      <c r="I513" s="88">
        <f>IFERROR(EDATE($F513,$H513),"")</f>
        <v/>
      </c>
      <c r="K513" s="44" t="n"/>
    </row>
    <row r="514">
      <c r="F514" s="44" t="n"/>
      <c r="I514" s="88">
        <f>IFERROR(EDATE($F514,$H514),"")</f>
        <v/>
      </c>
      <c r="K514" s="44" t="n"/>
    </row>
    <row r="515">
      <c r="F515" s="44" t="n"/>
      <c r="I515" s="88">
        <f>IFERROR(EDATE($F515,$H515),"")</f>
        <v/>
      </c>
      <c r="K515" s="44" t="n"/>
    </row>
    <row r="516">
      <c r="F516" s="44" t="n"/>
      <c r="I516" s="88">
        <f>IFERROR(EDATE($F516,$H516),"")</f>
        <v/>
      </c>
      <c r="K516" s="44" t="n"/>
    </row>
    <row r="517">
      <c r="F517" s="44" t="n"/>
      <c r="I517" s="88">
        <f>IFERROR(EDATE($F517,$H517),"")</f>
        <v/>
      </c>
      <c r="K517" s="44" t="n"/>
    </row>
    <row r="518">
      <c r="F518" s="44" t="n"/>
      <c r="I518" s="88">
        <f>IFERROR(EDATE($F518,$H518),"")</f>
        <v/>
      </c>
      <c r="K518" s="44" t="n"/>
    </row>
    <row r="519">
      <c r="F519" s="44" t="n"/>
      <c r="I519" s="88">
        <f>IFERROR(EDATE($F519,$H519),"")</f>
        <v/>
      </c>
      <c r="K519" s="44" t="n"/>
    </row>
    <row r="520">
      <c r="F520" s="44" t="n"/>
      <c r="I520" s="88">
        <f>IFERROR(EDATE($F520,$H520),"")</f>
        <v/>
      </c>
      <c r="K520" s="44" t="n"/>
    </row>
    <row r="521">
      <c r="F521" s="44" t="n"/>
      <c r="I521" s="88">
        <f>IFERROR(EDATE($F521,$H521),"")</f>
        <v/>
      </c>
      <c r="K521" s="44" t="n"/>
    </row>
    <row r="522">
      <c r="F522" s="44" t="n"/>
      <c r="I522" s="88">
        <f>IFERROR(EDATE($F522,$H522),"")</f>
        <v/>
      </c>
      <c r="K522" s="44" t="n"/>
    </row>
    <row r="523">
      <c r="F523" s="44" t="n"/>
      <c r="I523" s="88">
        <f>IFERROR(EDATE($F523,$H523),"")</f>
        <v/>
      </c>
      <c r="K523" s="44" t="n"/>
    </row>
    <row r="524">
      <c r="F524" s="44" t="n"/>
      <c r="I524" s="88">
        <f>IFERROR(EDATE($F524,$H524),"")</f>
        <v/>
      </c>
      <c r="K524" s="44" t="n"/>
    </row>
    <row r="525">
      <c r="F525" s="44" t="n"/>
      <c r="I525" s="88">
        <f>IFERROR(EDATE($F525,$H525),"")</f>
        <v/>
      </c>
      <c r="K525" s="44" t="n"/>
    </row>
    <row r="526">
      <c r="F526" s="44" t="n"/>
      <c r="I526" s="88">
        <f>IFERROR(EDATE($F526,$H526),"")</f>
        <v/>
      </c>
      <c r="K526" s="44" t="n"/>
    </row>
    <row r="527">
      <c r="F527" s="44" t="n"/>
      <c r="I527" s="88">
        <f>IFERROR(EDATE($F527,$H527),"")</f>
        <v/>
      </c>
      <c r="K527" s="44" t="n"/>
    </row>
    <row r="528">
      <c r="F528" s="44" t="n"/>
      <c r="I528" s="88">
        <f>IFERROR(EDATE($F528,$H528),"")</f>
        <v/>
      </c>
      <c r="K528" s="44" t="n"/>
    </row>
    <row r="529">
      <c r="F529" s="44" t="n"/>
      <c r="I529" s="88">
        <f>IFERROR(EDATE($F529,$H529),"")</f>
        <v/>
      </c>
      <c r="K529" s="44" t="n"/>
    </row>
    <row r="530">
      <c r="F530" s="44" t="n"/>
      <c r="I530" s="88">
        <f>IFERROR(EDATE($F530,$H530),"")</f>
        <v/>
      </c>
      <c r="K530" s="44" t="n"/>
    </row>
    <row r="531">
      <c r="F531" s="44" t="n"/>
      <c r="I531" s="88">
        <f>IFERROR(EDATE($F531,$H531),"")</f>
        <v/>
      </c>
      <c r="K531" s="44" t="n"/>
    </row>
    <row r="532">
      <c r="F532" s="44" t="n"/>
      <c r="I532" s="88">
        <f>IFERROR(EDATE($F532,$H532),"")</f>
        <v/>
      </c>
      <c r="K532" s="44" t="n"/>
    </row>
    <row r="533">
      <c r="F533" s="44" t="n"/>
      <c r="I533" s="88">
        <f>IFERROR(EDATE($F533,$H533),"")</f>
        <v/>
      </c>
      <c r="K533" s="44" t="n"/>
    </row>
    <row r="534">
      <c r="F534" s="44" t="n"/>
      <c r="I534" s="88">
        <f>IFERROR(EDATE($F534,$H534),"")</f>
        <v/>
      </c>
      <c r="K534" s="44" t="n"/>
    </row>
    <row r="535">
      <c r="F535" s="44" t="n"/>
      <c r="I535" s="88">
        <f>IFERROR(EDATE($F535,$H535),"")</f>
        <v/>
      </c>
      <c r="K535" s="44" t="n"/>
    </row>
    <row r="536">
      <c r="F536" s="44" t="n"/>
      <c r="I536" s="88">
        <f>IFERROR(EDATE($F536,$H536),"")</f>
        <v/>
      </c>
      <c r="K536" s="44" t="n"/>
    </row>
    <row r="537">
      <c r="F537" s="44" t="n"/>
      <c r="I537" s="88">
        <f>IFERROR(EDATE($F537,$H537),"")</f>
        <v/>
      </c>
      <c r="K537" s="44" t="n"/>
    </row>
    <row r="538">
      <c r="F538" s="44" t="n"/>
      <c r="I538" s="88">
        <f>IFERROR(EDATE($F538,$H538),"")</f>
        <v/>
      </c>
      <c r="K538" s="44" t="n"/>
    </row>
    <row r="539">
      <c r="F539" s="44" t="n"/>
      <c r="I539" s="88">
        <f>IFERROR(EDATE($F539,$H539),"")</f>
        <v/>
      </c>
      <c r="K539" s="44" t="n"/>
    </row>
    <row r="540">
      <c r="F540" s="44" t="n"/>
      <c r="I540" s="88">
        <f>IFERROR(EDATE($F540,$H540),"")</f>
        <v/>
      </c>
      <c r="K540" s="44" t="n"/>
    </row>
    <row r="541">
      <c r="F541" s="44" t="n"/>
      <c r="I541" s="88">
        <f>IFERROR(EDATE($F541,$H541),"")</f>
        <v/>
      </c>
      <c r="K541" s="44" t="n"/>
    </row>
    <row r="542">
      <c r="F542" s="44" t="n"/>
      <c r="I542" s="88">
        <f>IFERROR(EDATE($F542,$H542),"")</f>
        <v/>
      </c>
      <c r="K542" s="44" t="n"/>
    </row>
    <row r="543">
      <c r="F543" s="44" t="n"/>
      <c r="I543" s="88">
        <f>IFERROR(EDATE($F543,$H543),"")</f>
        <v/>
      </c>
      <c r="K543" s="44" t="n"/>
    </row>
    <row r="544">
      <c r="F544" s="44" t="n"/>
      <c r="I544" s="88">
        <f>IFERROR(EDATE($F544,$H544),"")</f>
        <v/>
      </c>
      <c r="K544" s="44" t="n"/>
    </row>
    <row r="545">
      <c r="F545" s="44" t="n"/>
      <c r="I545" s="88">
        <f>IFERROR(EDATE($F545,$H545),"")</f>
        <v/>
      </c>
      <c r="K545" s="44" t="n"/>
    </row>
    <row r="546">
      <c r="F546" s="44" t="n"/>
      <c r="I546" s="88">
        <f>IFERROR(EDATE($F546,$H546),"")</f>
        <v/>
      </c>
      <c r="K546" s="44" t="n"/>
    </row>
    <row r="547">
      <c r="F547" s="44" t="n"/>
      <c r="I547" s="88">
        <f>IFERROR(EDATE($F547,$H547),"")</f>
        <v/>
      </c>
      <c r="K547" s="44" t="n"/>
    </row>
    <row r="548">
      <c r="F548" s="44" t="n"/>
      <c r="I548" s="88">
        <f>IFERROR(EDATE($F548,$H548),"")</f>
        <v/>
      </c>
      <c r="K548" s="44" t="n"/>
    </row>
    <row r="549">
      <c r="F549" s="44" t="n"/>
      <c r="I549" s="88">
        <f>IFERROR(EDATE($F549,$H549),"")</f>
        <v/>
      </c>
      <c r="K549" s="44" t="n"/>
    </row>
    <row r="550">
      <c r="F550" s="44" t="n"/>
      <c r="I550" s="88">
        <f>IFERROR(EDATE($F550,$H550),"")</f>
        <v/>
      </c>
      <c r="K550" s="44" t="n"/>
    </row>
    <row r="551">
      <c r="F551" s="44" t="n"/>
      <c r="I551" s="88">
        <f>IFERROR(EDATE($F551,$H551),"")</f>
        <v/>
      </c>
      <c r="K551" s="44" t="n"/>
    </row>
    <row r="552">
      <c r="F552" s="44" t="n"/>
      <c r="I552" s="88">
        <f>IFERROR(EDATE($F552,$H552),"")</f>
        <v/>
      </c>
      <c r="K552" s="44" t="n"/>
    </row>
    <row r="553">
      <c r="F553" s="44" t="n"/>
      <c r="I553" s="88">
        <f>IFERROR(EDATE($F553,$H553),"")</f>
        <v/>
      </c>
      <c r="K553" s="44" t="n"/>
    </row>
    <row r="554">
      <c r="F554" s="44" t="n"/>
      <c r="I554" s="88">
        <f>IFERROR(EDATE($F554,$H554),"")</f>
        <v/>
      </c>
      <c r="K554" s="44" t="n"/>
    </row>
    <row r="555">
      <c r="F555" s="44" t="n"/>
      <c r="I555" s="88">
        <f>IFERROR(EDATE($F555,$H555),"")</f>
        <v/>
      </c>
      <c r="K555" s="44" t="n"/>
    </row>
    <row r="556">
      <c r="F556" s="44" t="n"/>
      <c r="I556" s="88">
        <f>IFERROR(EDATE($F556,$H556),"")</f>
        <v/>
      </c>
      <c r="K556" s="44" t="n"/>
    </row>
    <row r="557">
      <c r="F557" s="44" t="n"/>
      <c r="I557" s="88">
        <f>IFERROR(EDATE($F557,$H557),"")</f>
        <v/>
      </c>
      <c r="K557" s="44" t="n"/>
    </row>
    <row r="558">
      <c r="F558" s="44" t="n"/>
      <c r="I558" s="88">
        <f>IFERROR(EDATE($F558,$H558),"")</f>
        <v/>
      </c>
      <c r="K558" s="44" t="n"/>
    </row>
    <row r="559">
      <c r="F559" s="44" t="n"/>
      <c r="I559" s="88">
        <f>IFERROR(EDATE($F559,$H559),"")</f>
        <v/>
      </c>
      <c r="K559" s="44" t="n"/>
    </row>
    <row r="560">
      <c r="F560" s="44" t="n"/>
      <c r="I560" s="88">
        <f>IFERROR(EDATE($F560,$H560),"")</f>
        <v/>
      </c>
      <c r="K560" s="44" t="n"/>
    </row>
    <row r="561">
      <c r="F561" s="44" t="n"/>
      <c r="I561" s="88">
        <f>IFERROR(EDATE($F561,$H561),"")</f>
        <v/>
      </c>
      <c r="K561" s="44" t="n"/>
    </row>
    <row r="562">
      <c r="F562" s="44" t="n"/>
      <c r="I562" s="88">
        <f>IFERROR(EDATE($F562,$H562),"")</f>
        <v/>
      </c>
      <c r="K562" s="44" t="n"/>
    </row>
    <row r="563">
      <c r="F563" s="44" t="n"/>
      <c r="I563" s="88">
        <f>IFERROR(EDATE($F563,$H563),"")</f>
        <v/>
      </c>
      <c r="K563" s="44" t="n"/>
    </row>
    <row r="564">
      <c r="F564" s="44" t="n"/>
      <c r="I564" s="88">
        <f>IFERROR(EDATE($F564,$H564),"")</f>
        <v/>
      </c>
      <c r="K564" s="44" t="n"/>
    </row>
    <row r="565">
      <c r="F565" s="44" t="n"/>
      <c r="I565" s="88">
        <f>IFERROR(EDATE($F565,$H565),"")</f>
        <v/>
      </c>
      <c r="K565" s="44" t="n"/>
    </row>
    <row r="566">
      <c r="F566" s="44" t="n"/>
      <c r="I566" s="88">
        <f>IFERROR(EDATE($F566,$H566),"")</f>
        <v/>
      </c>
      <c r="K566" s="44" t="n"/>
    </row>
    <row r="567">
      <c r="F567" s="44" t="n"/>
      <c r="I567" s="88">
        <f>IFERROR(EDATE($F567,$H567),"")</f>
        <v/>
      </c>
      <c r="K567" s="44" t="n"/>
    </row>
    <row r="568">
      <c r="F568" s="44" t="n"/>
      <c r="I568" s="88">
        <f>IFERROR(EDATE($F568,$H568),"")</f>
        <v/>
      </c>
      <c r="K568" s="44" t="n"/>
    </row>
    <row r="569">
      <c r="F569" s="44" t="n"/>
      <c r="I569" s="88">
        <f>IFERROR(EDATE($F569,$H569),"")</f>
        <v/>
      </c>
      <c r="K569" s="44" t="n"/>
    </row>
    <row r="570">
      <c r="F570" s="44" t="n"/>
      <c r="I570" s="88">
        <f>IFERROR(EDATE($F570,$H570),"")</f>
        <v/>
      </c>
      <c r="K570" s="44" t="n"/>
    </row>
    <row r="571">
      <c r="F571" s="44" t="n"/>
      <c r="I571" s="88">
        <f>IFERROR(EDATE($F571,$H571),"")</f>
        <v/>
      </c>
      <c r="K571" s="44" t="n"/>
    </row>
    <row r="572">
      <c r="F572" s="44" t="n"/>
      <c r="I572" s="88">
        <f>IFERROR(EDATE($F572,$H572),"")</f>
        <v/>
      </c>
      <c r="K572" s="44" t="n"/>
    </row>
    <row r="573">
      <c r="F573" s="44" t="n"/>
      <c r="I573" s="88">
        <f>IFERROR(EDATE($F573,$H573),"")</f>
        <v/>
      </c>
      <c r="K573" s="44" t="n"/>
    </row>
    <row r="574">
      <c r="F574" s="44" t="n"/>
      <c r="I574" s="88">
        <f>IFERROR(EDATE($F574,$H574),"")</f>
        <v/>
      </c>
      <c r="K574" s="44" t="n"/>
    </row>
    <row r="575">
      <c r="F575" s="44" t="n"/>
      <c r="I575" s="88">
        <f>IFERROR(EDATE($F575,$H575),"")</f>
        <v/>
      </c>
      <c r="K575" s="44" t="n"/>
    </row>
    <row r="576">
      <c r="F576" s="44" t="n"/>
      <c r="I576" s="88">
        <f>IFERROR(EDATE($F576,$H576),"")</f>
        <v/>
      </c>
      <c r="K576" s="44" t="n"/>
    </row>
    <row r="577">
      <c r="F577" s="44" t="n"/>
      <c r="I577" s="88">
        <f>IFERROR(EDATE($F577,$H577),"")</f>
        <v/>
      </c>
      <c r="K577" s="44" t="n"/>
    </row>
    <row r="578">
      <c r="F578" s="44" t="n"/>
      <c r="I578" s="88">
        <f>IFERROR(EDATE($F578,$H578),"")</f>
        <v/>
      </c>
      <c r="K578" s="44" t="n"/>
    </row>
    <row r="579">
      <c r="F579" s="44" t="n"/>
      <c r="I579" s="88">
        <f>IFERROR(EDATE($F579,$H579),"")</f>
        <v/>
      </c>
      <c r="K579" s="44" t="n"/>
    </row>
    <row r="580">
      <c r="F580" s="44" t="n"/>
      <c r="I580" s="88">
        <f>IFERROR(EDATE($F580,$H580),"")</f>
        <v/>
      </c>
      <c r="K580" s="44" t="n"/>
    </row>
    <row r="581">
      <c r="F581" s="44" t="n"/>
      <c r="I581" s="88">
        <f>IFERROR(EDATE($F581,$H581),"")</f>
        <v/>
      </c>
      <c r="K581" s="44" t="n"/>
    </row>
    <row r="582">
      <c r="F582" s="44" t="n"/>
      <c r="I582" s="88">
        <f>IFERROR(EDATE($F582,$H582),"")</f>
        <v/>
      </c>
      <c r="K582" s="44" t="n"/>
    </row>
    <row r="583">
      <c r="F583" s="44" t="n"/>
      <c r="I583" s="88">
        <f>IFERROR(EDATE($F583,$H583),"")</f>
        <v/>
      </c>
      <c r="K583" s="44" t="n"/>
    </row>
    <row r="584">
      <c r="F584" s="44" t="n"/>
      <c r="I584" s="88">
        <f>IFERROR(EDATE($F584,$H584),"")</f>
        <v/>
      </c>
      <c r="K584" s="44" t="n"/>
    </row>
    <row r="585">
      <c r="F585" s="44" t="n"/>
      <c r="I585" s="88">
        <f>IFERROR(EDATE($F585,$H585),"")</f>
        <v/>
      </c>
      <c r="K585" s="44" t="n"/>
    </row>
    <row r="586">
      <c r="F586" s="44" t="n"/>
      <c r="I586" s="88">
        <f>IFERROR(EDATE($F586,$H586),"")</f>
        <v/>
      </c>
      <c r="K586" s="44" t="n"/>
    </row>
    <row r="587">
      <c r="F587" s="44" t="n"/>
      <c r="I587" s="88">
        <f>IFERROR(EDATE($F587,$H587),"")</f>
        <v/>
      </c>
      <c r="K587" s="44" t="n"/>
    </row>
    <row r="588">
      <c r="F588" s="44" t="n"/>
      <c r="I588" s="88">
        <f>IFERROR(EDATE($F588,$H588),"")</f>
        <v/>
      </c>
      <c r="K588" s="44" t="n"/>
    </row>
    <row r="589">
      <c r="F589" s="44" t="n"/>
      <c r="I589" s="88">
        <f>IFERROR(EDATE($F589,$H589),"")</f>
        <v/>
      </c>
      <c r="K589" s="44" t="n"/>
    </row>
    <row r="590">
      <c r="F590" s="44" t="n"/>
      <c r="I590" s="88">
        <f>IFERROR(EDATE($F590,$H590),"")</f>
        <v/>
      </c>
      <c r="K590" s="44" t="n"/>
    </row>
    <row r="591">
      <c r="F591" s="44" t="n"/>
      <c r="I591" s="88">
        <f>IFERROR(EDATE($F591,$H591),"")</f>
        <v/>
      </c>
      <c r="K591" s="44" t="n"/>
    </row>
    <row r="592">
      <c r="F592" s="44" t="n"/>
      <c r="I592" s="88">
        <f>IFERROR(EDATE($F592,$H592),"")</f>
        <v/>
      </c>
      <c r="K592" s="44" t="n"/>
    </row>
    <row r="593">
      <c r="F593" s="44" t="n"/>
      <c r="I593" s="88">
        <f>IFERROR(EDATE($F593,$H593),"")</f>
        <v/>
      </c>
      <c r="K593" s="44" t="n"/>
    </row>
    <row r="594">
      <c r="F594" s="44" t="n"/>
      <c r="I594" s="88">
        <f>IFERROR(EDATE($F594,$H594),"")</f>
        <v/>
      </c>
      <c r="K594" s="44" t="n"/>
    </row>
    <row r="595">
      <c r="F595" s="44" t="n"/>
      <c r="I595" s="88">
        <f>IFERROR(EDATE($F595,$H595),"")</f>
        <v/>
      </c>
      <c r="K595" s="44" t="n"/>
    </row>
    <row r="596">
      <c r="F596" s="44" t="n"/>
      <c r="I596" s="88">
        <f>IFERROR(EDATE($F596,$H596),"")</f>
        <v/>
      </c>
      <c r="K596" s="44" t="n"/>
    </row>
    <row r="597">
      <c r="F597" s="44" t="n"/>
      <c r="I597" s="88">
        <f>IFERROR(EDATE($F597,$H597),"")</f>
        <v/>
      </c>
      <c r="K597" s="44" t="n"/>
    </row>
    <row r="598">
      <c r="F598" s="44" t="n"/>
      <c r="I598" s="88">
        <f>IFERROR(EDATE($F598,$H598),"")</f>
        <v/>
      </c>
      <c r="K598" s="44" t="n"/>
    </row>
    <row r="599">
      <c r="F599" s="44" t="n"/>
      <c r="I599" s="88">
        <f>IFERROR(EDATE($F599,$H599),"")</f>
        <v/>
      </c>
      <c r="K599" s="44" t="n"/>
    </row>
    <row r="600">
      <c r="F600" s="44" t="n"/>
      <c r="I600" s="88">
        <f>IFERROR(EDATE($F600,$H600),"")</f>
        <v/>
      </c>
      <c r="K600" s="44" t="n"/>
    </row>
    <row r="601">
      <c r="F601" s="44" t="n"/>
      <c r="I601" s="88">
        <f>IFERROR(EDATE($F601,$H601),"")</f>
        <v/>
      </c>
      <c r="K601" s="44" t="n"/>
    </row>
    <row r="602">
      <c r="F602" s="44" t="n"/>
      <c r="I602" s="88">
        <f>IFERROR(EDATE($F602,$H602),"")</f>
        <v/>
      </c>
      <c r="K602" s="44" t="n"/>
    </row>
    <row r="603">
      <c r="F603" s="44" t="n"/>
      <c r="I603" s="88">
        <f>IFERROR(EDATE($F603,$H603),"")</f>
        <v/>
      </c>
      <c r="K603" s="44" t="n"/>
    </row>
    <row r="604">
      <c r="F604" s="44" t="n"/>
      <c r="I604" s="88">
        <f>IFERROR(EDATE($F604,$H604),"")</f>
        <v/>
      </c>
      <c r="K604" s="44" t="n"/>
    </row>
    <row r="605">
      <c r="F605" s="44" t="n"/>
      <c r="I605" s="88">
        <f>IFERROR(EDATE($F605,$H605),"")</f>
        <v/>
      </c>
      <c r="K605" s="44" t="n"/>
    </row>
    <row r="606">
      <c r="F606" s="44" t="n"/>
      <c r="I606" s="88">
        <f>IFERROR(EDATE($F606,$H606),"")</f>
        <v/>
      </c>
      <c r="K606" s="44" t="n"/>
    </row>
    <row r="607">
      <c r="F607" s="44" t="n"/>
      <c r="I607" s="88">
        <f>IFERROR(EDATE($F607,$H607),"")</f>
        <v/>
      </c>
      <c r="K607" s="44" t="n"/>
    </row>
    <row r="608">
      <c r="F608" s="44" t="n"/>
      <c r="I608" s="88">
        <f>IFERROR(EDATE($F608,$H608),"")</f>
        <v/>
      </c>
      <c r="K608" s="44" t="n"/>
    </row>
    <row r="609">
      <c r="F609" s="44" t="n"/>
      <c r="I609" s="88">
        <f>IFERROR(EDATE($F609,$H609),"")</f>
        <v/>
      </c>
      <c r="K609" s="44" t="n"/>
    </row>
    <row r="610">
      <c r="F610" s="44" t="n"/>
      <c r="I610" s="88">
        <f>IFERROR(EDATE($F610,$H610),"")</f>
        <v/>
      </c>
      <c r="K610" s="44" t="n"/>
    </row>
    <row r="611">
      <c r="F611" s="44" t="n"/>
      <c r="I611" s="88">
        <f>IFERROR(EDATE($F611,$H611),"")</f>
        <v/>
      </c>
      <c r="K611" s="44" t="n"/>
    </row>
    <row r="612">
      <c r="F612" s="44" t="n"/>
      <c r="I612" s="88">
        <f>IFERROR(EDATE($F612,$H612),"")</f>
        <v/>
      </c>
      <c r="K612" s="44" t="n"/>
    </row>
    <row r="613">
      <c r="F613" s="44" t="n"/>
      <c r="I613" s="88">
        <f>IFERROR(EDATE($F613,$H613),"")</f>
        <v/>
      </c>
      <c r="K613" s="44" t="n"/>
    </row>
    <row r="614">
      <c r="F614" s="44" t="n"/>
      <c r="I614" s="88">
        <f>IFERROR(EDATE($F614,$H614),"")</f>
        <v/>
      </c>
      <c r="K614" s="44" t="n"/>
    </row>
    <row r="615">
      <c r="F615" s="44" t="n"/>
      <c r="I615" s="88">
        <f>IFERROR(EDATE($F615,$H615),"")</f>
        <v/>
      </c>
      <c r="K615" s="44" t="n"/>
    </row>
    <row r="616">
      <c r="F616" s="44" t="n"/>
      <c r="I616" s="88">
        <f>IFERROR(EDATE($F616,$H616),"")</f>
        <v/>
      </c>
      <c r="K616" s="44" t="n"/>
    </row>
    <row r="617">
      <c r="F617" s="44" t="n"/>
      <c r="I617" s="88">
        <f>IFERROR(EDATE($F617,$H617),"")</f>
        <v/>
      </c>
      <c r="K617" s="44" t="n"/>
    </row>
    <row r="618">
      <c r="F618" s="44" t="n"/>
      <c r="I618" s="88">
        <f>IFERROR(EDATE($F618,$H618),"")</f>
        <v/>
      </c>
      <c r="K618" s="44" t="n"/>
    </row>
    <row r="619">
      <c r="F619" s="44" t="n"/>
      <c r="I619" s="88">
        <f>IFERROR(EDATE($F619,$H619),"")</f>
        <v/>
      </c>
      <c r="K619" s="44" t="n"/>
    </row>
    <row r="620">
      <c r="F620" s="44" t="n"/>
      <c r="I620" s="88">
        <f>IFERROR(EDATE($F620,$H620),"")</f>
        <v/>
      </c>
      <c r="K620" s="44" t="n"/>
    </row>
    <row r="621">
      <c r="F621" s="44" t="n"/>
      <c r="I621" s="88">
        <f>IFERROR(EDATE($F621,$H621),"")</f>
        <v/>
      </c>
      <c r="K621" s="44" t="n"/>
    </row>
    <row r="622">
      <c r="F622" s="44" t="n"/>
      <c r="I622" s="88">
        <f>IFERROR(EDATE($F622,$H622),"")</f>
        <v/>
      </c>
      <c r="K622" s="44" t="n"/>
    </row>
    <row r="623">
      <c r="F623" s="44" t="n"/>
      <c r="I623" s="88">
        <f>IFERROR(EDATE($F623,$H623),"")</f>
        <v/>
      </c>
      <c r="K623" s="44" t="n"/>
    </row>
    <row r="624">
      <c r="F624" s="44" t="n"/>
      <c r="I624" s="88">
        <f>IFERROR(EDATE($F624,$H624),"")</f>
        <v/>
      </c>
      <c r="K624" s="44" t="n"/>
    </row>
    <row r="625">
      <c r="F625" s="44" t="n"/>
      <c r="I625" s="88">
        <f>IFERROR(EDATE($F625,$H625),"")</f>
        <v/>
      </c>
      <c r="K625" s="44" t="n"/>
    </row>
    <row r="626">
      <c r="F626" s="44" t="n"/>
      <c r="I626" s="88">
        <f>IFERROR(EDATE($F626,$H626),"")</f>
        <v/>
      </c>
      <c r="K626" s="44" t="n"/>
    </row>
    <row r="627">
      <c r="F627" s="44" t="n"/>
      <c r="I627" s="88">
        <f>IFERROR(EDATE($F627,$H627),"")</f>
        <v/>
      </c>
      <c r="K627" s="44" t="n"/>
    </row>
    <row r="628">
      <c r="F628" s="44" t="n"/>
      <c r="I628" s="88">
        <f>IFERROR(EDATE($F628,$H628),"")</f>
        <v/>
      </c>
      <c r="K628" s="44" t="n"/>
    </row>
    <row r="629">
      <c r="F629" s="44" t="n"/>
      <c r="I629" s="88">
        <f>IFERROR(EDATE($F629,$H629),"")</f>
        <v/>
      </c>
      <c r="K629" s="44" t="n"/>
    </row>
    <row r="630">
      <c r="F630" s="44" t="n"/>
      <c r="I630" s="88">
        <f>IFERROR(EDATE($F630,$H630),"")</f>
        <v/>
      </c>
      <c r="K630" s="44" t="n"/>
    </row>
    <row r="631">
      <c r="F631" s="44" t="n"/>
      <c r="I631" s="88">
        <f>IFERROR(EDATE($F631,$H631),"")</f>
        <v/>
      </c>
      <c r="K631" s="44" t="n"/>
    </row>
    <row r="632">
      <c r="F632" s="44" t="n"/>
      <c r="I632" s="88">
        <f>IFERROR(EDATE($F632,$H632),"")</f>
        <v/>
      </c>
      <c r="K632" s="44" t="n"/>
    </row>
    <row r="633">
      <c r="F633" s="44" t="n"/>
      <c r="I633" s="88">
        <f>IFERROR(EDATE($F633,$H633),"")</f>
        <v/>
      </c>
      <c r="K633" s="44" t="n"/>
    </row>
    <row r="634">
      <c r="F634" s="44" t="n"/>
      <c r="I634" s="88">
        <f>IFERROR(EDATE($F634,$H634),"")</f>
        <v/>
      </c>
      <c r="K634" s="44" t="n"/>
    </row>
    <row r="635">
      <c r="F635" s="44" t="n"/>
      <c r="I635" s="88">
        <f>IFERROR(EDATE($F635,$H635),"")</f>
        <v/>
      </c>
      <c r="K635" s="44" t="n"/>
    </row>
    <row r="636">
      <c r="F636" s="44" t="n"/>
      <c r="I636" s="88">
        <f>IFERROR(EDATE($F636,$H636),"")</f>
        <v/>
      </c>
      <c r="K636" s="44" t="n"/>
    </row>
    <row r="637">
      <c r="F637" s="44" t="n"/>
      <c r="I637" s="88">
        <f>IFERROR(EDATE($F637,$H637),"")</f>
        <v/>
      </c>
      <c r="K637" s="44" t="n"/>
    </row>
    <row r="638">
      <c r="F638" s="44" t="n"/>
      <c r="I638" s="88">
        <f>IFERROR(EDATE($F638,$H638),"")</f>
        <v/>
      </c>
      <c r="K638" s="44" t="n"/>
    </row>
    <row r="639">
      <c r="F639" s="44" t="n"/>
      <c r="I639" s="88">
        <f>IFERROR(EDATE($F639,$H639),"")</f>
        <v/>
      </c>
      <c r="K639" s="44" t="n"/>
    </row>
    <row r="640">
      <c r="F640" s="44" t="n"/>
      <c r="I640" s="88">
        <f>IFERROR(EDATE($F640,$H640),"")</f>
        <v/>
      </c>
      <c r="K640" s="44" t="n"/>
    </row>
    <row r="641">
      <c r="F641" s="44" t="n"/>
      <c r="I641" s="88">
        <f>IFERROR(EDATE($F641,$H641),"")</f>
        <v/>
      </c>
      <c r="K641" s="44" t="n"/>
    </row>
    <row r="642">
      <c r="F642" s="44" t="n"/>
      <c r="I642" s="88">
        <f>IFERROR(EDATE($F642,$H642),"")</f>
        <v/>
      </c>
      <c r="K642" s="44" t="n"/>
    </row>
    <row r="643">
      <c r="F643" s="44" t="n"/>
      <c r="I643" s="88">
        <f>IFERROR(EDATE($F643,$H643),"")</f>
        <v/>
      </c>
      <c r="K643" s="44" t="n"/>
    </row>
    <row r="644">
      <c r="F644" s="44" t="n"/>
      <c r="I644" s="88">
        <f>IFERROR(EDATE($F644,$H644),"")</f>
        <v/>
      </c>
      <c r="K644" s="44" t="n"/>
    </row>
    <row r="645">
      <c r="F645" s="44" t="n"/>
      <c r="I645" s="88">
        <f>IFERROR(EDATE($F645,$H645),"")</f>
        <v/>
      </c>
      <c r="K645" s="44" t="n"/>
    </row>
    <row r="646">
      <c r="F646" s="44" t="n"/>
      <c r="I646" s="88">
        <f>IFERROR(EDATE($F646,$H646),"")</f>
        <v/>
      </c>
      <c r="K646" s="44" t="n"/>
    </row>
    <row r="647">
      <c r="F647" s="44" t="n"/>
      <c r="I647" s="88">
        <f>IFERROR(EDATE($F647,$H647),"")</f>
        <v/>
      </c>
      <c r="K647" s="44" t="n"/>
    </row>
    <row r="648">
      <c r="F648" s="44" t="n"/>
      <c r="I648" s="88">
        <f>IFERROR(EDATE($F648,$H648),"")</f>
        <v/>
      </c>
      <c r="K648" s="44" t="n"/>
    </row>
    <row r="649">
      <c r="F649" s="44" t="n"/>
      <c r="I649" s="88">
        <f>IFERROR(EDATE($F649,$H649),"")</f>
        <v/>
      </c>
      <c r="K649" s="44" t="n"/>
    </row>
    <row r="650">
      <c r="F650" s="44" t="n"/>
      <c r="I650" s="88">
        <f>IFERROR(EDATE($F650,$H650),"")</f>
        <v/>
      </c>
      <c r="K650" s="44" t="n"/>
    </row>
    <row r="651">
      <c r="F651" s="44" t="n"/>
      <c r="I651" s="88">
        <f>IFERROR(EDATE($F651,$H651),"")</f>
        <v/>
      </c>
      <c r="K651" s="44" t="n"/>
    </row>
    <row r="652">
      <c r="F652" s="44" t="n"/>
      <c r="I652" s="88">
        <f>IFERROR(EDATE($F652,$H652),"")</f>
        <v/>
      </c>
      <c r="K652" s="44" t="n"/>
    </row>
    <row r="653">
      <c r="F653" s="44" t="n"/>
      <c r="I653" s="88">
        <f>IFERROR(EDATE($F653,$H653),"")</f>
        <v/>
      </c>
      <c r="K653" s="44" t="n"/>
    </row>
    <row r="654">
      <c r="F654" s="44" t="n"/>
      <c r="I654" s="88">
        <f>IFERROR(EDATE($F654,$H654),"")</f>
        <v/>
      </c>
      <c r="K654" s="44" t="n"/>
    </row>
    <row r="655">
      <c r="F655" s="44" t="n"/>
      <c r="I655" s="88">
        <f>IFERROR(EDATE($F655,$H655),"")</f>
        <v/>
      </c>
      <c r="K655" s="44" t="n"/>
    </row>
    <row r="656">
      <c r="F656" s="44" t="n"/>
      <c r="I656" s="88">
        <f>IFERROR(EDATE($F656,$H656),"")</f>
        <v/>
      </c>
      <c r="K656" s="44" t="n"/>
    </row>
    <row r="657">
      <c r="F657" s="44" t="n"/>
      <c r="I657" s="88">
        <f>IFERROR(EDATE($F657,$H657),"")</f>
        <v/>
      </c>
      <c r="K657" s="44" t="n"/>
    </row>
    <row r="658">
      <c r="F658" s="44" t="n"/>
      <c r="I658" s="88">
        <f>IFERROR(EDATE($F658,$H658),"")</f>
        <v/>
      </c>
      <c r="K658" s="44" t="n"/>
    </row>
    <row r="659">
      <c r="F659" s="44" t="n"/>
      <c r="I659" s="88">
        <f>IFERROR(EDATE($F659,$H659),"")</f>
        <v/>
      </c>
      <c r="K659" s="44" t="n"/>
    </row>
    <row r="660">
      <c r="F660" s="44" t="n"/>
      <c r="I660" s="88">
        <f>IFERROR(EDATE($F660,$H660),"")</f>
        <v/>
      </c>
      <c r="K660" s="44" t="n"/>
    </row>
    <row r="661">
      <c r="F661" s="44" t="n"/>
      <c r="I661" s="88">
        <f>IFERROR(EDATE($F661,$H661),"")</f>
        <v/>
      </c>
      <c r="K661" s="44" t="n"/>
    </row>
    <row r="662">
      <c r="F662" s="44" t="n"/>
      <c r="I662" s="88">
        <f>IFERROR(EDATE($F662,$H662),"")</f>
        <v/>
      </c>
      <c r="K662" s="44" t="n"/>
    </row>
    <row r="663">
      <c r="F663" s="44" t="n"/>
      <c r="I663" s="88">
        <f>IFERROR(EDATE($F663,$H663),"")</f>
        <v/>
      </c>
      <c r="K663" s="44" t="n"/>
    </row>
    <row r="664">
      <c r="F664" s="44" t="n"/>
      <c r="I664" s="88">
        <f>IFERROR(EDATE($F664,$H664),"")</f>
        <v/>
      </c>
      <c r="K664" s="44" t="n"/>
    </row>
    <row r="665">
      <c r="F665" s="44" t="n"/>
      <c r="I665" s="88">
        <f>IFERROR(EDATE($F665,$H665),"")</f>
        <v/>
      </c>
      <c r="K665" s="44" t="n"/>
    </row>
    <row r="666">
      <c r="F666" s="44" t="n"/>
      <c r="I666" s="88">
        <f>IFERROR(EDATE($F666,$H666),"")</f>
        <v/>
      </c>
      <c r="K666" s="44" t="n"/>
    </row>
    <row r="667">
      <c r="F667" s="44" t="n"/>
      <c r="I667" s="88">
        <f>IFERROR(EDATE($F667,$H667),"")</f>
        <v/>
      </c>
      <c r="K667" s="44" t="n"/>
    </row>
    <row r="668">
      <c r="F668" s="44" t="n"/>
      <c r="I668" s="88">
        <f>IFERROR(EDATE($F668,$H668),"")</f>
        <v/>
      </c>
      <c r="K668" s="44" t="n"/>
    </row>
    <row r="669">
      <c r="F669" s="44" t="n"/>
      <c r="I669" s="88">
        <f>IFERROR(EDATE($F669,$H669),"")</f>
        <v/>
      </c>
      <c r="K669" s="44" t="n"/>
    </row>
    <row r="670">
      <c r="F670" s="44" t="n"/>
      <c r="I670" s="88">
        <f>IFERROR(EDATE($F670,$H670),"")</f>
        <v/>
      </c>
      <c r="K670" s="44" t="n"/>
    </row>
    <row r="671">
      <c r="F671" s="44" t="n"/>
      <c r="I671" s="88">
        <f>IFERROR(EDATE($F671,$H671),"")</f>
        <v/>
      </c>
      <c r="K671" s="44" t="n"/>
    </row>
    <row r="672">
      <c r="F672" s="44" t="n"/>
      <c r="I672" s="88">
        <f>IFERROR(EDATE($F672,$H672),"")</f>
        <v/>
      </c>
      <c r="K672" s="44" t="n"/>
    </row>
    <row r="673">
      <c r="F673" s="44" t="n"/>
      <c r="I673" s="88">
        <f>IFERROR(EDATE($F673,$H673),"")</f>
        <v/>
      </c>
      <c r="K673" s="44" t="n"/>
    </row>
    <row r="674">
      <c r="F674" s="44" t="n"/>
      <c r="I674" s="88">
        <f>IFERROR(EDATE($F674,$H674),"")</f>
        <v/>
      </c>
      <c r="K674" s="44" t="n"/>
    </row>
    <row r="675">
      <c r="F675" s="44" t="n"/>
      <c r="I675" s="88">
        <f>IFERROR(EDATE($F675,$H675),"")</f>
        <v/>
      </c>
      <c r="K675" s="44" t="n"/>
    </row>
    <row r="676">
      <c r="F676" s="44" t="n"/>
      <c r="I676" s="88">
        <f>IFERROR(EDATE($F676,$H676),"")</f>
        <v/>
      </c>
      <c r="K676" s="44" t="n"/>
    </row>
    <row r="677">
      <c r="F677" s="44" t="n"/>
      <c r="I677" s="88">
        <f>IFERROR(EDATE($F677,$H677),"")</f>
        <v/>
      </c>
      <c r="K677" s="44" t="n"/>
    </row>
    <row r="678">
      <c r="F678" s="44" t="n"/>
      <c r="I678" s="88">
        <f>IFERROR(EDATE($F678,$H678),"")</f>
        <v/>
      </c>
      <c r="K678" s="44" t="n"/>
    </row>
    <row r="679">
      <c r="F679" s="44" t="n"/>
      <c r="I679" s="88">
        <f>IFERROR(EDATE($F679,$H679),"")</f>
        <v/>
      </c>
      <c r="K679" s="44" t="n"/>
    </row>
    <row r="680">
      <c r="F680" s="44" t="n"/>
      <c r="I680" s="88">
        <f>IFERROR(EDATE($F680,$H680),"")</f>
        <v/>
      </c>
      <c r="K680" s="44" t="n"/>
    </row>
    <row r="681">
      <c r="F681" s="44" t="n"/>
      <c r="I681" s="88">
        <f>IFERROR(EDATE($F681,$H681),"")</f>
        <v/>
      </c>
      <c r="K681" s="44" t="n"/>
    </row>
    <row r="682">
      <c r="F682" s="44" t="n"/>
      <c r="I682" s="88">
        <f>IFERROR(EDATE($F682,$H682),"")</f>
        <v/>
      </c>
      <c r="K682" s="44" t="n"/>
    </row>
    <row r="683">
      <c r="F683" s="44" t="n"/>
      <c r="I683" s="88">
        <f>IFERROR(EDATE($F683,$H683),"")</f>
        <v/>
      </c>
      <c r="K683" s="44" t="n"/>
    </row>
    <row r="684">
      <c r="F684" s="44" t="n"/>
      <c r="I684" s="88">
        <f>IFERROR(EDATE($F684,$H684),"")</f>
        <v/>
      </c>
      <c r="K684" s="44" t="n"/>
    </row>
    <row r="685">
      <c r="F685" s="44" t="n"/>
      <c r="I685" s="88">
        <f>IFERROR(EDATE($F685,$H685),"")</f>
        <v/>
      </c>
      <c r="K685" s="44" t="n"/>
    </row>
    <row r="686">
      <c r="F686" s="44" t="n"/>
      <c r="I686" s="88">
        <f>IFERROR(EDATE($F686,$H686),"")</f>
        <v/>
      </c>
      <c r="K686" s="44" t="n"/>
    </row>
    <row r="687">
      <c r="F687" s="44" t="n"/>
      <c r="I687" s="88">
        <f>IFERROR(EDATE($F687,$H687),"")</f>
        <v/>
      </c>
      <c r="K687" s="44" t="n"/>
    </row>
    <row r="688">
      <c r="F688" s="44" t="n"/>
      <c r="I688" s="88">
        <f>IFERROR(EDATE($F688,$H688),"")</f>
        <v/>
      </c>
      <c r="K688" s="44" t="n"/>
    </row>
    <row r="689">
      <c r="F689" s="44" t="n"/>
      <c r="I689" s="88">
        <f>IFERROR(EDATE($F689,$H689),"")</f>
        <v/>
      </c>
      <c r="K689" s="44" t="n"/>
    </row>
    <row r="690">
      <c r="F690" s="44" t="n"/>
      <c r="I690" s="88">
        <f>IFERROR(EDATE($F690,$H690),"")</f>
        <v/>
      </c>
      <c r="K690" s="44" t="n"/>
    </row>
    <row r="691">
      <c r="F691" s="44" t="n"/>
      <c r="I691" s="88">
        <f>IFERROR(EDATE($F691,$H691),"")</f>
        <v/>
      </c>
      <c r="K691" s="44" t="n"/>
    </row>
    <row r="692">
      <c r="F692" s="44" t="n"/>
      <c r="I692" s="88">
        <f>IFERROR(EDATE($F692,$H692),"")</f>
        <v/>
      </c>
      <c r="K692" s="44" t="n"/>
    </row>
    <row r="693">
      <c r="F693" s="44" t="n"/>
      <c r="I693" s="88">
        <f>IFERROR(EDATE($F693,$H693),"")</f>
        <v/>
      </c>
      <c r="K693" s="44" t="n"/>
    </row>
    <row r="694">
      <c r="F694" s="44" t="n"/>
      <c r="I694" s="88">
        <f>IFERROR(EDATE($F694,$H694),"")</f>
        <v/>
      </c>
      <c r="K694" s="44" t="n"/>
    </row>
    <row r="695">
      <c r="F695" s="44" t="n"/>
      <c r="I695" s="88">
        <f>IFERROR(EDATE($F695,$H695),"")</f>
        <v/>
      </c>
      <c r="K695" s="44" t="n"/>
    </row>
    <row r="696">
      <c r="F696" s="44" t="n"/>
      <c r="I696" s="88">
        <f>IFERROR(EDATE($F696,$H696),"")</f>
        <v/>
      </c>
      <c r="K696" s="44" t="n"/>
    </row>
    <row r="697">
      <c r="F697" s="44" t="n"/>
      <c r="I697" s="88">
        <f>IFERROR(EDATE($F697,$H697),"")</f>
        <v/>
      </c>
      <c r="K697" s="44" t="n"/>
    </row>
    <row r="698">
      <c r="F698" s="44" t="n"/>
      <c r="I698" s="88">
        <f>IFERROR(EDATE($F698,$H698),"")</f>
        <v/>
      </c>
      <c r="K698" s="44" t="n"/>
    </row>
    <row r="699">
      <c r="F699" s="44" t="n"/>
      <c r="I699" s="88">
        <f>IFERROR(EDATE($F699,$H699),"")</f>
        <v/>
      </c>
      <c r="K699" s="44" t="n"/>
    </row>
    <row r="700">
      <c r="F700" s="44" t="n"/>
      <c r="I700" s="88">
        <f>IFERROR(EDATE($F700,$H700),"")</f>
        <v/>
      </c>
      <c r="K700" s="44" t="n"/>
    </row>
    <row r="701">
      <c r="F701" s="44" t="n"/>
      <c r="I701" s="88">
        <f>IFERROR(EDATE($F701,$H701),"")</f>
        <v/>
      </c>
      <c r="K701" s="44" t="n"/>
    </row>
    <row r="702">
      <c r="F702" s="44" t="n"/>
      <c r="I702" s="88">
        <f>IFERROR(EDATE($F702,$H702),"")</f>
        <v/>
      </c>
      <c r="K702" s="44" t="n"/>
    </row>
    <row r="703">
      <c r="F703" s="44" t="n"/>
      <c r="I703" s="88">
        <f>IFERROR(EDATE($F703,$H703),"")</f>
        <v/>
      </c>
      <c r="K703" s="44" t="n"/>
    </row>
    <row r="704">
      <c r="F704" s="44" t="n"/>
      <c r="I704" s="88">
        <f>IFERROR(EDATE($F704,$H704),"")</f>
        <v/>
      </c>
      <c r="K704" s="44" t="n"/>
    </row>
    <row r="705">
      <c r="F705" s="44" t="n"/>
      <c r="I705" s="88">
        <f>IFERROR(EDATE($F705,$H705),"")</f>
        <v/>
      </c>
      <c r="K705" s="44" t="n"/>
    </row>
    <row r="706">
      <c r="F706" s="44" t="n"/>
      <c r="I706" s="88">
        <f>IFERROR(EDATE($F706,$H706),"")</f>
        <v/>
      </c>
      <c r="K706" s="44" t="n"/>
    </row>
    <row r="707">
      <c r="F707" s="44" t="n"/>
      <c r="I707" s="88">
        <f>IFERROR(EDATE($F707,$H707),"")</f>
        <v/>
      </c>
      <c r="K707" s="44" t="n"/>
    </row>
    <row r="708">
      <c r="F708" s="44" t="n"/>
      <c r="I708" s="88">
        <f>IFERROR(EDATE($F708,$H708),"")</f>
        <v/>
      </c>
      <c r="K708" s="44" t="n"/>
    </row>
    <row r="709">
      <c r="F709" s="44" t="n"/>
      <c r="I709" s="88">
        <f>IFERROR(EDATE($F709,$H709),"")</f>
        <v/>
      </c>
      <c r="K709" s="44" t="n"/>
    </row>
    <row r="710">
      <c r="F710" s="44" t="n"/>
      <c r="I710" s="88">
        <f>IFERROR(EDATE($F710,$H710),"")</f>
        <v/>
      </c>
      <c r="K710" s="44" t="n"/>
    </row>
    <row r="711">
      <c r="F711" s="44" t="n"/>
      <c r="I711" s="88">
        <f>IFERROR(EDATE($F711,$H711),"")</f>
        <v/>
      </c>
      <c r="K711" s="44" t="n"/>
    </row>
    <row r="712">
      <c r="F712" s="44" t="n"/>
      <c r="I712" s="88">
        <f>IFERROR(EDATE($F712,$H712),"")</f>
        <v/>
      </c>
      <c r="K712" s="44" t="n"/>
    </row>
    <row r="713">
      <c r="F713" s="44" t="n"/>
      <c r="I713" s="88">
        <f>IFERROR(EDATE($F713,$H713),"")</f>
        <v/>
      </c>
      <c r="K713" s="44" t="n"/>
    </row>
    <row r="714">
      <c r="F714" s="44" t="n"/>
      <c r="I714" s="88">
        <f>IFERROR(EDATE($F714,$H714),"")</f>
        <v/>
      </c>
      <c r="K714" s="44" t="n"/>
    </row>
    <row r="715">
      <c r="F715" s="44" t="n"/>
      <c r="I715" s="88">
        <f>IFERROR(EDATE($F715,$H715),"")</f>
        <v/>
      </c>
      <c r="K715" s="44" t="n"/>
    </row>
    <row r="716">
      <c r="F716" s="44" t="n"/>
      <c r="I716" s="88">
        <f>IFERROR(EDATE($F716,$H716),"")</f>
        <v/>
      </c>
      <c r="K716" s="44" t="n"/>
    </row>
    <row r="717">
      <c r="F717" s="44" t="n"/>
      <c r="I717" s="88">
        <f>IFERROR(EDATE($F717,$H717),"")</f>
        <v/>
      </c>
      <c r="K717" s="44" t="n"/>
    </row>
    <row r="718">
      <c r="F718" s="44" t="n"/>
      <c r="I718" s="88">
        <f>IFERROR(EDATE($F718,$H718),"")</f>
        <v/>
      </c>
      <c r="K718" s="44" t="n"/>
    </row>
    <row r="719">
      <c r="F719" s="44" t="n"/>
      <c r="I719" s="88">
        <f>IFERROR(EDATE($F719,$H719),"")</f>
        <v/>
      </c>
      <c r="K719" s="44" t="n"/>
    </row>
    <row r="720">
      <c r="F720" s="44" t="n"/>
      <c r="I720" s="88">
        <f>IFERROR(EDATE($F720,$H720),"")</f>
        <v/>
      </c>
      <c r="K720" s="44" t="n"/>
    </row>
    <row r="721">
      <c r="F721" s="44" t="n"/>
      <c r="I721" s="88">
        <f>IFERROR(EDATE($F721,$H721),"")</f>
        <v/>
      </c>
      <c r="K721" s="44" t="n"/>
    </row>
    <row r="722">
      <c r="F722" s="44" t="n"/>
      <c r="I722" s="88">
        <f>IFERROR(EDATE($F722,$H722),"")</f>
        <v/>
      </c>
      <c r="K722" s="44" t="n"/>
    </row>
    <row r="723">
      <c r="F723" s="44" t="n"/>
      <c r="I723" s="88">
        <f>IFERROR(EDATE($F723,$H723),"")</f>
        <v/>
      </c>
      <c r="K723" s="44" t="n"/>
    </row>
    <row r="724">
      <c r="F724" s="44" t="n"/>
      <c r="I724" s="88">
        <f>IFERROR(EDATE($F724,$H724),"")</f>
        <v/>
      </c>
      <c r="K724" s="44" t="n"/>
    </row>
    <row r="725">
      <c r="F725" s="44" t="n"/>
      <c r="I725" s="88">
        <f>IFERROR(EDATE($F725,$H725),"")</f>
        <v/>
      </c>
      <c r="K725" s="44" t="n"/>
    </row>
    <row r="726">
      <c r="F726" s="44" t="n"/>
      <c r="I726" s="88">
        <f>IFERROR(EDATE($F726,$H726),"")</f>
        <v/>
      </c>
      <c r="K726" s="44" t="n"/>
    </row>
    <row r="727">
      <c r="F727" s="44" t="n"/>
      <c r="I727" s="88">
        <f>IFERROR(EDATE($F727,$H727),"")</f>
        <v/>
      </c>
      <c r="K727" s="44" t="n"/>
    </row>
    <row r="728">
      <c r="F728" s="44" t="n"/>
      <c r="I728" s="88">
        <f>IFERROR(EDATE($F728,$H728),"")</f>
        <v/>
      </c>
      <c r="K728" s="44" t="n"/>
    </row>
    <row r="729">
      <c r="F729" s="44" t="n"/>
      <c r="I729" s="88">
        <f>IFERROR(EDATE($F729,$H729),"")</f>
        <v/>
      </c>
      <c r="K729" s="44" t="n"/>
    </row>
    <row r="730">
      <c r="F730" s="44" t="n"/>
      <c r="I730" s="88">
        <f>IFERROR(EDATE($F730,$H730),"")</f>
        <v/>
      </c>
      <c r="K730" s="44" t="n"/>
    </row>
    <row r="731">
      <c r="F731" s="44" t="n"/>
      <c r="I731" s="88">
        <f>IFERROR(EDATE($F731,$H731),"")</f>
        <v/>
      </c>
      <c r="K731" s="44" t="n"/>
    </row>
    <row r="732">
      <c r="F732" s="44" t="n"/>
      <c r="I732" s="88">
        <f>IFERROR(EDATE($F732,$H732),"")</f>
        <v/>
      </c>
      <c r="K732" s="44" t="n"/>
    </row>
    <row r="733">
      <c r="F733" s="44" t="n"/>
      <c r="I733" s="88">
        <f>IFERROR(EDATE($F733,$H733),"")</f>
        <v/>
      </c>
      <c r="K733" s="44" t="n"/>
    </row>
    <row r="734">
      <c r="F734" s="44" t="n"/>
      <c r="I734" s="88">
        <f>IFERROR(EDATE($F734,$H734),"")</f>
        <v/>
      </c>
      <c r="K734" s="44" t="n"/>
    </row>
    <row r="735">
      <c r="F735" s="44" t="n"/>
      <c r="I735" s="88">
        <f>IFERROR(EDATE($F735,$H735),"")</f>
        <v/>
      </c>
      <c r="K735" s="44" t="n"/>
    </row>
    <row r="736">
      <c r="F736" s="44" t="n"/>
      <c r="I736" s="88">
        <f>IFERROR(EDATE($F736,$H736),"")</f>
        <v/>
      </c>
      <c r="K736" s="44" t="n"/>
    </row>
    <row r="737">
      <c r="F737" s="44" t="n"/>
      <c r="I737" s="88">
        <f>IFERROR(EDATE($F737,$H737),"")</f>
        <v/>
      </c>
      <c r="K737" s="44" t="n"/>
    </row>
    <row r="738">
      <c r="F738" s="44" t="n"/>
      <c r="I738" s="88">
        <f>IFERROR(EDATE($F738,$H738),"")</f>
        <v/>
      </c>
      <c r="K738" s="44" t="n"/>
    </row>
    <row r="739">
      <c r="F739" s="44" t="n"/>
      <c r="I739" s="88">
        <f>IFERROR(EDATE($F739,$H739),"")</f>
        <v/>
      </c>
      <c r="K739" s="44" t="n"/>
    </row>
    <row r="740">
      <c r="F740" s="44" t="n"/>
      <c r="I740" s="88">
        <f>IFERROR(EDATE($F740,$H740),"")</f>
        <v/>
      </c>
      <c r="K740" s="44" t="n"/>
    </row>
    <row r="741">
      <c r="F741" s="44" t="n"/>
      <c r="I741" s="88">
        <f>IFERROR(EDATE($F741,$H741),"")</f>
        <v/>
      </c>
      <c r="K741" s="44" t="n"/>
    </row>
    <row r="742">
      <c r="F742" s="44" t="n"/>
      <c r="I742" s="88">
        <f>IFERROR(EDATE($F742,$H742),"")</f>
        <v/>
      </c>
      <c r="K742" s="44" t="n"/>
    </row>
    <row r="743">
      <c r="F743" s="44" t="n"/>
      <c r="I743" s="88">
        <f>IFERROR(EDATE($F743,$H743),"")</f>
        <v/>
      </c>
      <c r="K743" s="44" t="n"/>
    </row>
    <row r="744">
      <c r="F744" s="44" t="n"/>
      <c r="I744" s="88">
        <f>IFERROR(EDATE($F744,$H744),"")</f>
        <v/>
      </c>
      <c r="K744" s="44" t="n"/>
    </row>
    <row r="745">
      <c r="F745" s="44" t="n"/>
      <c r="I745" s="88">
        <f>IFERROR(EDATE($F745,$H745),"")</f>
        <v/>
      </c>
      <c r="K745" s="44" t="n"/>
    </row>
    <row r="746">
      <c r="F746" s="44" t="n"/>
      <c r="I746" s="88">
        <f>IFERROR(EDATE($F746,$H746),"")</f>
        <v/>
      </c>
      <c r="K746" s="44" t="n"/>
    </row>
    <row r="747">
      <c r="F747" s="44" t="n"/>
      <c r="I747" s="88">
        <f>IFERROR(EDATE($F747,$H747),"")</f>
        <v/>
      </c>
      <c r="K747" s="44" t="n"/>
    </row>
    <row r="748">
      <c r="F748" s="44" t="n"/>
      <c r="I748" s="88">
        <f>IFERROR(EDATE($F748,$H748),"")</f>
        <v/>
      </c>
      <c r="K748" s="44" t="n"/>
    </row>
    <row r="749">
      <c r="F749" s="44" t="n"/>
      <c r="I749" s="88">
        <f>IFERROR(EDATE($F749,$H749),"")</f>
        <v/>
      </c>
      <c r="K749" s="44" t="n"/>
    </row>
    <row r="750">
      <c r="F750" s="44" t="n"/>
      <c r="I750" s="88">
        <f>IFERROR(EDATE($F750,$H750),"")</f>
        <v/>
      </c>
      <c r="K750" s="44" t="n"/>
    </row>
    <row r="751">
      <c r="F751" s="44" t="n"/>
      <c r="I751" s="88">
        <f>IFERROR(EDATE($F751,$H751),"")</f>
        <v/>
      </c>
      <c r="K751" s="44" t="n"/>
    </row>
    <row r="752">
      <c r="F752" s="44" t="n"/>
      <c r="I752" s="88">
        <f>IFERROR(EDATE($F752,$H752),"")</f>
        <v/>
      </c>
      <c r="K752" s="44" t="n"/>
    </row>
    <row r="753">
      <c r="F753" s="44" t="n"/>
      <c r="I753" s="88">
        <f>IFERROR(EDATE($F753,$H753),"")</f>
        <v/>
      </c>
      <c r="K753" s="44" t="n"/>
    </row>
    <row r="754">
      <c r="F754" s="44" t="n"/>
      <c r="I754" s="88">
        <f>IFERROR(EDATE($F754,$H754),"")</f>
        <v/>
      </c>
      <c r="K754" s="44" t="n"/>
    </row>
    <row r="755">
      <c r="F755" s="44" t="n"/>
      <c r="I755" s="88">
        <f>IFERROR(EDATE($F755,$H755),"")</f>
        <v/>
      </c>
      <c r="K755" s="44" t="n"/>
    </row>
    <row r="756">
      <c r="F756" s="44" t="n"/>
      <c r="I756" s="88">
        <f>IFERROR(EDATE($F756,$H756),"")</f>
        <v/>
      </c>
      <c r="K756" s="44" t="n"/>
    </row>
    <row r="757">
      <c r="F757" s="44" t="n"/>
      <c r="I757" s="88">
        <f>IFERROR(EDATE($F757,$H757),"")</f>
        <v/>
      </c>
      <c r="K757" s="44" t="n"/>
    </row>
    <row r="758">
      <c r="F758" s="44" t="n"/>
      <c r="I758" s="88">
        <f>IFERROR(EDATE($F758,$H758),"")</f>
        <v/>
      </c>
      <c r="K758" s="44" t="n"/>
    </row>
    <row r="759">
      <c r="F759" s="44" t="n"/>
      <c r="I759" s="88">
        <f>IFERROR(EDATE($F759,$H759),"")</f>
        <v/>
      </c>
      <c r="K759" s="44" t="n"/>
    </row>
    <row r="760">
      <c r="F760" s="44" t="n"/>
      <c r="I760" s="88">
        <f>IFERROR(EDATE($F760,$H760),"")</f>
        <v/>
      </c>
      <c r="K760" s="44" t="n"/>
    </row>
    <row r="761">
      <c r="F761" s="44" t="n"/>
      <c r="I761" s="88">
        <f>IFERROR(EDATE($F761,$H761),"")</f>
        <v/>
      </c>
      <c r="K761" s="44" t="n"/>
    </row>
    <row r="762">
      <c r="F762" s="44" t="n"/>
      <c r="I762" s="88">
        <f>IFERROR(EDATE($F762,$H762),"")</f>
        <v/>
      </c>
      <c r="K762" s="44" t="n"/>
    </row>
    <row r="763">
      <c r="F763" s="44" t="n"/>
      <c r="I763" s="88">
        <f>IFERROR(EDATE($F763,$H763),"")</f>
        <v/>
      </c>
      <c r="K763" s="44" t="n"/>
    </row>
    <row r="764">
      <c r="F764" s="44" t="n"/>
      <c r="I764" s="88">
        <f>IFERROR(EDATE($F764,$H764),"")</f>
        <v/>
      </c>
      <c r="K764" s="44" t="n"/>
    </row>
    <row r="765">
      <c r="F765" s="44" t="n"/>
      <c r="I765" s="88">
        <f>IFERROR(EDATE($F765,$H765),"")</f>
        <v/>
      </c>
      <c r="K765" s="44" t="n"/>
    </row>
    <row r="766">
      <c r="F766" s="44" t="n"/>
      <c r="I766" s="88">
        <f>IFERROR(EDATE($F766,$H766),"")</f>
        <v/>
      </c>
      <c r="K766" s="44" t="n"/>
    </row>
    <row r="767">
      <c r="F767" s="44" t="n"/>
      <c r="I767" s="88">
        <f>IFERROR(EDATE($F767,$H767),"")</f>
        <v/>
      </c>
      <c r="K767" s="44" t="n"/>
    </row>
    <row r="768">
      <c r="F768" s="44" t="n"/>
      <c r="I768" s="88">
        <f>IFERROR(EDATE($F768,$H768),"")</f>
        <v/>
      </c>
      <c r="K768" s="44" t="n"/>
    </row>
    <row r="769">
      <c r="F769" s="44" t="n"/>
      <c r="I769" s="88">
        <f>IFERROR(EDATE($F769,$H769),"")</f>
        <v/>
      </c>
      <c r="K769" s="44" t="n"/>
    </row>
    <row r="770">
      <c r="F770" s="44" t="n"/>
      <c r="I770" s="88">
        <f>IFERROR(EDATE($F770,$H770),"")</f>
        <v/>
      </c>
      <c r="K770" s="44" t="n"/>
    </row>
    <row r="771">
      <c r="F771" s="44" t="n"/>
      <c r="I771" s="88">
        <f>IFERROR(EDATE($F771,$H771),"")</f>
        <v/>
      </c>
      <c r="K771" s="44" t="n"/>
    </row>
    <row r="772">
      <c r="F772" s="44" t="n"/>
      <c r="I772" s="88">
        <f>IFERROR(EDATE($F772,$H772),"")</f>
        <v/>
      </c>
      <c r="K772" s="44" t="n"/>
    </row>
    <row r="773">
      <c r="F773" s="44" t="n"/>
      <c r="I773" s="88">
        <f>IFERROR(EDATE($F773,$H773),"")</f>
        <v/>
      </c>
      <c r="K773" s="44" t="n"/>
    </row>
    <row r="774">
      <c r="F774" s="44" t="n"/>
      <c r="I774" s="88">
        <f>IFERROR(EDATE($F774,$H774),"")</f>
        <v/>
      </c>
      <c r="K774" s="44" t="n"/>
    </row>
    <row r="775">
      <c r="F775" s="44" t="n"/>
      <c r="I775" s="88">
        <f>IFERROR(EDATE($F775,$H775),"")</f>
        <v/>
      </c>
      <c r="K775" s="44" t="n"/>
    </row>
    <row r="776">
      <c r="F776" s="44" t="n"/>
      <c r="I776" s="88">
        <f>IFERROR(EDATE($F776,$H776),"")</f>
        <v/>
      </c>
      <c r="K776" s="44" t="n"/>
    </row>
    <row r="777">
      <c r="F777" s="44" t="n"/>
      <c r="I777" s="88">
        <f>IFERROR(EDATE($F777,$H777),"")</f>
        <v/>
      </c>
      <c r="K777" s="44" t="n"/>
    </row>
    <row r="778">
      <c r="F778" s="44" t="n"/>
      <c r="I778" s="88">
        <f>IFERROR(EDATE($F778,$H778),"")</f>
        <v/>
      </c>
      <c r="K778" s="44" t="n"/>
    </row>
    <row r="779">
      <c r="F779" s="44" t="n"/>
      <c r="I779" s="88">
        <f>IFERROR(EDATE($F779,$H779),"")</f>
        <v/>
      </c>
      <c r="K779" s="44" t="n"/>
    </row>
    <row r="780">
      <c r="F780" s="44" t="n"/>
      <c r="I780" s="88">
        <f>IFERROR(EDATE($F780,$H780),"")</f>
        <v/>
      </c>
      <c r="K780" s="44" t="n"/>
    </row>
    <row r="781">
      <c r="F781" s="44" t="n"/>
      <c r="I781" s="88">
        <f>IFERROR(EDATE($F781,$H781),"")</f>
        <v/>
      </c>
      <c r="K781" s="44" t="n"/>
    </row>
    <row r="782">
      <c r="F782" s="44" t="n"/>
      <c r="I782" s="88">
        <f>IFERROR(EDATE($F782,$H782),"")</f>
        <v/>
      </c>
      <c r="K782" s="44" t="n"/>
    </row>
    <row r="783">
      <c r="F783" s="44" t="n"/>
      <c r="I783" s="88">
        <f>IFERROR(EDATE($F783,$H783),"")</f>
        <v/>
      </c>
      <c r="K783" s="44" t="n"/>
    </row>
    <row r="784">
      <c r="F784" s="44" t="n"/>
      <c r="I784" s="88">
        <f>IFERROR(EDATE($F784,$H784),"")</f>
        <v/>
      </c>
      <c r="K784" s="44" t="n"/>
    </row>
    <row r="785">
      <c r="F785" s="44" t="n"/>
      <c r="I785" s="88">
        <f>IFERROR(EDATE($F785,$H785),"")</f>
        <v/>
      </c>
      <c r="K785" s="44" t="n"/>
    </row>
    <row r="786">
      <c r="F786" s="44" t="n"/>
      <c r="I786" s="88">
        <f>IFERROR(EDATE($F786,$H786),"")</f>
        <v/>
      </c>
      <c r="K786" s="44" t="n"/>
    </row>
    <row r="787">
      <c r="F787" s="44" t="n"/>
      <c r="I787" s="88">
        <f>IFERROR(EDATE($F787,$H787),"")</f>
        <v/>
      </c>
      <c r="K787" s="44" t="n"/>
    </row>
    <row r="788">
      <c r="F788" s="44" t="n"/>
      <c r="I788" s="88">
        <f>IFERROR(EDATE($F788,$H788),"")</f>
        <v/>
      </c>
      <c r="K788" s="44" t="n"/>
    </row>
    <row r="789">
      <c r="F789" s="44" t="n"/>
      <c r="I789" s="88">
        <f>IFERROR(EDATE($F789,$H789),"")</f>
        <v/>
      </c>
      <c r="K789" s="44" t="n"/>
    </row>
    <row r="790">
      <c r="F790" s="44" t="n"/>
      <c r="I790" s="88">
        <f>IFERROR(EDATE($F790,$H790),"")</f>
        <v/>
      </c>
      <c r="K790" s="44" t="n"/>
    </row>
    <row r="791">
      <c r="F791" s="44" t="n"/>
      <c r="I791" s="88">
        <f>IFERROR(EDATE($F791,$H791),"")</f>
        <v/>
      </c>
      <c r="K791" s="44" t="n"/>
    </row>
    <row r="792">
      <c r="F792" s="44" t="n"/>
      <c r="I792" s="88">
        <f>IFERROR(EDATE($F792,$H792),"")</f>
        <v/>
      </c>
      <c r="K792" s="44" t="n"/>
    </row>
    <row r="793">
      <c r="F793" s="44" t="n"/>
      <c r="I793" s="88">
        <f>IFERROR(EDATE($F793,$H793),"")</f>
        <v/>
      </c>
      <c r="K793" s="44" t="n"/>
    </row>
    <row r="794">
      <c r="F794" s="44" t="n"/>
      <c r="I794" s="88">
        <f>IFERROR(EDATE($F794,$H794),"")</f>
        <v/>
      </c>
      <c r="K794" s="44" t="n"/>
    </row>
    <row r="795">
      <c r="F795" s="44" t="n"/>
      <c r="I795" s="88">
        <f>IFERROR(EDATE($F795,$H795),"")</f>
        <v/>
      </c>
      <c r="K795" s="44" t="n"/>
    </row>
    <row r="796">
      <c r="F796" s="44" t="n"/>
      <c r="I796" s="88">
        <f>IFERROR(EDATE($F796,$H796),"")</f>
        <v/>
      </c>
      <c r="K796" s="44" t="n"/>
    </row>
    <row r="797">
      <c r="F797" s="44" t="n"/>
      <c r="I797" s="88">
        <f>IFERROR(EDATE($F797,$H797),"")</f>
        <v/>
      </c>
      <c r="K797" s="44" t="n"/>
    </row>
    <row r="798">
      <c r="F798" s="44" t="n"/>
      <c r="I798" s="88">
        <f>IFERROR(EDATE($F798,$H798),"")</f>
        <v/>
      </c>
      <c r="K798" s="44" t="n"/>
    </row>
    <row r="799">
      <c r="F799" s="44" t="n"/>
      <c r="I799" s="88">
        <f>IFERROR(EDATE($F799,$H799),"")</f>
        <v/>
      </c>
      <c r="K799" s="44" t="n"/>
    </row>
    <row r="800">
      <c r="F800" s="44" t="n"/>
      <c r="I800" s="88">
        <f>IFERROR(EDATE($F800,$H800),"")</f>
        <v/>
      </c>
      <c r="K800" s="44" t="n"/>
    </row>
    <row r="801">
      <c r="F801" s="44" t="n"/>
      <c r="I801" s="88">
        <f>IFERROR(EDATE($F801,$H801),"")</f>
        <v/>
      </c>
      <c r="K801" s="44" t="n"/>
    </row>
    <row r="802">
      <c r="F802" s="44" t="n"/>
      <c r="I802" s="88">
        <f>IFERROR(EDATE($F802,$H802),"")</f>
        <v/>
      </c>
      <c r="K802" s="44" t="n"/>
    </row>
    <row r="803">
      <c r="F803" s="44" t="n"/>
      <c r="I803" s="88">
        <f>IFERROR(EDATE($F803,$H803),"")</f>
        <v/>
      </c>
      <c r="K803" s="44" t="n"/>
    </row>
    <row r="804">
      <c r="F804" s="44" t="n"/>
      <c r="I804" s="88">
        <f>IFERROR(EDATE($F804,$H804),"")</f>
        <v/>
      </c>
      <c r="K804" s="44" t="n"/>
    </row>
    <row r="805">
      <c r="F805" s="44" t="n"/>
      <c r="I805" s="88">
        <f>IFERROR(EDATE($F805,$H805),"")</f>
        <v/>
      </c>
      <c r="K805" s="44" t="n"/>
    </row>
    <row r="806">
      <c r="F806" s="44" t="n"/>
      <c r="I806" s="88">
        <f>IFERROR(EDATE($F806,$H806),"")</f>
        <v/>
      </c>
      <c r="K806" s="44" t="n"/>
    </row>
    <row r="807">
      <c r="F807" s="44" t="n"/>
      <c r="I807" s="88">
        <f>IFERROR(EDATE($F807,$H807),"")</f>
        <v/>
      </c>
      <c r="K807" s="44" t="n"/>
    </row>
    <row r="808">
      <c r="F808" s="44" t="n"/>
      <c r="I808" s="88">
        <f>IFERROR(EDATE($F808,$H808),"")</f>
        <v/>
      </c>
      <c r="K808" s="44" t="n"/>
    </row>
    <row r="809">
      <c r="F809" s="44" t="n"/>
      <c r="I809" s="88">
        <f>IFERROR(EDATE($F809,$H809),"")</f>
        <v/>
      </c>
      <c r="K809" s="44" t="n"/>
    </row>
    <row r="810">
      <c r="F810" s="44" t="n"/>
      <c r="I810" s="88">
        <f>IFERROR(EDATE($F810,$H810),"")</f>
        <v/>
      </c>
      <c r="K810" s="44" t="n"/>
    </row>
    <row r="811">
      <c r="F811" s="44" t="n"/>
      <c r="I811" s="88">
        <f>IFERROR(EDATE($F811,$H811),"")</f>
        <v/>
      </c>
      <c r="K811" s="44" t="n"/>
    </row>
    <row r="812">
      <c r="F812" s="44" t="n"/>
      <c r="I812" s="88">
        <f>IFERROR(EDATE($F812,$H812),"")</f>
        <v/>
      </c>
      <c r="K812" s="44" t="n"/>
    </row>
    <row r="813">
      <c r="F813" s="44" t="n"/>
      <c r="I813" s="88">
        <f>IFERROR(EDATE($F813,$H813),"")</f>
        <v/>
      </c>
      <c r="K813" s="44" t="n"/>
    </row>
    <row r="814">
      <c r="F814" s="44" t="n"/>
      <c r="I814" s="88">
        <f>IFERROR(EDATE($F814,$H814),"")</f>
        <v/>
      </c>
      <c r="K814" s="44" t="n"/>
    </row>
    <row r="815">
      <c r="F815" s="44" t="n"/>
      <c r="I815" s="88">
        <f>IFERROR(EDATE($F815,$H815),"")</f>
        <v/>
      </c>
      <c r="K815" s="44" t="n"/>
    </row>
    <row r="816">
      <c r="F816" s="44" t="n"/>
      <c r="I816" s="88">
        <f>IFERROR(EDATE($F816,$H816),"")</f>
        <v/>
      </c>
      <c r="K816" s="44" t="n"/>
    </row>
    <row r="817">
      <c r="F817" s="44" t="n"/>
      <c r="I817" s="88">
        <f>IFERROR(EDATE($F817,$H817),"")</f>
        <v/>
      </c>
      <c r="K817" s="44" t="n"/>
    </row>
    <row r="818">
      <c r="F818" s="44" t="n"/>
      <c r="I818" s="88">
        <f>IFERROR(EDATE($F818,$H818),"")</f>
        <v/>
      </c>
      <c r="K818" s="44" t="n"/>
    </row>
    <row r="819">
      <c r="F819" s="44" t="n"/>
      <c r="I819" s="88">
        <f>IFERROR(EDATE($F819,$H819),"")</f>
        <v/>
      </c>
      <c r="K819" s="44" t="n"/>
    </row>
    <row r="820">
      <c r="F820" s="44" t="n"/>
      <c r="I820" s="88">
        <f>IFERROR(EDATE($F820,$H820),"")</f>
        <v/>
      </c>
      <c r="K820" s="44" t="n"/>
    </row>
    <row r="821">
      <c r="F821" s="44" t="n"/>
      <c r="I821" s="88">
        <f>IFERROR(EDATE($F821,$H821),"")</f>
        <v/>
      </c>
      <c r="K821" s="44" t="n"/>
    </row>
    <row r="822">
      <c r="F822" s="44" t="n"/>
      <c r="I822" s="88">
        <f>IFERROR(EDATE($F822,$H822),"")</f>
        <v/>
      </c>
      <c r="K822" s="44" t="n"/>
    </row>
    <row r="823">
      <c r="F823" s="44" t="n"/>
      <c r="I823" s="88">
        <f>IFERROR(EDATE($F823,$H823),"")</f>
        <v/>
      </c>
      <c r="K823" s="44" t="n"/>
    </row>
    <row r="824">
      <c r="F824" s="44" t="n"/>
      <c r="I824" s="88">
        <f>IFERROR(EDATE($F824,$H824),"")</f>
        <v/>
      </c>
      <c r="K824" s="44" t="n"/>
    </row>
    <row r="825">
      <c r="F825" s="44" t="n"/>
      <c r="I825" s="88">
        <f>IFERROR(EDATE($F825,$H825),"")</f>
        <v/>
      </c>
      <c r="K825" s="44" t="n"/>
    </row>
    <row r="826">
      <c r="F826" s="44" t="n"/>
      <c r="I826" s="88">
        <f>IFERROR(EDATE($F826,$H826),"")</f>
        <v/>
      </c>
      <c r="K826" s="44" t="n"/>
    </row>
    <row r="827">
      <c r="F827" s="44" t="n"/>
      <c r="I827" s="88">
        <f>IFERROR(EDATE($F827,$H827),"")</f>
        <v/>
      </c>
      <c r="K827" s="44" t="n"/>
    </row>
    <row r="828">
      <c r="F828" s="44" t="n"/>
      <c r="I828" s="88">
        <f>IFERROR(EDATE($F828,$H828),"")</f>
        <v/>
      </c>
      <c r="K828" s="44" t="n"/>
    </row>
    <row r="829">
      <c r="F829" s="44" t="n"/>
      <c r="I829" s="88">
        <f>IFERROR(EDATE($F829,$H829),"")</f>
        <v/>
      </c>
      <c r="K829" s="44" t="n"/>
    </row>
    <row r="830">
      <c r="F830" s="44" t="n"/>
      <c r="I830" s="88">
        <f>IFERROR(EDATE($F830,$H830),"")</f>
        <v/>
      </c>
      <c r="K830" s="44" t="n"/>
    </row>
    <row r="831">
      <c r="F831" s="44" t="n"/>
      <c r="I831" s="88">
        <f>IFERROR(EDATE($F831,$H831),"")</f>
        <v/>
      </c>
      <c r="K831" s="44" t="n"/>
    </row>
    <row r="832">
      <c r="F832" s="44" t="n"/>
      <c r="I832" s="88">
        <f>IFERROR(EDATE($F832,$H832),"")</f>
        <v/>
      </c>
      <c r="K832" s="44" t="n"/>
    </row>
    <row r="833">
      <c r="F833" s="44" t="n"/>
      <c r="I833" s="88">
        <f>IFERROR(EDATE($F833,$H833),"")</f>
        <v/>
      </c>
      <c r="K833" s="44" t="n"/>
    </row>
    <row r="834">
      <c r="F834" s="44" t="n"/>
      <c r="I834" s="88">
        <f>IFERROR(EDATE($F834,$H834),"")</f>
        <v/>
      </c>
      <c r="K834" s="44" t="n"/>
    </row>
    <row r="835">
      <c r="F835" s="44" t="n"/>
      <c r="I835" s="88">
        <f>IFERROR(EDATE($F835,$H835),"")</f>
        <v/>
      </c>
      <c r="K835" s="44" t="n"/>
    </row>
    <row r="836">
      <c r="F836" s="44" t="n"/>
      <c r="I836" s="88">
        <f>IFERROR(EDATE($F836,$H836),"")</f>
        <v/>
      </c>
      <c r="K836" s="44" t="n"/>
    </row>
    <row r="837">
      <c r="F837" s="44" t="n"/>
      <c r="I837" s="88">
        <f>IFERROR(EDATE($F837,$H837),"")</f>
        <v/>
      </c>
      <c r="K837" s="44" t="n"/>
    </row>
    <row r="838">
      <c r="F838" s="44" t="n"/>
      <c r="I838" s="88">
        <f>IFERROR(EDATE($F838,$H838),"")</f>
        <v/>
      </c>
      <c r="K838" s="44" t="n"/>
    </row>
    <row r="839">
      <c r="F839" s="44" t="n"/>
      <c r="I839" s="88">
        <f>IFERROR(EDATE($F839,$H839),"")</f>
        <v/>
      </c>
      <c r="K839" s="44" t="n"/>
    </row>
    <row r="840">
      <c r="F840" s="44" t="n"/>
      <c r="I840" s="88">
        <f>IFERROR(EDATE($F840,$H840),"")</f>
        <v/>
      </c>
      <c r="K840" s="44" t="n"/>
    </row>
    <row r="841">
      <c r="F841" s="44" t="n"/>
      <c r="I841" s="88">
        <f>IFERROR(EDATE($F841,$H841),"")</f>
        <v/>
      </c>
      <c r="K841" s="44" t="n"/>
    </row>
    <row r="842">
      <c r="F842" s="44" t="n"/>
      <c r="I842" s="88">
        <f>IFERROR(EDATE($F842,$H842),"")</f>
        <v/>
      </c>
      <c r="K842" s="44" t="n"/>
    </row>
    <row r="843">
      <c r="F843" s="44" t="n"/>
      <c r="I843" s="88">
        <f>IFERROR(EDATE($F843,$H843),"")</f>
        <v/>
      </c>
      <c r="K843" s="44" t="n"/>
    </row>
    <row r="844">
      <c r="F844" s="44" t="n"/>
      <c r="I844" s="88">
        <f>IFERROR(EDATE($F844,$H844),"")</f>
        <v/>
      </c>
      <c r="K844" s="44" t="n"/>
    </row>
    <row r="845">
      <c r="F845" s="44" t="n"/>
      <c r="I845" s="88">
        <f>IFERROR(EDATE($F845,$H845),"")</f>
        <v/>
      </c>
      <c r="K845" s="44" t="n"/>
    </row>
    <row r="846">
      <c r="F846" s="44" t="n"/>
      <c r="I846" s="88">
        <f>IFERROR(EDATE($F846,$H846),"")</f>
        <v/>
      </c>
      <c r="K846" s="44" t="n"/>
    </row>
    <row r="847">
      <c r="F847" s="44" t="n"/>
      <c r="I847" s="88">
        <f>IFERROR(EDATE($F847,$H847),"")</f>
        <v/>
      </c>
      <c r="K847" s="44" t="n"/>
    </row>
    <row r="848">
      <c r="F848" s="44" t="n"/>
      <c r="I848" s="88">
        <f>IFERROR(EDATE($F848,$H848),"")</f>
        <v/>
      </c>
      <c r="K848" s="44" t="n"/>
    </row>
    <row r="849">
      <c r="F849" s="44" t="n"/>
      <c r="I849" s="88">
        <f>IFERROR(EDATE($F849,$H849),"")</f>
        <v/>
      </c>
      <c r="K849" s="44" t="n"/>
    </row>
    <row r="850">
      <c r="F850" s="44" t="n"/>
      <c r="I850" s="88">
        <f>IFERROR(EDATE($F850,$H850),"")</f>
        <v/>
      </c>
      <c r="K850" s="44" t="n"/>
    </row>
    <row r="851">
      <c r="F851" s="44" t="n"/>
      <c r="I851" s="88">
        <f>IFERROR(EDATE($F851,$H851),"")</f>
        <v/>
      </c>
      <c r="K851" s="44" t="n"/>
    </row>
    <row r="852">
      <c r="F852" s="44" t="n"/>
      <c r="I852" s="88">
        <f>IFERROR(EDATE($F852,$H852),"")</f>
        <v/>
      </c>
      <c r="K852" s="44" t="n"/>
    </row>
    <row r="853">
      <c r="F853" s="44" t="n"/>
      <c r="I853" s="88">
        <f>IFERROR(EDATE($F853,$H853),"")</f>
        <v/>
      </c>
      <c r="K853" s="44" t="n"/>
    </row>
    <row r="854">
      <c r="F854" s="44" t="n"/>
      <c r="I854" s="88">
        <f>IFERROR(EDATE($F854,$H854),"")</f>
        <v/>
      </c>
      <c r="K854" s="44" t="n"/>
    </row>
    <row r="855">
      <c r="F855" s="44" t="n"/>
      <c r="I855" s="88">
        <f>IFERROR(EDATE($F855,$H855),"")</f>
        <v/>
      </c>
      <c r="K855" s="44" t="n"/>
    </row>
    <row r="856">
      <c r="F856" s="44" t="n"/>
      <c r="I856" s="88">
        <f>IFERROR(EDATE($F856,$H856),"")</f>
        <v/>
      </c>
      <c r="K856" s="44" t="n"/>
    </row>
    <row r="857">
      <c r="F857" s="44" t="n"/>
      <c r="I857" s="88">
        <f>IFERROR(EDATE($F857,$H857),"")</f>
        <v/>
      </c>
      <c r="K857" s="44" t="n"/>
    </row>
    <row r="858">
      <c r="F858" s="44" t="n"/>
      <c r="I858" s="88">
        <f>IFERROR(EDATE($F858,$H858),"")</f>
        <v/>
      </c>
      <c r="K858" s="44" t="n"/>
    </row>
    <row r="859">
      <c r="F859" s="44" t="n"/>
      <c r="I859" s="88">
        <f>IFERROR(EDATE($F859,$H859),"")</f>
        <v/>
      </c>
      <c r="K859" s="44" t="n"/>
    </row>
    <row r="860">
      <c r="F860" s="44" t="n"/>
      <c r="I860" s="88">
        <f>IFERROR(EDATE($F860,$H860),"")</f>
        <v/>
      </c>
      <c r="K860" s="44" t="n"/>
    </row>
    <row r="861">
      <c r="F861" s="44" t="n"/>
      <c r="I861" s="88">
        <f>IFERROR(EDATE($F861,$H861),"")</f>
        <v/>
      </c>
      <c r="K861" s="44" t="n"/>
    </row>
    <row r="862">
      <c r="F862" s="44" t="n"/>
      <c r="I862" s="88">
        <f>IFERROR(EDATE($F862,$H862),"")</f>
        <v/>
      </c>
      <c r="K862" s="44" t="n"/>
    </row>
    <row r="863">
      <c r="F863" s="44" t="n"/>
      <c r="I863" s="88">
        <f>IFERROR(EDATE($F863,$H863),"")</f>
        <v/>
      </c>
      <c r="K863" s="44" t="n"/>
    </row>
    <row r="864">
      <c r="F864" s="44" t="n"/>
      <c r="I864" s="88">
        <f>IFERROR(EDATE($F864,$H864),"")</f>
        <v/>
      </c>
      <c r="K864" s="44" t="n"/>
    </row>
    <row r="865">
      <c r="F865" s="44" t="n"/>
      <c r="I865" s="88">
        <f>IFERROR(EDATE($F865,$H865),"")</f>
        <v/>
      </c>
      <c r="K865" s="44" t="n"/>
    </row>
    <row r="866">
      <c r="F866" s="44" t="n"/>
      <c r="I866" s="88">
        <f>IFERROR(EDATE($F866,$H866),"")</f>
        <v/>
      </c>
      <c r="K866" s="44" t="n"/>
    </row>
    <row r="867">
      <c r="F867" s="44" t="n"/>
      <c r="I867" s="88">
        <f>IFERROR(EDATE($F867,$H867),"")</f>
        <v/>
      </c>
      <c r="K867" s="44" t="n"/>
    </row>
    <row r="868">
      <c r="F868" s="44" t="n"/>
      <c r="I868" s="88">
        <f>IFERROR(EDATE($F868,$H868),"")</f>
        <v/>
      </c>
      <c r="K868" s="44" t="n"/>
    </row>
    <row r="869">
      <c r="F869" s="44" t="n"/>
      <c r="I869" s="88">
        <f>IFERROR(EDATE($F869,$H869),"")</f>
        <v/>
      </c>
      <c r="K869" s="44" t="n"/>
    </row>
    <row r="870">
      <c r="F870" s="44" t="n"/>
      <c r="I870" s="88">
        <f>IFERROR(EDATE($F870,$H870),"")</f>
        <v/>
      </c>
      <c r="K870" s="44" t="n"/>
    </row>
    <row r="871">
      <c r="F871" s="44" t="n"/>
      <c r="I871" s="88">
        <f>IFERROR(EDATE($F871,$H871),"")</f>
        <v/>
      </c>
      <c r="K871" s="44" t="n"/>
    </row>
    <row r="872">
      <c r="F872" s="44" t="n"/>
      <c r="I872" s="88">
        <f>IFERROR(EDATE($F872,$H872),"")</f>
        <v/>
      </c>
      <c r="K872" s="44" t="n"/>
    </row>
    <row r="873">
      <c r="F873" s="44" t="n"/>
      <c r="I873" s="88">
        <f>IFERROR(EDATE($F873,$H873),"")</f>
        <v/>
      </c>
      <c r="K873" s="44" t="n"/>
    </row>
    <row r="874">
      <c r="F874" s="44" t="n"/>
      <c r="I874" s="88">
        <f>IFERROR(EDATE($F874,$H874),"")</f>
        <v/>
      </c>
      <c r="K874" s="44" t="n"/>
    </row>
    <row r="875">
      <c r="F875" s="44" t="n"/>
      <c r="I875" s="88">
        <f>IFERROR(EDATE($F875,$H875),"")</f>
        <v/>
      </c>
      <c r="K875" s="44" t="n"/>
    </row>
    <row r="876">
      <c r="F876" s="44" t="n"/>
      <c r="I876" s="88">
        <f>IFERROR(EDATE($F876,$H876),"")</f>
        <v/>
      </c>
      <c r="K876" s="44" t="n"/>
    </row>
    <row r="877">
      <c r="F877" s="44" t="n"/>
      <c r="I877" s="88">
        <f>IFERROR(EDATE($F877,$H877),"")</f>
        <v/>
      </c>
      <c r="K877" s="44" t="n"/>
    </row>
    <row r="878">
      <c r="F878" s="44" t="n"/>
      <c r="I878" s="88">
        <f>IFERROR(EDATE($F878,$H878),"")</f>
        <v/>
      </c>
      <c r="K878" s="44" t="n"/>
    </row>
    <row r="879">
      <c r="F879" s="44" t="n"/>
      <c r="I879" s="88">
        <f>IFERROR(EDATE($F879,$H879),"")</f>
        <v/>
      </c>
      <c r="K879" s="44" t="n"/>
    </row>
    <row r="880">
      <c r="F880" s="44" t="n"/>
      <c r="I880" s="88">
        <f>IFERROR(EDATE($F880,$H880),"")</f>
        <v/>
      </c>
      <c r="K880" s="44" t="n"/>
    </row>
    <row r="881">
      <c r="F881" s="44" t="n"/>
      <c r="I881" s="88">
        <f>IFERROR(EDATE($F881,$H881),"")</f>
        <v/>
      </c>
      <c r="K881" s="44" t="n"/>
    </row>
    <row r="882">
      <c r="F882" s="44" t="n"/>
      <c r="I882" s="88">
        <f>IFERROR(EDATE($F882,$H882),"")</f>
        <v/>
      </c>
      <c r="K882" s="44" t="n"/>
    </row>
    <row r="883">
      <c r="F883" s="44" t="n"/>
      <c r="I883" s="88">
        <f>IFERROR(EDATE($F883,$H883),"")</f>
        <v/>
      </c>
      <c r="K883" s="44" t="n"/>
    </row>
    <row r="884">
      <c r="F884" s="44" t="n"/>
      <c r="I884" s="88">
        <f>IFERROR(EDATE($F884,$H884),"")</f>
        <v/>
      </c>
      <c r="K884" s="44" t="n"/>
    </row>
    <row r="885">
      <c r="F885" s="44" t="n"/>
      <c r="I885" s="88">
        <f>IFERROR(EDATE($F885,$H885),"")</f>
        <v/>
      </c>
      <c r="K885" s="44" t="n"/>
    </row>
    <row r="886">
      <c r="F886" s="44" t="n"/>
      <c r="I886" s="88">
        <f>IFERROR(EDATE($F886,$H886),"")</f>
        <v/>
      </c>
      <c r="K886" s="44" t="n"/>
    </row>
    <row r="887">
      <c r="F887" s="44" t="n"/>
      <c r="I887" s="88">
        <f>IFERROR(EDATE($F887,$H887),"")</f>
        <v/>
      </c>
      <c r="K887" s="44" t="n"/>
    </row>
    <row r="888">
      <c r="F888" s="44" t="n"/>
      <c r="I888" s="88">
        <f>IFERROR(EDATE($F888,$H888),"")</f>
        <v/>
      </c>
      <c r="K888" s="44" t="n"/>
    </row>
    <row r="889">
      <c r="F889" s="44" t="n"/>
      <c r="I889" s="88">
        <f>IFERROR(EDATE($F889,$H889),"")</f>
        <v/>
      </c>
      <c r="K889" s="44" t="n"/>
    </row>
    <row r="890">
      <c r="F890" s="44" t="n"/>
      <c r="I890" s="88">
        <f>IFERROR(EDATE($F890,$H890),"")</f>
        <v/>
      </c>
      <c r="K890" s="44" t="n"/>
    </row>
    <row r="891">
      <c r="F891" s="44" t="n"/>
      <c r="I891" s="88">
        <f>IFERROR(EDATE($F891,$H891),"")</f>
        <v/>
      </c>
      <c r="K891" s="44" t="n"/>
    </row>
    <row r="892">
      <c r="F892" s="44" t="n"/>
      <c r="I892" s="88">
        <f>IFERROR(EDATE($F892,$H892),"")</f>
        <v/>
      </c>
      <c r="K892" s="44" t="n"/>
    </row>
    <row r="893">
      <c r="F893" s="44" t="n"/>
      <c r="I893" s="88">
        <f>IFERROR(EDATE($F893,$H893),"")</f>
        <v/>
      </c>
      <c r="K893" s="44" t="n"/>
    </row>
    <row r="894">
      <c r="F894" s="44" t="n"/>
      <c r="I894" s="88">
        <f>IFERROR(EDATE($F894,$H894),"")</f>
        <v/>
      </c>
      <c r="K894" s="44" t="n"/>
    </row>
    <row r="895">
      <c r="F895" s="44" t="n"/>
      <c r="I895" s="88">
        <f>IFERROR(EDATE($F895,$H895),"")</f>
        <v/>
      </c>
      <c r="K895" s="44" t="n"/>
    </row>
    <row r="896">
      <c r="F896" s="44" t="n"/>
      <c r="I896" s="88">
        <f>IFERROR(EDATE($F896,$H896),"")</f>
        <v/>
      </c>
      <c r="K896" s="44" t="n"/>
    </row>
    <row r="897">
      <c r="F897" s="44" t="n"/>
      <c r="I897" s="88">
        <f>IFERROR(EDATE($F897,$H897),"")</f>
        <v/>
      </c>
      <c r="K897" s="44" t="n"/>
    </row>
    <row r="898">
      <c r="F898" s="44" t="n"/>
      <c r="I898" s="88">
        <f>IFERROR(EDATE($F898,$H898),"")</f>
        <v/>
      </c>
      <c r="K898" s="44" t="n"/>
    </row>
    <row r="899">
      <c r="F899" s="44" t="n"/>
      <c r="I899" s="88">
        <f>IFERROR(EDATE($F899,$H899),"")</f>
        <v/>
      </c>
      <c r="K899" s="44" t="n"/>
    </row>
    <row r="900">
      <c r="F900" s="44" t="n"/>
      <c r="I900" s="88">
        <f>IFERROR(EDATE($F900,$H900),"")</f>
        <v/>
      </c>
      <c r="K900" s="44" t="n"/>
    </row>
    <row r="901">
      <c r="F901" s="44" t="n"/>
      <c r="I901" s="88">
        <f>IFERROR(EDATE($F901,$H901),"")</f>
        <v/>
      </c>
      <c r="K901" s="44" t="n"/>
    </row>
    <row r="902">
      <c r="F902" s="44" t="n"/>
      <c r="I902" s="88">
        <f>IFERROR(EDATE($F902,$H902),"")</f>
        <v/>
      </c>
      <c r="K902" s="44" t="n"/>
    </row>
    <row r="903">
      <c r="F903" s="44" t="n"/>
      <c r="I903" s="88">
        <f>IFERROR(EDATE($F903,$H903),"")</f>
        <v/>
      </c>
      <c r="K903" s="44" t="n"/>
    </row>
    <row r="904">
      <c r="F904" s="44" t="n"/>
      <c r="I904" s="88">
        <f>IFERROR(EDATE($F904,$H904),"")</f>
        <v/>
      </c>
      <c r="K904" s="44" t="n"/>
    </row>
    <row r="905">
      <c r="F905" s="44" t="n"/>
      <c r="I905" s="88">
        <f>IFERROR(EDATE($F905,$H905),"")</f>
        <v/>
      </c>
      <c r="K905" s="44" t="n"/>
    </row>
    <row r="906">
      <c r="F906" s="44" t="n"/>
      <c r="I906" s="88">
        <f>IFERROR(EDATE($F906,$H906),"")</f>
        <v/>
      </c>
      <c r="K906" s="44" t="n"/>
    </row>
    <row r="907">
      <c r="F907" s="44" t="n"/>
      <c r="I907" s="88">
        <f>IFERROR(EDATE($F907,$H907),"")</f>
        <v/>
      </c>
      <c r="K907" s="44" t="n"/>
    </row>
    <row r="908">
      <c r="F908" s="44" t="n"/>
      <c r="I908" s="88">
        <f>IFERROR(EDATE($F908,$H908),"")</f>
        <v/>
      </c>
      <c r="K908" s="44" t="n"/>
    </row>
    <row r="909">
      <c r="F909" s="44" t="n"/>
      <c r="I909" s="88">
        <f>IFERROR(EDATE($F909,$H909),"")</f>
        <v/>
      </c>
      <c r="K909" s="44" t="n"/>
    </row>
    <row r="910">
      <c r="F910" s="44" t="n"/>
      <c r="I910" s="88">
        <f>IFERROR(EDATE($F910,$H910),"")</f>
        <v/>
      </c>
      <c r="K910" s="44" t="n"/>
    </row>
    <row r="911">
      <c r="F911" s="44" t="n"/>
      <c r="I911" s="88">
        <f>IFERROR(EDATE($F911,$H911),"")</f>
        <v/>
      </c>
      <c r="K911" s="44" t="n"/>
    </row>
    <row r="912">
      <c r="F912" s="44" t="n"/>
      <c r="I912" s="88">
        <f>IFERROR(EDATE($F912,$H912),"")</f>
        <v/>
      </c>
      <c r="K912" s="44" t="n"/>
    </row>
    <row r="913">
      <c r="F913" s="44" t="n"/>
      <c r="I913" s="88">
        <f>IFERROR(EDATE($F913,$H913),"")</f>
        <v/>
      </c>
      <c r="K913" s="44" t="n"/>
    </row>
    <row r="914">
      <c r="F914" s="44" t="n"/>
      <c r="I914" s="88">
        <f>IFERROR(EDATE($F914,$H914),"")</f>
        <v/>
      </c>
      <c r="K914" s="44" t="n"/>
    </row>
    <row r="915">
      <c r="F915" s="44" t="n"/>
      <c r="I915" s="88">
        <f>IFERROR(EDATE($F915,$H915),"")</f>
        <v/>
      </c>
      <c r="K915" s="44" t="n"/>
    </row>
    <row r="916">
      <c r="F916" s="44" t="n"/>
      <c r="I916" s="88">
        <f>IFERROR(EDATE($F916,$H916),"")</f>
        <v/>
      </c>
      <c r="K916" s="44" t="n"/>
    </row>
    <row r="917">
      <c r="F917" s="44" t="n"/>
      <c r="I917" s="88">
        <f>IFERROR(EDATE($F917,$H917),"")</f>
        <v/>
      </c>
      <c r="K917" s="44" t="n"/>
    </row>
    <row r="918">
      <c r="F918" s="44" t="n"/>
      <c r="I918" s="88">
        <f>IFERROR(EDATE($F918,$H918),"")</f>
        <v/>
      </c>
      <c r="K918" s="44" t="n"/>
    </row>
    <row r="919">
      <c r="F919" s="44" t="n"/>
      <c r="I919" s="88">
        <f>IFERROR(EDATE($F919,$H919),"")</f>
        <v/>
      </c>
      <c r="K919" s="44" t="n"/>
    </row>
    <row r="920">
      <c r="F920" s="44" t="n"/>
      <c r="I920" s="88">
        <f>IFERROR(EDATE($F920,$H920),"")</f>
        <v/>
      </c>
      <c r="K920" s="44" t="n"/>
    </row>
    <row r="921">
      <c r="F921" s="44" t="n"/>
      <c r="I921" s="88">
        <f>IFERROR(EDATE($F921,$H921),"")</f>
        <v/>
      </c>
      <c r="K921" s="44" t="n"/>
    </row>
    <row r="922">
      <c r="F922" s="44" t="n"/>
      <c r="I922" s="88">
        <f>IFERROR(EDATE($F922,$H922),"")</f>
        <v/>
      </c>
      <c r="K922" s="44" t="n"/>
    </row>
    <row r="923">
      <c r="F923" s="44" t="n"/>
      <c r="I923" s="88">
        <f>IFERROR(EDATE($F923,$H923),"")</f>
        <v/>
      </c>
      <c r="K923" s="44" t="n"/>
    </row>
    <row r="924">
      <c r="F924" s="44" t="n"/>
      <c r="I924" s="88">
        <f>IFERROR(EDATE($F924,$H924),"")</f>
        <v/>
      </c>
      <c r="K924" s="44" t="n"/>
    </row>
    <row r="925">
      <c r="F925" s="44" t="n"/>
      <c r="I925" s="88">
        <f>IFERROR(EDATE($F925,$H925),"")</f>
        <v/>
      </c>
      <c r="K925" s="44" t="n"/>
    </row>
    <row r="926">
      <c r="F926" s="44" t="n"/>
      <c r="I926" s="88">
        <f>IFERROR(EDATE($F926,$H926),"")</f>
        <v/>
      </c>
      <c r="K926" s="44" t="n"/>
    </row>
    <row r="927">
      <c r="F927" s="44" t="n"/>
      <c r="I927" s="88">
        <f>IFERROR(EDATE($F927,$H927),"")</f>
        <v/>
      </c>
      <c r="K927" s="44" t="n"/>
    </row>
    <row r="928">
      <c r="F928" s="44" t="n"/>
      <c r="I928" s="88">
        <f>IFERROR(EDATE($F928,$H928),"")</f>
        <v/>
      </c>
      <c r="K928" s="44" t="n"/>
    </row>
    <row r="929">
      <c r="F929" s="44" t="n"/>
      <c r="I929" s="88">
        <f>IFERROR(EDATE($F929,$H929),"")</f>
        <v/>
      </c>
      <c r="K929" s="44" t="n"/>
    </row>
    <row r="930">
      <c r="F930" s="44" t="n"/>
      <c r="I930" s="88">
        <f>IFERROR(EDATE($F930,$H930),"")</f>
        <v/>
      </c>
      <c r="K930" s="44" t="n"/>
    </row>
    <row r="931">
      <c r="F931" s="44" t="n"/>
      <c r="I931" s="88">
        <f>IFERROR(EDATE($F931,$H931),"")</f>
        <v/>
      </c>
      <c r="K931" s="44" t="n"/>
    </row>
    <row r="932">
      <c r="F932" s="44" t="n"/>
      <c r="I932" s="88">
        <f>IFERROR(EDATE($F932,$H932),"")</f>
        <v/>
      </c>
      <c r="K932" s="44" t="n"/>
    </row>
    <row r="933">
      <c r="F933" s="44" t="n"/>
      <c r="I933" s="88">
        <f>IFERROR(EDATE($F933,$H933),"")</f>
        <v/>
      </c>
      <c r="K933" s="44" t="n"/>
    </row>
    <row r="934">
      <c r="F934" s="44" t="n"/>
      <c r="I934" s="88">
        <f>IFERROR(EDATE($F934,$H934),"")</f>
        <v/>
      </c>
      <c r="K934" s="44" t="n"/>
    </row>
    <row r="935">
      <c r="F935" s="44" t="n"/>
      <c r="I935" s="88">
        <f>IFERROR(EDATE($F935,$H935),"")</f>
        <v/>
      </c>
      <c r="K935" s="44" t="n"/>
    </row>
    <row r="936">
      <c r="F936" s="44" t="n"/>
      <c r="I936" s="88">
        <f>IFERROR(EDATE($F936,$H936),"")</f>
        <v/>
      </c>
      <c r="K936" s="44" t="n"/>
    </row>
    <row r="937">
      <c r="F937" s="44" t="n"/>
      <c r="I937" s="88">
        <f>IFERROR(EDATE($F937,$H937),"")</f>
        <v/>
      </c>
      <c r="K937" s="44" t="n"/>
    </row>
    <row r="938">
      <c r="F938" s="44" t="n"/>
      <c r="I938" s="88">
        <f>IFERROR(EDATE($F938,$H938),"")</f>
        <v/>
      </c>
      <c r="K938" s="44" t="n"/>
    </row>
    <row r="939">
      <c r="F939" s="44" t="n"/>
      <c r="I939" s="88">
        <f>IFERROR(EDATE($F939,$H939),"")</f>
        <v/>
      </c>
      <c r="K939" s="44" t="n"/>
    </row>
    <row r="940">
      <c r="F940" s="44" t="n"/>
      <c r="I940" s="88">
        <f>IFERROR(EDATE($F940,$H940),"")</f>
        <v/>
      </c>
      <c r="K940" s="44" t="n"/>
    </row>
    <row r="941">
      <c r="F941" s="44" t="n"/>
      <c r="I941" s="88">
        <f>IFERROR(EDATE($F941,$H941),"")</f>
        <v/>
      </c>
      <c r="K941" s="44" t="n"/>
    </row>
    <row r="942">
      <c r="F942" s="44" t="n"/>
      <c r="I942" s="88">
        <f>IFERROR(EDATE($F942,$H942),"")</f>
        <v/>
      </c>
      <c r="K942" s="44" t="n"/>
    </row>
    <row r="943">
      <c r="F943" s="44" t="n"/>
      <c r="I943" s="88">
        <f>IFERROR(EDATE($F943,$H943),"")</f>
        <v/>
      </c>
      <c r="K943" s="44" t="n"/>
    </row>
    <row r="944">
      <c r="F944" s="44" t="n"/>
      <c r="I944" s="88">
        <f>IFERROR(EDATE($F944,$H944),"")</f>
        <v/>
      </c>
      <c r="K944" s="44" t="n"/>
    </row>
    <row r="945">
      <c r="F945" s="44" t="n"/>
      <c r="I945" s="88">
        <f>IFERROR(EDATE($F945,$H945),"")</f>
        <v/>
      </c>
      <c r="K945" s="44" t="n"/>
    </row>
    <row r="946">
      <c r="F946" s="44" t="n"/>
      <c r="I946" s="88">
        <f>IFERROR(EDATE($F946,$H946),"")</f>
        <v/>
      </c>
      <c r="K946" s="44" t="n"/>
    </row>
    <row r="947">
      <c r="F947" s="44" t="n"/>
      <c r="I947" s="88">
        <f>IFERROR(EDATE($F947,$H947),"")</f>
        <v/>
      </c>
      <c r="K947" s="44" t="n"/>
    </row>
    <row r="948">
      <c r="F948" s="44" t="n"/>
      <c r="I948" s="88">
        <f>IFERROR(EDATE($F948,$H948),"")</f>
        <v/>
      </c>
      <c r="K948" s="44" t="n"/>
    </row>
    <row r="949">
      <c r="F949" s="44" t="n"/>
      <c r="I949" s="88">
        <f>IFERROR(EDATE($F949,$H949),"")</f>
        <v/>
      </c>
      <c r="K949" s="44" t="n"/>
    </row>
    <row r="950">
      <c r="F950" s="44" t="n"/>
      <c r="I950" s="88">
        <f>IFERROR(EDATE($F950,$H950),"")</f>
        <v/>
      </c>
      <c r="K950" s="44" t="n"/>
    </row>
    <row r="951">
      <c r="F951" s="44" t="n"/>
      <c r="I951" s="88">
        <f>IFERROR(EDATE($F951,$H951),"")</f>
        <v/>
      </c>
      <c r="K951" s="44" t="n"/>
    </row>
    <row r="952">
      <c r="F952" s="44" t="n"/>
      <c r="I952" s="88">
        <f>IFERROR(EDATE($F952,$H952),"")</f>
        <v/>
      </c>
      <c r="K952" s="44" t="n"/>
    </row>
    <row r="953">
      <c r="F953" s="44" t="n"/>
      <c r="I953" s="88">
        <f>IFERROR(EDATE($F953,$H953),"")</f>
        <v/>
      </c>
      <c r="K953" s="44" t="n"/>
    </row>
    <row r="954">
      <c r="F954" s="44" t="n"/>
      <c r="I954" s="88">
        <f>IFERROR(EDATE($F954,$H954),"")</f>
        <v/>
      </c>
      <c r="K954" s="44" t="n"/>
    </row>
    <row r="955">
      <c r="F955" s="44" t="n"/>
      <c r="I955" s="88">
        <f>IFERROR(EDATE($F955,$H955),"")</f>
        <v/>
      </c>
      <c r="K955" s="44" t="n"/>
    </row>
    <row r="956">
      <c r="F956" s="44" t="n"/>
      <c r="I956" s="88">
        <f>IFERROR(EDATE($F956,$H956),"")</f>
        <v/>
      </c>
      <c r="K956" s="44" t="n"/>
    </row>
    <row r="957">
      <c r="F957" s="44" t="n"/>
      <c r="I957" s="88">
        <f>IFERROR(EDATE($F957,$H957),"")</f>
        <v/>
      </c>
      <c r="K957" s="44" t="n"/>
    </row>
    <row r="958">
      <c r="F958" s="44" t="n"/>
      <c r="I958" s="88">
        <f>IFERROR(EDATE($F958,$H958),"")</f>
        <v/>
      </c>
      <c r="K958" s="44" t="n"/>
    </row>
    <row r="959">
      <c r="F959" s="44" t="n"/>
      <c r="I959" s="88">
        <f>IFERROR(EDATE($F959,$H959),"")</f>
        <v/>
      </c>
      <c r="K959" s="44" t="n"/>
    </row>
    <row r="960">
      <c r="F960" s="44" t="n"/>
      <c r="I960" s="88">
        <f>IFERROR(EDATE($F960,$H960),"")</f>
        <v/>
      </c>
      <c r="K960" s="44" t="n"/>
    </row>
    <row r="961">
      <c r="F961" s="44" t="n"/>
      <c r="I961" s="88">
        <f>IFERROR(EDATE($F961,$H961),"")</f>
        <v/>
      </c>
      <c r="K961" s="44" t="n"/>
    </row>
    <row r="962">
      <c r="F962" s="44" t="n"/>
      <c r="I962" s="88">
        <f>IFERROR(EDATE($F962,$H962),"")</f>
        <v/>
      </c>
      <c r="K962" s="44" t="n"/>
    </row>
    <row r="963">
      <c r="F963" s="44" t="n"/>
      <c r="I963" s="88">
        <f>IFERROR(EDATE($F963,$H963),"")</f>
        <v/>
      </c>
      <c r="K963" s="44" t="n"/>
    </row>
    <row r="964">
      <c r="F964" s="44" t="n"/>
      <c r="I964" s="88">
        <f>IFERROR(EDATE($F964,$H964),"")</f>
        <v/>
      </c>
      <c r="K964" s="44" t="n"/>
    </row>
    <row r="965">
      <c r="F965" s="44" t="n"/>
      <c r="I965" s="88">
        <f>IFERROR(EDATE($F965,$H965),"")</f>
        <v/>
      </c>
      <c r="K965" s="44" t="n"/>
    </row>
    <row r="966">
      <c r="F966" s="44" t="n"/>
      <c r="I966" s="88">
        <f>IFERROR(EDATE($F966,$H966),"")</f>
        <v/>
      </c>
      <c r="K966" s="44" t="n"/>
    </row>
    <row r="967">
      <c r="F967" s="44" t="n"/>
      <c r="I967" s="88">
        <f>IFERROR(EDATE($F967,$H967),"")</f>
        <v/>
      </c>
      <c r="K967" s="44" t="n"/>
    </row>
    <row r="968">
      <c r="F968" s="44" t="n"/>
      <c r="I968" s="88">
        <f>IFERROR(EDATE($F968,$H968),"")</f>
        <v/>
      </c>
      <c r="K968" s="44" t="n"/>
    </row>
    <row r="969">
      <c r="F969" s="44" t="n"/>
      <c r="I969" s="88">
        <f>IFERROR(EDATE($F969,$H969),"")</f>
        <v/>
      </c>
      <c r="K969" s="44" t="n"/>
    </row>
    <row r="970">
      <c r="F970" s="44" t="n"/>
      <c r="I970" s="88">
        <f>IFERROR(EDATE($F970,$H970),"")</f>
        <v/>
      </c>
      <c r="K970" s="44" t="n"/>
    </row>
    <row r="971">
      <c r="F971" s="44" t="n"/>
      <c r="I971" s="88">
        <f>IFERROR(EDATE($F971,$H971),"")</f>
        <v/>
      </c>
      <c r="K971" s="44" t="n"/>
    </row>
    <row r="972">
      <c r="F972" s="44" t="n"/>
      <c r="I972" s="88">
        <f>IFERROR(EDATE($F972,$H972),"")</f>
        <v/>
      </c>
      <c r="K972" s="44" t="n"/>
    </row>
    <row r="973">
      <c r="F973" s="44" t="n"/>
      <c r="I973" s="88">
        <f>IFERROR(EDATE($F973,$H973),"")</f>
        <v/>
      </c>
      <c r="K973" s="44" t="n"/>
    </row>
    <row r="974">
      <c r="F974" s="44" t="n"/>
      <c r="I974" s="88">
        <f>IFERROR(EDATE($F974,$H974),"")</f>
        <v/>
      </c>
      <c r="K974" s="44" t="n"/>
    </row>
    <row r="975">
      <c r="F975" s="44" t="n"/>
      <c r="I975" s="88">
        <f>IFERROR(EDATE($F975,$H975),"")</f>
        <v/>
      </c>
      <c r="K975" s="44" t="n"/>
    </row>
    <row r="976">
      <c r="F976" s="44" t="n"/>
      <c r="I976" s="88">
        <f>IFERROR(EDATE($F976,$H976),"")</f>
        <v/>
      </c>
      <c r="K976" s="44" t="n"/>
    </row>
    <row r="977">
      <c r="F977" s="44" t="n"/>
      <c r="I977" s="88">
        <f>IFERROR(EDATE($F977,$H977),"")</f>
        <v/>
      </c>
      <c r="K977" s="44" t="n"/>
    </row>
    <row r="978">
      <c r="F978" s="44" t="n"/>
      <c r="I978" s="88">
        <f>IFERROR(EDATE($F978,$H978),"")</f>
        <v/>
      </c>
      <c r="K978" s="44" t="n"/>
    </row>
    <row r="979">
      <c r="F979" s="44" t="n"/>
      <c r="I979" s="88">
        <f>IFERROR(EDATE($F979,$H979),"")</f>
        <v/>
      </c>
      <c r="K979" s="44" t="n"/>
    </row>
    <row r="980">
      <c r="F980" s="44" t="n"/>
      <c r="I980" s="88">
        <f>IFERROR(EDATE($F980,$H980),"")</f>
        <v/>
      </c>
      <c r="K980" s="44" t="n"/>
    </row>
    <row r="981">
      <c r="F981" s="44" t="n"/>
      <c r="I981" s="88">
        <f>IFERROR(EDATE($F981,$H981),"")</f>
        <v/>
      </c>
      <c r="K981" s="44" t="n"/>
    </row>
    <row r="982">
      <c r="F982" s="44" t="n"/>
      <c r="I982" s="88">
        <f>IFERROR(EDATE($F982,$H982),"")</f>
        <v/>
      </c>
      <c r="K982" s="44" t="n"/>
    </row>
    <row r="983">
      <c r="F983" s="44" t="n"/>
      <c r="I983" s="88">
        <f>IFERROR(EDATE($F983,$H983),"")</f>
        <v/>
      </c>
      <c r="K983" s="44" t="n"/>
    </row>
    <row r="984">
      <c r="F984" s="44" t="n"/>
      <c r="I984" s="88">
        <f>IFERROR(EDATE($F984,$H984),"")</f>
        <v/>
      </c>
      <c r="K984" s="44" t="n"/>
    </row>
    <row r="985">
      <c r="F985" s="44" t="n"/>
      <c r="I985" s="88">
        <f>IFERROR(EDATE($F985,$H985),"")</f>
        <v/>
      </c>
      <c r="K985" s="44" t="n"/>
    </row>
    <row r="986">
      <c r="F986" s="44" t="n"/>
      <c r="I986" s="88">
        <f>IFERROR(EDATE($F986,$H986),"")</f>
        <v/>
      </c>
      <c r="K986" s="44" t="n"/>
    </row>
    <row r="987">
      <c r="F987" s="44" t="n"/>
      <c r="I987" s="88">
        <f>IFERROR(EDATE($F987,$H987),"")</f>
        <v/>
      </c>
      <c r="K987" s="44" t="n"/>
    </row>
    <row r="988">
      <c r="F988" s="44" t="n"/>
      <c r="I988" s="88">
        <f>IFERROR(EDATE($F988,$H988),"")</f>
        <v/>
      </c>
      <c r="K988" s="44" t="n"/>
    </row>
    <row r="989">
      <c r="F989" s="44" t="n"/>
      <c r="I989" s="88">
        <f>IFERROR(EDATE($F989,$H989),"")</f>
        <v/>
      </c>
      <c r="K989" s="44" t="n"/>
    </row>
    <row r="990">
      <c r="F990" s="44" t="n"/>
      <c r="I990" s="88">
        <f>IFERROR(EDATE($F990,$H990),"")</f>
        <v/>
      </c>
      <c r="K990" s="44" t="n"/>
    </row>
    <row r="991">
      <c r="F991" s="44" t="n"/>
      <c r="I991" s="88">
        <f>IFERROR(EDATE($F991,$H991),"")</f>
        <v/>
      </c>
      <c r="K991" s="44" t="n"/>
    </row>
    <row r="992">
      <c r="F992" s="44" t="n"/>
      <c r="I992" s="88">
        <f>IFERROR(EDATE($F992,$H992),"")</f>
        <v/>
      </c>
      <c r="K992" s="44" t="n"/>
    </row>
    <row r="993">
      <c r="F993" s="44" t="n"/>
      <c r="I993" s="88">
        <f>IFERROR(EDATE($F993,$H993),"")</f>
        <v/>
      </c>
      <c r="K993" s="44" t="n"/>
    </row>
    <row r="994">
      <c r="F994" s="44" t="n"/>
      <c r="I994" s="88">
        <f>IFERROR(EDATE($F994,$H994),"")</f>
        <v/>
      </c>
      <c r="K994" s="44" t="n"/>
    </row>
    <row r="995">
      <c r="F995" s="44" t="n"/>
      <c r="I995" s="88">
        <f>IFERROR(EDATE($F995,$H995),"")</f>
        <v/>
      </c>
      <c r="K995" s="44" t="n"/>
    </row>
    <row r="996">
      <c r="F996" s="44" t="n"/>
      <c r="I996" s="88">
        <f>IFERROR(EDATE($F996,$H996),"")</f>
        <v/>
      </c>
      <c r="K996" s="44" t="n"/>
    </row>
    <row r="997">
      <c r="F997" s="44" t="n"/>
      <c r="I997" s="88">
        <f>IFERROR(EDATE($F997,$H997),"")</f>
        <v/>
      </c>
      <c r="K997" s="44" t="n"/>
    </row>
    <row r="998">
      <c r="F998" s="44" t="n"/>
      <c r="I998" s="88">
        <f>IFERROR(EDATE($F998,$H998),"")</f>
        <v/>
      </c>
      <c r="K998" s="44" t="n"/>
    </row>
    <row r="999">
      <c r="F999" s="44" t="n"/>
      <c r="I999" s="88">
        <f>IFERROR(EDATE($F999,$H999),"")</f>
        <v/>
      </c>
      <c r="K999" s="44" t="n"/>
    </row>
    <row r="1000">
      <c r="F1000" s="44" t="n"/>
      <c r="I1000" s="88">
        <f>IFERROR(EDATE($F1000,$H1000),"")</f>
        <v/>
      </c>
      <c r="K1000" s="44" t="n"/>
    </row>
    <row r="1001">
      <c r="F1001" s="44" t="n"/>
      <c r="I1001" s="88">
        <f>IFERROR(EDATE($F1001,$H1001),"")</f>
        <v/>
      </c>
      <c r="K1001" s="44" t="n"/>
    </row>
    <row r="1002">
      <c r="F1002" s="44" t="n"/>
      <c r="I1002" s="88">
        <f>IFERROR(EDATE($F1002,$H1002),"")</f>
        <v/>
      </c>
      <c r="K1002" s="44" t="n"/>
    </row>
    <row r="1003">
      <c r="F1003" s="44" t="n"/>
      <c r="I1003" s="88">
        <f>IFERROR(EDATE($F1003,$H1003),"")</f>
        <v/>
      </c>
      <c r="K1003" s="44" t="n"/>
    </row>
    <row r="1004">
      <c r="F1004" s="44" t="n"/>
      <c r="I1004" s="88">
        <f>IFERROR(EDATE($F1004,$H1004),"")</f>
        <v/>
      </c>
      <c r="K1004" s="44" t="n"/>
    </row>
  </sheetData>
  <autoFilter ref="A4:N1004"/>
  <dataValidations count="4">
    <dataValidation sqref="B5:B1004" showDropDown="0" showInputMessage="0" showErrorMessage="0" allowBlank="1" type="list">
      <formula1>'選択肢マスター'!$T$2:$T$3</formula1>
    </dataValidation>
    <dataValidation sqref="C5:C1004" showDropDown="0" showInputMessage="0" showErrorMessage="0" allowBlank="1" type="list">
      <formula1>'選択肢マスター'!$U$2:$U$4</formula1>
    </dataValidation>
    <dataValidation sqref="J5:J1004" showDropDown="0" showInputMessage="0" showErrorMessage="0" allowBlank="1" type="list">
      <formula1>'選択肢マスター'!$R$2:$R$6</formula1>
    </dataValidation>
    <dataValidation sqref="L5:L1004" showDropDown="0" showInputMessage="0" showErrorMessage="0" allowBlank="1" type="list">
      <formula1>'選択肢マスター'!$S$2:$S$6</formula1>
    </dataValidation>
  </dataValidations>
  <pageMargins left="0.75" right="0.75" top="1" bottom="1" header="0.5" footer="0.5"/>
</worksheet>
</file>

<file path=xl/worksheets/sheet36.xml><?xml version="1.0" encoding="utf-8"?>
<worksheet xmlns="http://schemas.openxmlformats.org/spreadsheetml/2006/main">
  <sheetPr>
    <tabColor rgb="00FFD966"/>
    <outlinePr summaryBelow="1" summaryRight="1"/>
    <pageSetUpPr/>
  </sheetPr>
  <dimension ref="A1:N6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4" customWidth="1" min="14" max="14"/>
  </cols>
  <sheetData>
    <row r="1" ht="22" customHeight="1">
      <c r="A1" s="1" t="inlineStr">
        <is>
          <t>分析：月別の件数・単価と、流入経路別の内訳</t>
        </is>
      </c>
    </row>
    <row r="2">
      <c r="A2" s="2" t="inlineStr">
        <is>
          <t>すべて月次タブを SUMIFS / COUNTIFS で参照しています。手入力するところはありません。</t>
        </is>
      </c>
    </row>
    <row r="4" ht="30" customHeight="1">
      <c r="A4" s="3" t="inlineStr">
        <is>
          <t>項目</t>
        </is>
      </c>
      <c r="B4" s="3" t="inlineStr">
        <is>
          <t>1月</t>
        </is>
      </c>
      <c r="C4" s="3" t="inlineStr">
        <is>
          <t>2月</t>
        </is>
      </c>
      <c r="D4" s="3" t="inlineStr">
        <is>
          <t>3月</t>
        </is>
      </c>
      <c r="E4" s="3" t="inlineStr">
        <is>
          <t>4月</t>
        </is>
      </c>
      <c r="F4" s="3" t="inlineStr">
        <is>
          <t>5月</t>
        </is>
      </c>
      <c r="G4" s="3" t="inlineStr">
        <is>
          <t>6月</t>
        </is>
      </c>
      <c r="H4" s="3" t="inlineStr">
        <is>
          <t>7月</t>
        </is>
      </c>
      <c r="I4" s="3" t="inlineStr">
        <is>
          <t>8月</t>
        </is>
      </c>
      <c r="J4" s="3" t="inlineStr">
        <is>
          <t>9月</t>
        </is>
      </c>
      <c r="K4" s="3" t="inlineStr">
        <is>
          <t>10月</t>
        </is>
      </c>
      <c r="L4" s="3" t="inlineStr">
        <is>
          <t>11月</t>
        </is>
      </c>
      <c r="M4" s="3" t="inlineStr">
        <is>
          <t>12月</t>
        </is>
      </c>
      <c r="N4" s="3" t="inlineStr">
        <is>
          <t>年計</t>
        </is>
      </c>
    </row>
    <row r="5">
      <c r="A5" s="13" t="inlineStr">
        <is>
          <t>件数</t>
        </is>
      </c>
      <c r="B5" s="21">
        <f>'1月_売上顧客'!$E$4</f>
        <v/>
      </c>
      <c r="C5" s="21">
        <f>'2月_売上顧客'!$E$4</f>
        <v/>
      </c>
      <c r="D5" s="21">
        <f>'3月_売上顧客'!$E$4</f>
        <v/>
      </c>
      <c r="E5" s="21">
        <f>'4月_売上顧客'!$E$4</f>
        <v/>
      </c>
      <c r="F5" s="21">
        <f>'5月_売上顧客'!$E$4</f>
        <v/>
      </c>
      <c r="G5" s="21">
        <f>'6月_売上顧客'!$E$4</f>
        <v/>
      </c>
      <c r="H5" s="21">
        <f>'7月_売上顧客'!$E$4</f>
        <v/>
      </c>
      <c r="I5" s="21">
        <f>'8月_売上顧客'!$E$4</f>
        <v/>
      </c>
      <c r="J5" s="21">
        <f>'9月_売上顧客'!$E$4</f>
        <v/>
      </c>
      <c r="K5" s="21">
        <f>'10月_売上顧客'!$E$4</f>
        <v/>
      </c>
      <c r="L5" s="21">
        <f>'11月_売上顧客'!$E$4</f>
        <v/>
      </c>
      <c r="M5" s="21">
        <f>'12月_売上顧客'!$E$4</f>
        <v/>
      </c>
      <c r="N5" s="57">
        <f>SUM(B5:M5)</f>
        <v/>
      </c>
    </row>
    <row r="6">
      <c r="A6" s="13" t="inlineStr">
        <is>
          <t>売上</t>
        </is>
      </c>
      <c r="B6" s="14">
        <f>'1月_売上顧客'!$L$4</f>
        <v/>
      </c>
      <c r="C6" s="14">
        <f>'2月_売上顧客'!$L$4</f>
        <v/>
      </c>
      <c r="D6" s="14">
        <f>'3月_売上顧客'!$L$4</f>
        <v/>
      </c>
      <c r="E6" s="14">
        <f>'4月_売上顧客'!$L$4</f>
        <v/>
      </c>
      <c r="F6" s="14">
        <f>'5月_売上顧客'!$L$4</f>
        <v/>
      </c>
      <c r="G6" s="14">
        <f>'6月_売上顧客'!$L$4</f>
        <v/>
      </c>
      <c r="H6" s="14">
        <f>'7月_売上顧客'!$L$4</f>
        <v/>
      </c>
      <c r="I6" s="14">
        <f>'8月_売上顧客'!$L$4</f>
        <v/>
      </c>
      <c r="J6" s="14">
        <f>'9月_売上顧客'!$L$4</f>
        <v/>
      </c>
      <c r="K6" s="14">
        <f>'10月_売上顧客'!$L$4</f>
        <v/>
      </c>
      <c r="L6" s="14">
        <f>'11月_売上顧客'!$L$4</f>
        <v/>
      </c>
      <c r="M6" s="14">
        <f>'12月_売上顧客'!$L$4</f>
        <v/>
      </c>
      <c r="N6" s="54">
        <f>SUM(B6:M6)</f>
        <v/>
      </c>
    </row>
    <row r="7">
      <c r="A7" s="13" t="inlineStr">
        <is>
          <t>平均単価</t>
        </is>
      </c>
      <c r="B7" s="14">
        <f>'1月_売上顧客'!$F$4</f>
        <v/>
      </c>
      <c r="C7" s="14">
        <f>'2月_売上顧客'!$F$4</f>
        <v/>
      </c>
      <c r="D7" s="14">
        <f>'3月_売上顧客'!$F$4</f>
        <v/>
      </c>
      <c r="E7" s="14">
        <f>'4月_売上顧客'!$F$4</f>
        <v/>
      </c>
      <c r="F7" s="14">
        <f>'5月_売上顧客'!$F$4</f>
        <v/>
      </c>
      <c r="G7" s="14">
        <f>'6月_売上顧客'!$F$4</f>
        <v/>
      </c>
      <c r="H7" s="14">
        <f>'7月_売上顧客'!$F$4</f>
        <v/>
      </c>
      <c r="I7" s="14">
        <f>'8月_売上顧客'!$F$4</f>
        <v/>
      </c>
      <c r="J7" s="14">
        <f>'9月_売上顧客'!$F$4</f>
        <v/>
      </c>
      <c r="K7" s="14">
        <f>'10月_売上顧客'!$F$4</f>
        <v/>
      </c>
      <c r="L7" s="14">
        <f>'11月_売上顧客'!$F$4</f>
        <v/>
      </c>
      <c r="M7" s="14">
        <f>'12月_売上顧客'!$F$4</f>
        <v/>
      </c>
      <c r="N7" s="54">
        <f>IFERROR(AVERAGE(B7:M7),0)</f>
        <v/>
      </c>
    </row>
    <row r="8">
      <c r="A8" s="13" t="inlineStr">
        <is>
          <t>自社件数</t>
        </is>
      </c>
      <c r="B8" s="21">
        <f>'1月_売上顧客'!$B$4</f>
        <v/>
      </c>
      <c r="C8" s="21">
        <f>'2月_売上顧客'!$B$4</f>
        <v/>
      </c>
      <c r="D8" s="21">
        <f>'3月_売上顧客'!$B$4</f>
        <v/>
      </c>
      <c r="E8" s="21">
        <f>'4月_売上顧客'!$B$4</f>
        <v/>
      </c>
      <c r="F8" s="21">
        <f>'5月_売上顧客'!$B$4</f>
        <v/>
      </c>
      <c r="G8" s="21">
        <f>'6月_売上顧客'!$B$4</f>
        <v/>
      </c>
      <c r="H8" s="21">
        <f>'7月_売上顧客'!$B$4</f>
        <v/>
      </c>
      <c r="I8" s="21">
        <f>'8月_売上顧客'!$B$4</f>
        <v/>
      </c>
      <c r="J8" s="21">
        <f>'9月_売上顧客'!$B$4</f>
        <v/>
      </c>
      <c r="K8" s="21">
        <f>'10月_売上顧客'!$B$4</f>
        <v/>
      </c>
      <c r="L8" s="21">
        <f>'11月_売上顧客'!$B$4</f>
        <v/>
      </c>
      <c r="M8" s="21">
        <f>'12月_売上顧客'!$B$4</f>
        <v/>
      </c>
      <c r="N8" s="57">
        <f>SUM(B8:M8)</f>
        <v/>
      </c>
    </row>
    <row r="9">
      <c r="A9" s="13" t="inlineStr">
        <is>
          <t>本舗件数</t>
        </is>
      </c>
      <c r="B9" s="21">
        <f>'1月_売上顧客'!$D$4</f>
        <v/>
      </c>
      <c r="C9" s="21">
        <f>'2月_売上顧客'!$D$4</f>
        <v/>
      </c>
      <c r="D9" s="21">
        <f>'3月_売上顧客'!$D$4</f>
        <v/>
      </c>
      <c r="E9" s="21">
        <f>'4月_売上顧客'!$D$4</f>
        <v/>
      </c>
      <c r="F9" s="21">
        <f>'5月_売上顧客'!$D$4</f>
        <v/>
      </c>
      <c r="G9" s="21">
        <f>'6月_売上顧客'!$D$4</f>
        <v/>
      </c>
      <c r="H9" s="21">
        <f>'7月_売上顧客'!$D$4</f>
        <v/>
      </c>
      <c r="I9" s="21">
        <f>'8月_売上顧客'!$D$4</f>
        <v/>
      </c>
      <c r="J9" s="21">
        <f>'9月_売上顧客'!$D$4</f>
        <v/>
      </c>
      <c r="K9" s="21">
        <f>'10月_売上顧客'!$D$4</f>
        <v/>
      </c>
      <c r="L9" s="21">
        <f>'11月_売上顧客'!$D$4</f>
        <v/>
      </c>
      <c r="M9" s="21">
        <f>'12月_売上顧客'!$D$4</f>
        <v/>
      </c>
      <c r="N9" s="57">
        <f>SUM(B9:M9)</f>
        <v/>
      </c>
    </row>
    <row r="10">
      <c r="A10" s="13" t="inlineStr">
        <is>
          <t>自社単価</t>
        </is>
      </c>
      <c r="B10" s="14">
        <f>'1月_売上顧客'!$H$4</f>
        <v/>
      </c>
      <c r="C10" s="14">
        <f>'2月_売上顧客'!$H$4</f>
        <v/>
      </c>
      <c r="D10" s="14">
        <f>'3月_売上顧客'!$H$4</f>
        <v/>
      </c>
      <c r="E10" s="14">
        <f>'4月_売上顧客'!$H$4</f>
        <v/>
      </c>
      <c r="F10" s="14">
        <f>'5月_売上顧客'!$H$4</f>
        <v/>
      </c>
      <c r="G10" s="14">
        <f>'6月_売上顧客'!$H$4</f>
        <v/>
      </c>
      <c r="H10" s="14">
        <f>'7月_売上顧客'!$H$4</f>
        <v/>
      </c>
      <c r="I10" s="14">
        <f>'8月_売上顧客'!$H$4</f>
        <v/>
      </c>
      <c r="J10" s="14">
        <f>'9月_売上顧客'!$H$4</f>
        <v/>
      </c>
      <c r="K10" s="14">
        <f>'10月_売上顧客'!$H$4</f>
        <v/>
      </c>
      <c r="L10" s="14">
        <f>'11月_売上顧客'!$H$4</f>
        <v/>
      </c>
      <c r="M10" s="14">
        <f>'12月_売上顧客'!$H$4</f>
        <v/>
      </c>
      <c r="N10" s="54">
        <f>IFERROR(AVERAGE(B10:M10),0)</f>
        <v/>
      </c>
    </row>
    <row r="11">
      <c r="A11" s="13" t="inlineStr">
        <is>
          <t>本舗単価</t>
        </is>
      </c>
      <c r="B11" s="14">
        <f>'1月_売上顧客'!$I$4</f>
        <v/>
      </c>
      <c r="C11" s="14">
        <f>'2月_売上顧客'!$I$4</f>
        <v/>
      </c>
      <c r="D11" s="14">
        <f>'3月_売上顧客'!$I$4</f>
        <v/>
      </c>
      <c r="E11" s="14">
        <f>'4月_売上顧客'!$I$4</f>
        <v/>
      </c>
      <c r="F11" s="14">
        <f>'5月_売上顧客'!$I$4</f>
        <v/>
      </c>
      <c r="G11" s="14">
        <f>'6月_売上顧客'!$I$4</f>
        <v/>
      </c>
      <c r="H11" s="14">
        <f>'7月_売上顧客'!$I$4</f>
        <v/>
      </c>
      <c r="I11" s="14">
        <f>'8月_売上顧客'!$I$4</f>
        <v/>
      </c>
      <c r="J11" s="14">
        <f>'9月_売上顧客'!$I$4</f>
        <v/>
      </c>
      <c r="K11" s="14">
        <f>'10月_売上顧客'!$I$4</f>
        <v/>
      </c>
      <c r="L11" s="14">
        <f>'11月_売上顧客'!$I$4</f>
        <v/>
      </c>
      <c r="M11" s="14">
        <f>'12月_売上顧客'!$I$4</f>
        <v/>
      </c>
      <c r="N11" s="54">
        <f>IFERROR(AVERAGE(B11:M11),0)</f>
        <v/>
      </c>
    </row>
    <row r="12">
      <c r="A12" s="13" t="inlineStr">
        <is>
          <t>④自社ネット新規 件数</t>
        </is>
      </c>
      <c r="B12" s="21">
        <f>'1月_売上顧客'!$R$4</f>
        <v/>
      </c>
      <c r="C12" s="21">
        <f>'2月_売上顧客'!$R$4</f>
        <v/>
      </c>
      <c r="D12" s="21">
        <f>'3月_売上顧客'!$R$4</f>
        <v/>
      </c>
      <c r="E12" s="21">
        <f>'4月_売上顧客'!$R$4</f>
        <v/>
      </c>
      <c r="F12" s="21">
        <f>'5月_売上顧客'!$R$4</f>
        <v/>
      </c>
      <c r="G12" s="21">
        <f>'6月_売上顧客'!$R$4</f>
        <v/>
      </c>
      <c r="H12" s="21">
        <f>'7月_売上顧客'!$R$4</f>
        <v/>
      </c>
      <c r="I12" s="21">
        <f>'8月_売上顧客'!$R$4</f>
        <v/>
      </c>
      <c r="J12" s="21">
        <f>'9月_売上顧客'!$R$4</f>
        <v/>
      </c>
      <c r="K12" s="21">
        <f>'10月_売上顧客'!$R$4</f>
        <v/>
      </c>
      <c r="L12" s="21">
        <f>'11月_売上顧客'!$R$4</f>
        <v/>
      </c>
      <c r="M12" s="21">
        <f>'12月_売上顧客'!$R$4</f>
        <v/>
      </c>
      <c r="N12" s="57">
        <f>SUM(B12:M12)</f>
        <v/>
      </c>
    </row>
    <row r="13">
      <c r="A13" s="13" t="inlineStr">
        <is>
          <t>④自社ネット新規 売上</t>
        </is>
      </c>
      <c r="B13" s="14">
        <f>'1月_売上顧客'!$S$4</f>
        <v/>
      </c>
      <c r="C13" s="14">
        <f>'2月_売上顧客'!$S$4</f>
        <v/>
      </c>
      <c r="D13" s="14">
        <f>'3月_売上顧客'!$S$4</f>
        <v/>
      </c>
      <c r="E13" s="14">
        <f>'4月_売上顧客'!$S$4</f>
        <v/>
      </c>
      <c r="F13" s="14">
        <f>'5月_売上顧客'!$S$4</f>
        <v/>
      </c>
      <c r="G13" s="14">
        <f>'6月_売上顧客'!$S$4</f>
        <v/>
      </c>
      <c r="H13" s="14">
        <f>'7月_売上顧客'!$S$4</f>
        <v/>
      </c>
      <c r="I13" s="14">
        <f>'8月_売上顧客'!$S$4</f>
        <v/>
      </c>
      <c r="J13" s="14">
        <f>'9月_売上顧客'!$S$4</f>
        <v/>
      </c>
      <c r="K13" s="14">
        <f>'10月_売上顧客'!$S$4</f>
        <v/>
      </c>
      <c r="L13" s="14">
        <f>'11月_売上顧客'!$S$4</f>
        <v/>
      </c>
      <c r="M13" s="14">
        <f>'12月_売上顧客'!$S$4</f>
        <v/>
      </c>
      <c r="N13" s="54">
        <f>SUM(B13:M13)</f>
        <v/>
      </c>
    </row>
    <row r="16">
      <c r="A16" s="11" t="inlineStr">
        <is>
          <t>▼ 流入経路別 件数</t>
        </is>
      </c>
    </row>
    <row r="17" ht="30" customHeight="1">
      <c r="A17" s="3" t="inlineStr">
        <is>
          <t>流入経路</t>
        </is>
      </c>
      <c r="B17" s="3" t="inlineStr">
        <is>
          <t>1月</t>
        </is>
      </c>
      <c r="C17" s="3" t="inlineStr">
        <is>
          <t>2月</t>
        </is>
      </c>
      <c r="D17" s="3" t="inlineStr">
        <is>
          <t>3月</t>
        </is>
      </c>
      <c r="E17" s="3" t="inlineStr">
        <is>
          <t>4月</t>
        </is>
      </c>
      <c r="F17" s="3" t="inlineStr">
        <is>
          <t>5月</t>
        </is>
      </c>
      <c r="G17" s="3" t="inlineStr">
        <is>
          <t>6月</t>
        </is>
      </c>
      <c r="H17" s="3" t="inlineStr">
        <is>
          <t>7月</t>
        </is>
      </c>
      <c r="I17" s="3" t="inlineStr">
        <is>
          <t>8月</t>
        </is>
      </c>
      <c r="J17" s="3" t="inlineStr">
        <is>
          <t>9月</t>
        </is>
      </c>
      <c r="K17" s="3" t="inlineStr">
        <is>
          <t>10月</t>
        </is>
      </c>
      <c r="L17" s="3" t="inlineStr">
        <is>
          <t>11月</t>
        </is>
      </c>
      <c r="M17" s="3" t="inlineStr">
        <is>
          <t>12月</t>
        </is>
      </c>
      <c r="N17" s="3" t="inlineStr">
        <is>
          <t>年計</t>
        </is>
      </c>
    </row>
    <row r="18">
      <c r="A18" s="51" t="inlineStr">
        <is>
          <t>リピート</t>
        </is>
      </c>
      <c r="B18" s="21">
        <f>COUNTIFS('1月_売上顧客'!$E$5:$E$504,$A18)</f>
        <v/>
      </c>
      <c r="C18" s="21">
        <f>COUNTIFS('2月_売上顧客'!$E$5:$E$504,$A18)</f>
        <v/>
      </c>
      <c r="D18" s="21">
        <f>COUNTIFS('3月_売上顧客'!$E$5:$E$504,$A18)</f>
        <v/>
      </c>
      <c r="E18" s="21">
        <f>COUNTIFS('4月_売上顧客'!$E$5:$E$504,$A18)</f>
        <v/>
      </c>
      <c r="F18" s="21">
        <f>COUNTIFS('5月_売上顧客'!$E$5:$E$504,$A18)</f>
        <v/>
      </c>
      <c r="G18" s="21">
        <f>COUNTIFS('6月_売上顧客'!$E$5:$E$504,$A18)</f>
        <v/>
      </c>
      <c r="H18" s="21">
        <f>COUNTIFS('7月_売上顧客'!$E$5:$E$504,$A18)</f>
        <v/>
      </c>
      <c r="I18" s="21">
        <f>COUNTIFS('8月_売上顧客'!$E$5:$E$504,$A18)</f>
        <v/>
      </c>
      <c r="J18" s="21">
        <f>COUNTIFS('9月_売上顧客'!$E$5:$E$504,$A18)</f>
        <v/>
      </c>
      <c r="K18" s="21">
        <f>COUNTIFS('10月_売上顧客'!$E$5:$E$504,$A18)</f>
        <v/>
      </c>
      <c r="L18" s="21">
        <f>COUNTIFS('11月_売上顧客'!$E$5:$E$504,$A18)</f>
        <v/>
      </c>
      <c r="M18" s="21">
        <f>COUNTIFS('12月_売上顧客'!$E$5:$E$504,$A18)</f>
        <v/>
      </c>
      <c r="N18" s="57">
        <f>SUM(B18:M18)</f>
        <v/>
      </c>
    </row>
    <row r="19">
      <c r="A19" s="51" t="inlineStr">
        <is>
          <t>早期予約</t>
        </is>
      </c>
      <c r="B19" s="21">
        <f>COUNTIFS('1月_売上顧客'!$E$5:$E$504,$A19)</f>
        <v/>
      </c>
      <c r="C19" s="21">
        <f>COUNTIFS('2月_売上顧客'!$E$5:$E$504,$A19)</f>
        <v/>
      </c>
      <c r="D19" s="21">
        <f>COUNTIFS('3月_売上顧客'!$E$5:$E$504,$A19)</f>
        <v/>
      </c>
      <c r="E19" s="21">
        <f>COUNTIFS('4月_売上顧客'!$E$5:$E$504,$A19)</f>
        <v/>
      </c>
      <c r="F19" s="21">
        <f>COUNTIFS('5月_売上顧客'!$E$5:$E$504,$A19)</f>
        <v/>
      </c>
      <c r="G19" s="21">
        <f>COUNTIFS('6月_売上顧客'!$E$5:$E$504,$A19)</f>
        <v/>
      </c>
      <c r="H19" s="21">
        <f>COUNTIFS('7月_売上顧客'!$E$5:$E$504,$A19)</f>
        <v/>
      </c>
      <c r="I19" s="21">
        <f>COUNTIFS('8月_売上顧客'!$E$5:$E$504,$A19)</f>
        <v/>
      </c>
      <c r="J19" s="21">
        <f>COUNTIFS('9月_売上顧客'!$E$5:$E$504,$A19)</f>
        <v/>
      </c>
      <c r="K19" s="21">
        <f>COUNTIFS('10月_売上顧客'!$E$5:$E$504,$A19)</f>
        <v/>
      </c>
      <c r="L19" s="21">
        <f>COUNTIFS('11月_売上顧客'!$E$5:$E$504,$A19)</f>
        <v/>
      </c>
      <c r="M19" s="21">
        <f>COUNTIFS('12月_売上顧客'!$E$5:$E$504,$A19)</f>
        <v/>
      </c>
      <c r="N19" s="57">
        <f>SUM(B19:M19)</f>
        <v/>
      </c>
    </row>
    <row r="20">
      <c r="A20" s="51" t="inlineStr">
        <is>
          <t>楽ラクーン</t>
        </is>
      </c>
      <c r="B20" s="21">
        <f>COUNTIFS('1月_売上顧客'!$E$5:$E$504,$A20)</f>
        <v/>
      </c>
      <c r="C20" s="21">
        <f>COUNTIFS('2月_売上顧客'!$E$5:$E$504,$A20)</f>
        <v/>
      </c>
      <c r="D20" s="21">
        <f>COUNTIFS('3月_売上顧客'!$E$5:$E$504,$A20)</f>
        <v/>
      </c>
      <c r="E20" s="21">
        <f>COUNTIFS('4月_売上顧客'!$E$5:$E$504,$A20)</f>
        <v/>
      </c>
      <c r="F20" s="21">
        <f>COUNTIFS('5月_売上顧客'!$E$5:$E$504,$A20)</f>
        <v/>
      </c>
      <c r="G20" s="21">
        <f>COUNTIFS('6月_売上顧客'!$E$5:$E$504,$A20)</f>
        <v/>
      </c>
      <c r="H20" s="21">
        <f>COUNTIFS('7月_売上顧客'!$E$5:$E$504,$A20)</f>
        <v/>
      </c>
      <c r="I20" s="21">
        <f>COUNTIFS('8月_売上顧客'!$E$5:$E$504,$A20)</f>
        <v/>
      </c>
      <c r="J20" s="21">
        <f>COUNTIFS('9月_売上顧客'!$E$5:$E$504,$A20)</f>
        <v/>
      </c>
      <c r="K20" s="21">
        <f>COUNTIFS('10月_売上顧客'!$E$5:$E$504,$A20)</f>
        <v/>
      </c>
      <c r="L20" s="21">
        <f>COUNTIFS('11月_売上顧客'!$E$5:$E$504,$A20)</f>
        <v/>
      </c>
      <c r="M20" s="21">
        <f>COUNTIFS('12月_売上顧客'!$E$5:$E$504,$A20)</f>
        <v/>
      </c>
      <c r="N20" s="57">
        <f>SUM(B20:M20)</f>
        <v/>
      </c>
    </row>
    <row r="21">
      <c r="A21" s="51" t="inlineStr">
        <is>
          <t>業務提携</t>
        </is>
      </c>
      <c r="B21" s="21">
        <f>COUNTIFS('1月_売上顧客'!$E$5:$E$504,$A21)</f>
        <v/>
      </c>
      <c r="C21" s="21">
        <f>COUNTIFS('2月_売上顧客'!$E$5:$E$504,$A21)</f>
        <v/>
      </c>
      <c r="D21" s="21">
        <f>COUNTIFS('3月_売上顧客'!$E$5:$E$504,$A21)</f>
        <v/>
      </c>
      <c r="E21" s="21">
        <f>COUNTIFS('4月_売上顧客'!$E$5:$E$504,$A21)</f>
        <v/>
      </c>
      <c r="F21" s="21">
        <f>COUNTIFS('5月_売上顧客'!$E$5:$E$504,$A21)</f>
        <v/>
      </c>
      <c r="G21" s="21">
        <f>COUNTIFS('6月_売上顧客'!$E$5:$E$504,$A21)</f>
        <v/>
      </c>
      <c r="H21" s="21">
        <f>COUNTIFS('7月_売上顧客'!$E$5:$E$504,$A21)</f>
        <v/>
      </c>
      <c r="I21" s="21">
        <f>COUNTIFS('8月_売上顧客'!$E$5:$E$504,$A21)</f>
        <v/>
      </c>
      <c r="J21" s="21">
        <f>COUNTIFS('9月_売上顧客'!$E$5:$E$504,$A21)</f>
        <v/>
      </c>
      <c r="K21" s="21">
        <f>COUNTIFS('10月_売上顧客'!$E$5:$E$504,$A21)</f>
        <v/>
      </c>
      <c r="L21" s="21">
        <f>COUNTIFS('11月_売上顧客'!$E$5:$E$504,$A21)</f>
        <v/>
      </c>
      <c r="M21" s="21">
        <f>COUNTIFS('12月_売上顧客'!$E$5:$E$504,$A21)</f>
        <v/>
      </c>
      <c r="N21" s="57">
        <f>SUM(B21:M21)</f>
        <v/>
      </c>
    </row>
    <row r="22">
      <c r="A22" s="51" t="inlineStr">
        <is>
          <t>スケジュールマッチング</t>
        </is>
      </c>
      <c r="B22" s="21">
        <f>COUNTIFS('1月_売上顧客'!$E$5:$E$504,$A22)</f>
        <v/>
      </c>
      <c r="C22" s="21">
        <f>COUNTIFS('2月_売上顧客'!$E$5:$E$504,$A22)</f>
        <v/>
      </c>
      <c r="D22" s="21">
        <f>COUNTIFS('3月_売上顧客'!$E$5:$E$504,$A22)</f>
        <v/>
      </c>
      <c r="E22" s="21">
        <f>COUNTIFS('4月_売上顧客'!$E$5:$E$504,$A22)</f>
        <v/>
      </c>
      <c r="F22" s="21">
        <f>COUNTIFS('5月_売上顧客'!$E$5:$E$504,$A22)</f>
        <v/>
      </c>
      <c r="G22" s="21">
        <f>COUNTIFS('6月_売上顧客'!$E$5:$E$504,$A22)</f>
        <v/>
      </c>
      <c r="H22" s="21">
        <f>COUNTIFS('7月_売上顧客'!$E$5:$E$504,$A22)</f>
        <v/>
      </c>
      <c r="I22" s="21">
        <f>COUNTIFS('8月_売上顧客'!$E$5:$E$504,$A22)</f>
        <v/>
      </c>
      <c r="J22" s="21">
        <f>COUNTIFS('9月_売上顧客'!$E$5:$E$504,$A22)</f>
        <v/>
      </c>
      <c r="K22" s="21">
        <f>COUNTIFS('10月_売上顧客'!$E$5:$E$504,$A22)</f>
        <v/>
      </c>
      <c r="L22" s="21">
        <f>COUNTIFS('11月_売上顧客'!$E$5:$E$504,$A22)</f>
        <v/>
      </c>
      <c r="M22" s="21">
        <f>COUNTIFS('12月_売上顧客'!$E$5:$E$504,$A22)</f>
        <v/>
      </c>
      <c r="N22" s="57">
        <f>SUM(B22:M22)</f>
        <v/>
      </c>
    </row>
    <row r="23">
      <c r="A23" s="51" t="inlineStr">
        <is>
          <t>おそうじ定期便</t>
        </is>
      </c>
      <c r="B23" s="21">
        <f>COUNTIFS('1月_売上顧客'!$E$5:$E$504,$A23)</f>
        <v/>
      </c>
      <c r="C23" s="21">
        <f>COUNTIFS('2月_売上顧客'!$E$5:$E$504,$A23)</f>
        <v/>
      </c>
      <c r="D23" s="21">
        <f>COUNTIFS('3月_売上顧客'!$E$5:$E$504,$A23)</f>
        <v/>
      </c>
      <c r="E23" s="21">
        <f>COUNTIFS('4月_売上顧客'!$E$5:$E$504,$A23)</f>
        <v/>
      </c>
      <c r="F23" s="21">
        <f>COUNTIFS('5月_売上顧客'!$E$5:$E$504,$A23)</f>
        <v/>
      </c>
      <c r="G23" s="21">
        <f>COUNTIFS('6月_売上顧客'!$E$5:$E$504,$A23)</f>
        <v/>
      </c>
      <c r="H23" s="21">
        <f>COUNTIFS('7月_売上顧客'!$E$5:$E$504,$A23)</f>
        <v/>
      </c>
      <c r="I23" s="21">
        <f>COUNTIFS('8月_売上顧客'!$E$5:$E$504,$A23)</f>
        <v/>
      </c>
      <c r="J23" s="21">
        <f>COUNTIFS('9月_売上顧客'!$E$5:$E$504,$A23)</f>
        <v/>
      </c>
      <c r="K23" s="21">
        <f>COUNTIFS('10月_売上顧客'!$E$5:$E$504,$A23)</f>
        <v/>
      </c>
      <c r="L23" s="21">
        <f>COUNTIFS('11月_売上顧客'!$E$5:$E$504,$A23)</f>
        <v/>
      </c>
      <c r="M23" s="21">
        <f>COUNTIFS('12月_売上顧客'!$E$5:$E$504,$A23)</f>
        <v/>
      </c>
      <c r="N23" s="57">
        <f>SUM(B23:M23)</f>
        <v/>
      </c>
    </row>
    <row r="24">
      <c r="A24" s="51" t="inlineStr">
        <is>
          <t>紹介</t>
        </is>
      </c>
      <c r="B24" s="21">
        <f>COUNTIFS('1月_売上顧客'!$E$5:$E$504,$A24)</f>
        <v/>
      </c>
      <c r="C24" s="21">
        <f>COUNTIFS('2月_売上顧客'!$E$5:$E$504,$A24)</f>
        <v/>
      </c>
      <c r="D24" s="21">
        <f>COUNTIFS('3月_売上顧客'!$E$5:$E$504,$A24)</f>
        <v/>
      </c>
      <c r="E24" s="21">
        <f>COUNTIFS('4月_売上顧客'!$E$5:$E$504,$A24)</f>
        <v/>
      </c>
      <c r="F24" s="21">
        <f>COUNTIFS('5月_売上顧客'!$E$5:$E$504,$A24)</f>
        <v/>
      </c>
      <c r="G24" s="21">
        <f>COUNTIFS('6月_売上顧客'!$E$5:$E$504,$A24)</f>
        <v/>
      </c>
      <c r="H24" s="21">
        <f>COUNTIFS('7月_売上顧客'!$E$5:$E$504,$A24)</f>
        <v/>
      </c>
      <c r="I24" s="21">
        <f>COUNTIFS('8月_売上顧客'!$E$5:$E$504,$A24)</f>
        <v/>
      </c>
      <c r="J24" s="21">
        <f>COUNTIFS('9月_売上顧客'!$E$5:$E$504,$A24)</f>
        <v/>
      </c>
      <c r="K24" s="21">
        <f>COUNTIFS('10月_売上顧客'!$E$5:$E$504,$A24)</f>
        <v/>
      </c>
      <c r="L24" s="21">
        <f>COUNTIFS('11月_売上顧客'!$E$5:$E$504,$A24)</f>
        <v/>
      </c>
      <c r="M24" s="21">
        <f>COUNTIFS('12月_売上顧客'!$E$5:$E$504,$A24)</f>
        <v/>
      </c>
      <c r="N24" s="57">
        <f>SUM(B24:M24)</f>
        <v/>
      </c>
    </row>
    <row r="25">
      <c r="A25" s="51" t="inlineStr">
        <is>
          <t>営業</t>
        </is>
      </c>
      <c r="B25" s="21">
        <f>COUNTIFS('1月_売上顧客'!$E$5:$E$504,$A25)</f>
        <v/>
      </c>
      <c r="C25" s="21">
        <f>COUNTIFS('2月_売上顧客'!$E$5:$E$504,$A25)</f>
        <v/>
      </c>
      <c r="D25" s="21">
        <f>COUNTIFS('3月_売上顧客'!$E$5:$E$504,$A25)</f>
        <v/>
      </c>
      <c r="E25" s="21">
        <f>COUNTIFS('4月_売上顧客'!$E$5:$E$504,$A25)</f>
        <v/>
      </c>
      <c r="F25" s="21">
        <f>COUNTIFS('5月_売上顧客'!$E$5:$E$504,$A25)</f>
        <v/>
      </c>
      <c r="G25" s="21">
        <f>COUNTIFS('6月_売上顧客'!$E$5:$E$504,$A25)</f>
        <v/>
      </c>
      <c r="H25" s="21">
        <f>COUNTIFS('7月_売上顧客'!$E$5:$E$504,$A25)</f>
        <v/>
      </c>
      <c r="I25" s="21">
        <f>COUNTIFS('8月_売上顧客'!$E$5:$E$504,$A25)</f>
        <v/>
      </c>
      <c r="J25" s="21">
        <f>COUNTIFS('9月_売上顧客'!$E$5:$E$504,$A25)</f>
        <v/>
      </c>
      <c r="K25" s="21">
        <f>COUNTIFS('10月_売上顧客'!$E$5:$E$504,$A25)</f>
        <v/>
      </c>
      <c r="L25" s="21">
        <f>COUNTIFS('11月_売上顧客'!$E$5:$E$504,$A25)</f>
        <v/>
      </c>
      <c r="M25" s="21">
        <f>COUNTIFS('12月_売上顧客'!$E$5:$E$504,$A25)</f>
        <v/>
      </c>
      <c r="N25" s="57">
        <f>SUM(B25:M25)</f>
        <v/>
      </c>
    </row>
    <row r="26">
      <c r="A26" s="51" t="inlineStr">
        <is>
          <t>チラシ(OH)</t>
        </is>
      </c>
      <c r="B26" s="21">
        <f>COUNTIFS('1月_売上顧客'!$E$5:$E$504,$A26)</f>
        <v/>
      </c>
      <c r="C26" s="21">
        <f>COUNTIFS('2月_売上顧客'!$E$5:$E$504,$A26)</f>
        <v/>
      </c>
      <c r="D26" s="21">
        <f>COUNTIFS('3月_売上顧客'!$E$5:$E$504,$A26)</f>
        <v/>
      </c>
      <c r="E26" s="21">
        <f>COUNTIFS('4月_売上顧客'!$E$5:$E$504,$A26)</f>
        <v/>
      </c>
      <c r="F26" s="21">
        <f>COUNTIFS('5月_売上顧客'!$E$5:$E$504,$A26)</f>
        <v/>
      </c>
      <c r="G26" s="21">
        <f>COUNTIFS('6月_売上顧客'!$E$5:$E$504,$A26)</f>
        <v/>
      </c>
      <c r="H26" s="21">
        <f>COUNTIFS('7月_売上顧客'!$E$5:$E$504,$A26)</f>
        <v/>
      </c>
      <c r="I26" s="21">
        <f>COUNTIFS('8月_売上顧客'!$E$5:$E$504,$A26)</f>
        <v/>
      </c>
      <c r="J26" s="21">
        <f>COUNTIFS('9月_売上顧客'!$E$5:$E$504,$A26)</f>
        <v/>
      </c>
      <c r="K26" s="21">
        <f>COUNTIFS('10月_売上顧客'!$E$5:$E$504,$A26)</f>
        <v/>
      </c>
      <c r="L26" s="21">
        <f>COUNTIFS('11月_売上顧客'!$E$5:$E$504,$A26)</f>
        <v/>
      </c>
      <c r="M26" s="21">
        <f>COUNTIFS('12月_売上顧客'!$E$5:$E$504,$A26)</f>
        <v/>
      </c>
      <c r="N26" s="57">
        <f>SUM(B26:M26)</f>
        <v/>
      </c>
    </row>
    <row r="27">
      <c r="A27" s="51" t="inlineStr">
        <is>
          <t>HP</t>
        </is>
      </c>
      <c r="B27" s="21">
        <f>COUNTIFS('1月_売上顧客'!$E$5:$E$504,$A27)</f>
        <v/>
      </c>
      <c r="C27" s="21">
        <f>COUNTIFS('2月_売上顧客'!$E$5:$E$504,$A27)</f>
        <v/>
      </c>
      <c r="D27" s="21">
        <f>COUNTIFS('3月_売上顧客'!$E$5:$E$504,$A27)</f>
        <v/>
      </c>
      <c r="E27" s="21">
        <f>COUNTIFS('4月_売上顧客'!$E$5:$E$504,$A27)</f>
        <v/>
      </c>
      <c r="F27" s="21">
        <f>COUNTIFS('5月_売上顧客'!$E$5:$E$504,$A27)</f>
        <v/>
      </c>
      <c r="G27" s="21">
        <f>COUNTIFS('6月_売上顧客'!$E$5:$E$504,$A27)</f>
        <v/>
      </c>
      <c r="H27" s="21">
        <f>COUNTIFS('7月_売上顧客'!$E$5:$E$504,$A27)</f>
        <v/>
      </c>
      <c r="I27" s="21">
        <f>COUNTIFS('8月_売上顧客'!$E$5:$E$504,$A27)</f>
        <v/>
      </c>
      <c r="J27" s="21">
        <f>COUNTIFS('9月_売上顧客'!$E$5:$E$504,$A27)</f>
        <v/>
      </c>
      <c r="K27" s="21">
        <f>COUNTIFS('10月_売上顧客'!$E$5:$E$504,$A27)</f>
        <v/>
      </c>
      <c r="L27" s="21">
        <f>COUNTIFS('11月_売上顧客'!$E$5:$E$504,$A27)</f>
        <v/>
      </c>
      <c r="M27" s="21">
        <f>COUNTIFS('12月_売上顧客'!$E$5:$E$504,$A27)</f>
        <v/>
      </c>
      <c r="N27" s="57">
        <f>SUM(B27:M27)</f>
        <v/>
      </c>
    </row>
    <row r="28">
      <c r="A28" s="51" t="inlineStr">
        <is>
          <t>入札案件</t>
        </is>
      </c>
      <c r="B28" s="21">
        <f>COUNTIFS('1月_売上顧客'!$E$5:$E$504,$A28)</f>
        <v/>
      </c>
      <c r="C28" s="21">
        <f>COUNTIFS('2月_売上顧客'!$E$5:$E$504,$A28)</f>
        <v/>
      </c>
      <c r="D28" s="21">
        <f>COUNTIFS('3月_売上顧客'!$E$5:$E$504,$A28)</f>
        <v/>
      </c>
      <c r="E28" s="21">
        <f>COUNTIFS('4月_売上顧客'!$E$5:$E$504,$A28)</f>
        <v/>
      </c>
      <c r="F28" s="21">
        <f>COUNTIFS('5月_売上顧客'!$E$5:$E$504,$A28)</f>
        <v/>
      </c>
      <c r="G28" s="21">
        <f>COUNTIFS('6月_売上顧客'!$E$5:$E$504,$A28)</f>
        <v/>
      </c>
      <c r="H28" s="21">
        <f>COUNTIFS('7月_売上顧客'!$E$5:$E$504,$A28)</f>
        <v/>
      </c>
      <c r="I28" s="21">
        <f>COUNTIFS('8月_売上顧客'!$E$5:$E$504,$A28)</f>
        <v/>
      </c>
      <c r="J28" s="21">
        <f>COUNTIFS('9月_売上顧客'!$E$5:$E$504,$A28)</f>
        <v/>
      </c>
      <c r="K28" s="21">
        <f>COUNTIFS('10月_売上顧客'!$E$5:$E$504,$A28)</f>
        <v/>
      </c>
      <c r="L28" s="21">
        <f>COUNTIFS('11月_売上顧客'!$E$5:$E$504,$A28)</f>
        <v/>
      </c>
      <c r="M28" s="21">
        <f>COUNTIFS('12月_売上顧客'!$E$5:$E$504,$A28)</f>
        <v/>
      </c>
      <c r="N28" s="57">
        <f>SUM(B28:M28)</f>
        <v/>
      </c>
    </row>
    <row r="29">
      <c r="A29" s="51" t="inlineStr">
        <is>
          <t>チラシ(本舗)</t>
        </is>
      </c>
      <c r="B29" s="21">
        <f>COUNTIFS('1月_売上顧客'!$E$5:$E$504,$A29)</f>
        <v/>
      </c>
      <c r="C29" s="21">
        <f>COUNTIFS('2月_売上顧客'!$E$5:$E$504,$A29)</f>
        <v/>
      </c>
      <c r="D29" s="21">
        <f>COUNTIFS('3月_売上顧客'!$E$5:$E$504,$A29)</f>
        <v/>
      </c>
      <c r="E29" s="21">
        <f>COUNTIFS('4月_売上顧客'!$E$5:$E$504,$A29)</f>
        <v/>
      </c>
      <c r="F29" s="21">
        <f>COUNTIFS('5月_売上顧客'!$E$5:$E$504,$A29)</f>
        <v/>
      </c>
      <c r="G29" s="21">
        <f>COUNTIFS('6月_売上顧客'!$E$5:$E$504,$A29)</f>
        <v/>
      </c>
      <c r="H29" s="21">
        <f>COUNTIFS('7月_売上顧客'!$E$5:$E$504,$A29)</f>
        <v/>
      </c>
      <c r="I29" s="21">
        <f>COUNTIFS('8月_売上顧客'!$E$5:$E$504,$A29)</f>
        <v/>
      </c>
      <c r="J29" s="21">
        <f>COUNTIFS('9月_売上顧客'!$E$5:$E$504,$A29)</f>
        <v/>
      </c>
      <c r="K29" s="21">
        <f>COUNTIFS('10月_売上顧客'!$E$5:$E$504,$A29)</f>
        <v/>
      </c>
      <c r="L29" s="21">
        <f>COUNTIFS('11月_売上顧客'!$E$5:$E$504,$A29)</f>
        <v/>
      </c>
      <c r="M29" s="21">
        <f>COUNTIFS('12月_売上顧客'!$E$5:$E$504,$A29)</f>
        <v/>
      </c>
      <c r="N29" s="57">
        <f>SUM(B29:M29)</f>
        <v/>
      </c>
    </row>
    <row r="30">
      <c r="A30" s="51" t="inlineStr">
        <is>
          <t>SMS</t>
        </is>
      </c>
      <c r="B30" s="21">
        <f>COUNTIFS('1月_売上顧客'!$E$5:$E$504,$A30)</f>
        <v/>
      </c>
      <c r="C30" s="21">
        <f>COUNTIFS('2月_売上顧客'!$E$5:$E$504,$A30)</f>
        <v/>
      </c>
      <c r="D30" s="21">
        <f>COUNTIFS('3月_売上顧客'!$E$5:$E$504,$A30)</f>
        <v/>
      </c>
      <c r="E30" s="21">
        <f>COUNTIFS('4月_売上顧客'!$E$5:$E$504,$A30)</f>
        <v/>
      </c>
      <c r="F30" s="21">
        <f>COUNTIFS('5月_売上顧客'!$E$5:$E$504,$A30)</f>
        <v/>
      </c>
      <c r="G30" s="21">
        <f>COUNTIFS('6月_売上顧客'!$E$5:$E$504,$A30)</f>
        <v/>
      </c>
      <c r="H30" s="21">
        <f>COUNTIFS('7月_売上顧客'!$E$5:$E$504,$A30)</f>
        <v/>
      </c>
      <c r="I30" s="21">
        <f>COUNTIFS('8月_売上顧客'!$E$5:$E$504,$A30)</f>
        <v/>
      </c>
      <c r="J30" s="21">
        <f>COUNTIFS('9月_売上顧客'!$E$5:$E$504,$A30)</f>
        <v/>
      </c>
      <c r="K30" s="21">
        <f>COUNTIFS('10月_売上顧客'!$E$5:$E$504,$A30)</f>
        <v/>
      </c>
      <c r="L30" s="21">
        <f>COUNTIFS('11月_売上顧客'!$E$5:$E$504,$A30)</f>
        <v/>
      </c>
      <c r="M30" s="21">
        <f>COUNTIFS('12月_売上顧客'!$E$5:$E$504,$A30)</f>
        <v/>
      </c>
      <c r="N30" s="57">
        <f>SUM(B30:M30)</f>
        <v/>
      </c>
    </row>
    <row r="31">
      <c r="A31" s="51" t="inlineStr">
        <is>
          <t>LP</t>
        </is>
      </c>
      <c r="B31" s="21">
        <f>COUNTIFS('1月_売上顧客'!$E$5:$E$504,$A31)</f>
        <v/>
      </c>
      <c r="C31" s="21">
        <f>COUNTIFS('2月_売上顧客'!$E$5:$E$504,$A31)</f>
        <v/>
      </c>
      <c r="D31" s="21">
        <f>COUNTIFS('3月_売上顧客'!$E$5:$E$504,$A31)</f>
        <v/>
      </c>
      <c r="E31" s="21">
        <f>COUNTIFS('4月_売上顧客'!$E$5:$E$504,$A31)</f>
        <v/>
      </c>
      <c r="F31" s="21">
        <f>COUNTIFS('5月_売上顧客'!$E$5:$E$504,$A31)</f>
        <v/>
      </c>
      <c r="G31" s="21">
        <f>COUNTIFS('6月_売上顧客'!$E$5:$E$504,$A31)</f>
        <v/>
      </c>
      <c r="H31" s="21">
        <f>COUNTIFS('7月_売上顧客'!$E$5:$E$504,$A31)</f>
        <v/>
      </c>
      <c r="I31" s="21">
        <f>COUNTIFS('8月_売上顧客'!$E$5:$E$504,$A31)</f>
        <v/>
      </c>
      <c r="J31" s="21">
        <f>COUNTIFS('9月_売上顧客'!$E$5:$E$504,$A31)</f>
        <v/>
      </c>
      <c r="K31" s="21">
        <f>COUNTIFS('10月_売上顧客'!$E$5:$E$504,$A31)</f>
        <v/>
      </c>
      <c r="L31" s="21">
        <f>COUNTIFS('11月_売上顧客'!$E$5:$E$504,$A31)</f>
        <v/>
      </c>
      <c r="M31" s="21">
        <f>COUNTIFS('12月_売上顧客'!$E$5:$E$504,$A31)</f>
        <v/>
      </c>
      <c r="N31" s="57">
        <f>SUM(B31:M31)</f>
        <v/>
      </c>
    </row>
    <row r="32">
      <c r="A32" s="51" t="inlineStr">
        <is>
          <t>SNS</t>
        </is>
      </c>
      <c r="B32" s="21">
        <f>COUNTIFS('1月_売上顧客'!$E$5:$E$504,$A32)</f>
        <v/>
      </c>
      <c r="C32" s="21">
        <f>COUNTIFS('2月_売上顧客'!$E$5:$E$504,$A32)</f>
        <v/>
      </c>
      <c r="D32" s="21">
        <f>COUNTIFS('3月_売上顧客'!$E$5:$E$504,$A32)</f>
        <v/>
      </c>
      <c r="E32" s="21">
        <f>COUNTIFS('4月_売上顧客'!$E$5:$E$504,$A32)</f>
        <v/>
      </c>
      <c r="F32" s="21">
        <f>COUNTIFS('5月_売上顧客'!$E$5:$E$504,$A32)</f>
        <v/>
      </c>
      <c r="G32" s="21">
        <f>COUNTIFS('6月_売上顧客'!$E$5:$E$504,$A32)</f>
        <v/>
      </c>
      <c r="H32" s="21">
        <f>COUNTIFS('7月_売上顧客'!$E$5:$E$504,$A32)</f>
        <v/>
      </c>
      <c r="I32" s="21">
        <f>COUNTIFS('8月_売上顧客'!$E$5:$E$504,$A32)</f>
        <v/>
      </c>
      <c r="J32" s="21">
        <f>COUNTIFS('9月_売上顧客'!$E$5:$E$504,$A32)</f>
        <v/>
      </c>
      <c r="K32" s="21">
        <f>COUNTIFS('10月_売上顧客'!$E$5:$E$504,$A32)</f>
        <v/>
      </c>
      <c r="L32" s="21">
        <f>COUNTIFS('11月_売上顧客'!$E$5:$E$504,$A32)</f>
        <v/>
      </c>
      <c r="M32" s="21">
        <f>COUNTIFS('12月_売上顧客'!$E$5:$E$504,$A32)</f>
        <v/>
      </c>
      <c r="N32" s="57">
        <f>SUM(B32:M32)</f>
        <v/>
      </c>
    </row>
    <row r="33">
      <c r="A33" s="51" t="inlineStr">
        <is>
          <t>GBP(地図検索)</t>
        </is>
      </c>
      <c r="B33" s="21">
        <f>COUNTIFS('1月_売上顧客'!$E$5:$E$504,$A33)</f>
        <v/>
      </c>
      <c r="C33" s="21">
        <f>COUNTIFS('2月_売上顧客'!$E$5:$E$504,$A33)</f>
        <v/>
      </c>
      <c r="D33" s="21">
        <f>COUNTIFS('3月_売上顧客'!$E$5:$E$504,$A33)</f>
        <v/>
      </c>
      <c r="E33" s="21">
        <f>COUNTIFS('4月_売上顧客'!$E$5:$E$504,$A33)</f>
        <v/>
      </c>
      <c r="F33" s="21">
        <f>COUNTIFS('5月_売上顧客'!$E$5:$E$504,$A33)</f>
        <v/>
      </c>
      <c r="G33" s="21">
        <f>COUNTIFS('6月_売上顧客'!$E$5:$E$504,$A33)</f>
        <v/>
      </c>
      <c r="H33" s="21">
        <f>COUNTIFS('7月_売上顧客'!$E$5:$E$504,$A33)</f>
        <v/>
      </c>
      <c r="I33" s="21">
        <f>COUNTIFS('8月_売上顧客'!$E$5:$E$504,$A33)</f>
        <v/>
      </c>
      <c r="J33" s="21">
        <f>COUNTIFS('9月_売上顧客'!$E$5:$E$504,$A33)</f>
        <v/>
      </c>
      <c r="K33" s="21">
        <f>COUNTIFS('10月_売上顧客'!$E$5:$E$504,$A33)</f>
        <v/>
      </c>
      <c r="L33" s="21">
        <f>COUNTIFS('11月_売上顧客'!$E$5:$E$504,$A33)</f>
        <v/>
      </c>
      <c r="M33" s="21">
        <f>COUNTIFS('12月_売上顧客'!$E$5:$E$504,$A33)</f>
        <v/>
      </c>
      <c r="N33" s="57">
        <f>SUM(B33:M33)</f>
        <v/>
      </c>
    </row>
    <row r="34">
      <c r="A34" s="51" t="inlineStr">
        <is>
          <t>公式LINE</t>
        </is>
      </c>
      <c r="B34" s="21">
        <f>COUNTIFS('1月_売上顧客'!$E$5:$E$504,$A34)</f>
        <v/>
      </c>
      <c r="C34" s="21">
        <f>COUNTIFS('2月_売上顧客'!$E$5:$E$504,$A34)</f>
        <v/>
      </c>
      <c r="D34" s="21">
        <f>COUNTIFS('3月_売上顧客'!$E$5:$E$504,$A34)</f>
        <v/>
      </c>
      <c r="E34" s="21">
        <f>COUNTIFS('4月_売上顧客'!$E$5:$E$504,$A34)</f>
        <v/>
      </c>
      <c r="F34" s="21">
        <f>COUNTIFS('5月_売上顧客'!$E$5:$E$504,$A34)</f>
        <v/>
      </c>
      <c r="G34" s="21">
        <f>COUNTIFS('6月_売上顧客'!$E$5:$E$504,$A34)</f>
        <v/>
      </c>
      <c r="H34" s="21">
        <f>COUNTIFS('7月_売上顧客'!$E$5:$E$504,$A34)</f>
        <v/>
      </c>
      <c r="I34" s="21">
        <f>COUNTIFS('8月_売上顧客'!$E$5:$E$504,$A34)</f>
        <v/>
      </c>
      <c r="J34" s="21">
        <f>COUNTIFS('9月_売上顧客'!$E$5:$E$504,$A34)</f>
        <v/>
      </c>
      <c r="K34" s="21">
        <f>COUNTIFS('10月_売上顧客'!$E$5:$E$504,$A34)</f>
        <v/>
      </c>
      <c r="L34" s="21">
        <f>COUNTIFS('11月_売上顧客'!$E$5:$E$504,$A34)</f>
        <v/>
      </c>
      <c r="M34" s="21">
        <f>COUNTIFS('12月_売上顧客'!$E$5:$E$504,$A34)</f>
        <v/>
      </c>
      <c r="N34" s="57">
        <f>SUM(B34:M34)</f>
        <v/>
      </c>
    </row>
    <row r="35">
      <c r="A35" s="51" t="inlineStr">
        <is>
          <t>アフィリエイト</t>
        </is>
      </c>
      <c r="B35" s="21">
        <f>COUNTIFS('1月_売上顧客'!$E$5:$E$504,$A35)</f>
        <v/>
      </c>
      <c r="C35" s="21">
        <f>COUNTIFS('2月_売上顧客'!$E$5:$E$504,$A35)</f>
        <v/>
      </c>
      <c r="D35" s="21">
        <f>COUNTIFS('3月_売上顧客'!$E$5:$E$504,$A35)</f>
        <v/>
      </c>
      <c r="E35" s="21">
        <f>COUNTIFS('4月_売上顧客'!$E$5:$E$504,$A35)</f>
        <v/>
      </c>
      <c r="F35" s="21">
        <f>COUNTIFS('5月_売上顧客'!$E$5:$E$504,$A35)</f>
        <v/>
      </c>
      <c r="G35" s="21">
        <f>COUNTIFS('6月_売上顧客'!$E$5:$E$504,$A35)</f>
        <v/>
      </c>
      <c r="H35" s="21">
        <f>COUNTIFS('7月_売上顧客'!$E$5:$E$504,$A35)</f>
        <v/>
      </c>
      <c r="I35" s="21">
        <f>COUNTIFS('8月_売上顧客'!$E$5:$E$504,$A35)</f>
        <v/>
      </c>
      <c r="J35" s="21">
        <f>COUNTIFS('9月_売上顧客'!$E$5:$E$504,$A35)</f>
        <v/>
      </c>
      <c r="K35" s="21">
        <f>COUNTIFS('10月_売上顧客'!$E$5:$E$504,$A35)</f>
        <v/>
      </c>
      <c r="L35" s="21">
        <f>COUNTIFS('11月_売上顧客'!$E$5:$E$504,$A35)</f>
        <v/>
      </c>
      <c r="M35" s="21">
        <f>COUNTIFS('12月_売上顧客'!$E$5:$E$504,$A35)</f>
        <v/>
      </c>
      <c r="N35" s="57">
        <f>SUM(B35:M35)</f>
        <v/>
      </c>
    </row>
    <row r="36">
      <c r="A36" s="51" t="inlineStr">
        <is>
          <t>LINE/SMS再販</t>
        </is>
      </c>
      <c r="B36" s="21">
        <f>COUNTIFS('1月_売上顧客'!$E$5:$E$504,$A36)</f>
        <v/>
      </c>
      <c r="C36" s="21">
        <f>COUNTIFS('2月_売上顧客'!$E$5:$E$504,$A36)</f>
        <v/>
      </c>
      <c r="D36" s="21">
        <f>COUNTIFS('3月_売上顧客'!$E$5:$E$504,$A36)</f>
        <v/>
      </c>
      <c r="E36" s="21">
        <f>COUNTIFS('4月_売上顧客'!$E$5:$E$504,$A36)</f>
        <v/>
      </c>
      <c r="F36" s="21">
        <f>COUNTIFS('5月_売上顧客'!$E$5:$E$504,$A36)</f>
        <v/>
      </c>
      <c r="G36" s="21">
        <f>COUNTIFS('6月_売上顧客'!$E$5:$E$504,$A36)</f>
        <v/>
      </c>
      <c r="H36" s="21">
        <f>COUNTIFS('7月_売上顧客'!$E$5:$E$504,$A36)</f>
        <v/>
      </c>
      <c r="I36" s="21">
        <f>COUNTIFS('8月_売上顧客'!$E$5:$E$504,$A36)</f>
        <v/>
      </c>
      <c r="J36" s="21">
        <f>COUNTIFS('9月_売上顧客'!$E$5:$E$504,$A36)</f>
        <v/>
      </c>
      <c r="K36" s="21">
        <f>COUNTIFS('10月_売上顧客'!$E$5:$E$504,$A36)</f>
        <v/>
      </c>
      <c r="L36" s="21">
        <f>COUNTIFS('11月_売上顧客'!$E$5:$E$504,$A36)</f>
        <v/>
      </c>
      <c r="M36" s="21">
        <f>COUNTIFS('12月_売上顧客'!$E$5:$E$504,$A36)</f>
        <v/>
      </c>
      <c r="N36" s="57">
        <f>SUM(B36:M36)</f>
        <v/>
      </c>
    </row>
    <row r="37">
      <c r="A37" s="51" t="inlineStr">
        <is>
          <t>ギフト</t>
        </is>
      </c>
      <c r="B37" s="21">
        <f>COUNTIFS('1月_売上顧客'!$E$5:$E$504,$A37)</f>
        <v/>
      </c>
      <c r="C37" s="21">
        <f>COUNTIFS('2月_売上顧客'!$E$5:$E$504,$A37)</f>
        <v/>
      </c>
      <c r="D37" s="21">
        <f>COUNTIFS('3月_売上顧客'!$E$5:$E$504,$A37)</f>
        <v/>
      </c>
      <c r="E37" s="21">
        <f>COUNTIFS('4月_売上顧客'!$E$5:$E$504,$A37)</f>
        <v/>
      </c>
      <c r="F37" s="21">
        <f>COUNTIFS('5月_売上顧客'!$E$5:$E$504,$A37)</f>
        <v/>
      </c>
      <c r="G37" s="21">
        <f>COUNTIFS('6月_売上顧客'!$E$5:$E$504,$A37)</f>
        <v/>
      </c>
      <c r="H37" s="21">
        <f>COUNTIFS('7月_売上顧客'!$E$5:$E$504,$A37)</f>
        <v/>
      </c>
      <c r="I37" s="21">
        <f>COUNTIFS('8月_売上顧客'!$E$5:$E$504,$A37)</f>
        <v/>
      </c>
      <c r="J37" s="21">
        <f>COUNTIFS('9月_売上顧客'!$E$5:$E$504,$A37)</f>
        <v/>
      </c>
      <c r="K37" s="21">
        <f>COUNTIFS('10月_売上顧客'!$E$5:$E$504,$A37)</f>
        <v/>
      </c>
      <c r="L37" s="21">
        <f>COUNTIFS('11月_売上顧客'!$E$5:$E$504,$A37)</f>
        <v/>
      </c>
      <c r="M37" s="21">
        <f>COUNTIFS('12月_売上顧客'!$E$5:$E$504,$A37)</f>
        <v/>
      </c>
      <c r="N37" s="57">
        <f>SUM(B37:M37)</f>
        <v/>
      </c>
    </row>
    <row r="38">
      <c r="A38" s="51" t="inlineStr">
        <is>
          <t>広告</t>
        </is>
      </c>
      <c r="B38" s="21">
        <f>COUNTIFS('1月_売上顧客'!$E$5:$E$504,$A38)</f>
        <v/>
      </c>
      <c r="C38" s="21">
        <f>COUNTIFS('2月_売上顧客'!$E$5:$E$504,$A38)</f>
        <v/>
      </c>
      <c r="D38" s="21">
        <f>COUNTIFS('3月_売上顧客'!$E$5:$E$504,$A38)</f>
        <v/>
      </c>
      <c r="E38" s="21">
        <f>COUNTIFS('4月_売上顧客'!$E$5:$E$504,$A38)</f>
        <v/>
      </c>
      <c r="F38" s="21">
        <f>COUNTIFS('5月_売上顧客'!$E$5:$E$504,$A38)</f>
        <v/>
      </c>
      <c r="G38" s="21">
        <f>COUNTIFS('6月_売上顧客'!$E$5:$E$504,$A38)</f>
        <v/>
      </c>
      <c r="H38" s="21">
        <f>COUNTIFS('7月_売上顧客'!$E$5:$E$504,$A38)</f>
        <v/>
      </c>
      <c r="I38" s="21">
        <f>COUNTIFS('8月_売上顧客'!$E$5:$E$504,$A38)</f>
        <v/>
      </c>
      <c r="J38" s="21">
        <f>COUNTIFS('9月_売上顧客'!$E$5:$E$504,$A38)</f>
        <v/>
      </c>
      <c r="K38" s="21">
        <f>COUNTIFS('10月_売上顧客'!$E$5:$E$504,$A38)</f>
        <v/>
      </c>
      <c r="L38" s="21">
        <f>COUNTIFS('11月_売上顧客'!$E$5:$E$504,$A38)</f>
        <v/>
      </c>
      <c r="M38" s="21">
        <f>COUNTIFS('12月_売上顧客'!$E$5:$E$504,$A38)</f>
        <v/>
      </c>
      <c r="N38" s="57">
        <f>SUM(B38:M38)</f>
        <v/>
      </c>
    </row>
    <row r="39">
      <c r="A39" s="51" t="inlineStr">
        <is>
          <t>その他</t>
        </is>
      </c>
      <c r="B39" s="21">
        <f>COUNTIFS('1月_売上顧客'!$E$5:$E$504,$A39)</f>
        <v/>
      </c>
      <c r="C39" s="21">
        <f>COUNTIFS('2月_売上顧客'!$E$5:$E$504,$A39)</f>
        <v/>
      </c>
      <c r="D39" s="21">
        <f>COUNTIFS('3月_売上顧客'!$E$5:$E$504,$A39)</f>
        <v/>
      </c>
      <c r="E39" s="21">
        <f>COUNTIFS('4月_売上顧客'!$E$5:$E$504,$A39)</f>
        <v/>
      </c>
      <c r="F39" s="21">
        <f>COUNTIFS('5月_売上顧客'!$E$5:$E$504,$A39)</f>
        <v/>
      </c>
      <c r="G39" s="21">
        <f>COUNTIFS('6月_売上顧客'!$E$5:$E$504,$A39)</f>
        <v/>
      </c>
      <c r="H39" s="21">
        <f>COUNTIFS('7月_売上顧客'!$E$5:$E$504,$A39)</f>
        <v/>
      </c>
      <c r="I39" s="21">
        <f>COUNTIFS('8月_売上顧客'!$E$5:$E$504,$A39)</f>
        <v/>
      </c>
      <c r="J39" s="21">
        <f>COUNTIFS('9月_売上顧客'!$E$5:$E$504,$A39)</f>
        <v/>
      </c>
      <c r="K39" s="21">
        <f>COUNTIFS('10月_売上顧客'!$E$5:$E$504,$A39)</f>
        <v/>
      </c>
      <c r="L39" s="21">
        <f>COUNTIFS('11月_売上顧客'!$E$5:$E$504,$A39)</f>
        <v/>
      </c>
      <c r="M39" s="21">
        <f>COUNTIFS('12月_売上顧客'!$E$5:$E$504,$A39)</f>
        <v/>
      </c>
      <c r="N39" s="57">
        <f>SUM(B39:M39)</f>
        <v/>
      </c>
    </row>
    <row r="40">
      <c r="A40" s="13" t="inlineStr">
        <is>
          <t>合計</t>
        </is>
      </c>
      <c r="B40" s="57">
        <f>SUM(B18:B39)</f>
        <v/>
      </c>
      <c r="C40" s="57">
        <f>SUM(C18:C39)</f>
        <v/>
      </c>
      <c r="D40" s="57">
        <f>SUM(D18:D39)</f>
        <v/>
      </c>
      <c r="E40" s="57">
        <f>SUM(E18:E39)</f>
        <v/>
      </c>
      <c r="F40" s="57">
        <f>SUM(F18:F39)</f>
        <v/>
      </c>
      <c r="G40" s="57">
        <f>SUM(G18:G39)</f>
        <v/>
      </c>
      <c r="H40" s="57">
        <f>SUM(H18:H39)</f>
        <v/>
      </c>
      <c r="I40" s="57">
        <f>SUM(I18:I39)</f>
        <v/>
      </c>
      <c r="J40" s="57">
        <f>SUM(J18:J39)</f>
        <v/>
      </c>
      <c r="K40" s="57">
        <f>SUM(K18:K39)</f>
        <v/>
      </c>
      <c r="L40" s="57">
        <f>SUM(L18:L39)</f>
        <v/>
      </c>
      <c r="M40" s="57">
        <f>SUM(M18:M39)</f>
        <v/>
      </c>
      <c r="N40" s="57">
        <f>SUM(N18:N39)</f>
        <v/>
      </c>
    </row>
    <row r="42">
      <c r="A42" s="11" t="inlineStr">
        <is>
          <t>▼ 流入経路別 売上</t>
        </is>
      </c>
    </row>
    <row r="43" ht="30" customHeight="1">
      <c r="A43" s="3" t="inlineStr">
        <is>
          <t>流入経路</t>
        </is>
      </c>
      <c r="B43" s="3" t="inlineStr">
        <is>
          <t>1月</t>
        </is>
      </c>
      <c r="C43" s="3" t="inlineStr">
        <is>
          <t>2月</t>
        </is>
      </c>
      <c r="D43" s="3" t="inlineStr">
        <is>
          <t>3月</t>
        </is>
      </c>
      <c r="E43" s="3" t="inlineStr">
        <is>
          <t>4月</t>
        </is>
      </c>
      <c r="F43" s="3" t="inlineStr">
        <is>
          <t>5月</t>
        </is>
      </c>
      <c r="G43" s="3" t="inlineStr">
        <is>
          <t>6月</t>
        </is>
      </c>
      <c r="H43" s="3" t="inlineStr">
        <is>
          <t>7月</t>
        </is>
      </c>
      <c r="I43" s="3" t="inlineStr">
        <is>
          <t>8月</t>
        </is>
      </c>
      <c r="J43" s="3" t="inlineStr">
        <is>
          <t>9月</t>
        </is>
      </c>
      <c r="K43" s="3" t="inlineStr">
        <is>
          <t>10月</t>
        </is>
      </c>
      <c r="L43" s="3" t="inlineStr">
        <is>
          <t>11月</t>
        </is>
      </c>
      <c r="M43" s="3" t="inlineStr">
        <is>
          <t>12月</t>
        </is>
      </c>
      <c r="N43" s="3" t="inlineStr">
        <is>
          <t>年計</t>
        </is>
      </c>
    </row>
    <row r="44">
      <c r="A44" s="51" t="inlineStr">
        <is>
          <t>リピート</t>
        </is>
      </c>
      <c r="B44" s="14">
        <f>SUMIFS('1月_売上顧客'!$L$5:$L$504,'1月_売上顧客'!$E$5:$E$504,$A44)</f>
        <v/>
      </c>
      <c r="C44" s="14">
        <f>SUMIFS('2月_売上顧客'!$L$5:$L$504,'2月_売上顧客'!$E$5:$E$504,$A44)</f>
        <v/>
      </c>
      <c r="D44" s="14">
        <f>SUMIFS('3月_売上顧客'!$L$5:$L$504,'3月_売上顧客'!$E$5:$E$504,$A44)</f>
        <v/>
      </c>
      <c r="E44" s="14">
        <f>SUMIFS('4月_売上顧客'!$L$5:$L$504,'4月_売上顧客'!$E$5:$E$504,$A44)</f>
        <v/>
      </c>
      <c r="F44" s="14">
        <f>SUMIFS('5月_売上顧客'!$L$5:$L$504,'5月_売上顧客'!$E$5:$E$504,$A44)</f>
        <v/>
      </c>
      <c r="G44" s="14">
        <f>SUMIFS('6月_売上顧客'!$L$5:$L$504,'6月_売上顧客'!$E$5:$E$504,$A44)</f>
        <v/>
      </c>
      <c r="H44" s="14">
        <f>SUMIFS('7月_売上顧客'!$L$5:$L$504,'7月_売上顧客'!$E$5:$E$504,$A44)</f>
        <v/>
      </c>
      <c r="I44" s="14">
        <f>SUMIFS('8月_売上顧客'!$L$5:$L$504,'8月_売上顧客'!$E$5:$E$504,$A44)</f>
        <v/>
      </c>
      <c r="J44" s="14">
        <f>SUMIFS('9月_売上顧客'!$L$5:$L$504,'9月_売上顧客'!$E$5:$E$504,$A44)</f>
        <v/>
      </c>
      <c r="K44" s="14">
        <f>SUMIFS('10月_売上顧客'!$L$5:$L$504,'10月_売上顧客'!$E$5:$E$504,$A44)</f>
        <v/>
      </c>
      <c r="L44" s="14">
        <f>SUMIFS('11月_売上顧客'!$L$5:$L$504,'11月_売上顧客'!$E$5:$E$504,$A44)</f>
        <v/>
      </c>
      <c r="M44" s="14">
        <f>SUMIFS('12月_売上顧客'!$L$5:$L$504,'12月_売上顧客'!$E$5:$E$504,$A44)</f>
        <v/>
      </c>
      <c r="N44" s="54">
        <f>SUM(B44:M44)</f>
        <v/>
      </c>
    </row>
    <row r="45">
      <c r="A45" s="51" t="inlineStr">
        <is>
          <t>早期予約</t>
        </is>
      </c>
      <c r="B45" s="14">
        <f>SUMIFS('1月_売上顧客'!$L$5:$L$504,'1月_売上顧客'!$E$5:$E$504,$A45)</f>
        <v/>
      </c>
      <c r="C45" s="14">
        <f>SUMIFS('2月_売上顧客'!$L$5:$L$504,'2月_売上顧客'!$E$5:$E$504,$A45)</f>
        <v/>
      </c>
      <c r="D45" s="14">
        <f>SUMIFS('3月_売上顧客'!$L$5:$L$504,'3月_売上顧客'!$E$5:$E$504,$A45)</f>
        <v/>
      </c>
      <c r="E45" s="14">
        <f>SUMIFS('4月_売上顧客'!$L$5:$L$504,'4月_売上顧客'!$E$5:$E$504,$A45)</f>
        <v/>
      </c>
      <c r="F45" s="14">
        <f>SUMIFS('5月_売上顧客'!$L$5:$L$504,'5月_売上顧客'!$E$5:$E$504,$A45)</f>
        <v/>
      </c>
      <c r="G45" s="14">
        <f>SUMIFS('6月_売上顧客'!$L$5:$L$504,'6月_売上顧客'!$E$5:$E$504,$A45)</f>
        <v/>
      </c>
      <c r="H45" s="14">
        <f>SUMIFS('7月_売上顧客'!$L$5:$L$504,'7月_売上顧客'!$E$5:$E$504,$A45)</f>
        <v/>
      </c>
      <c r="I45" s="14">
        <f>SUMIFS('8月_売上顧客'!$L$5:$L$504,'8月_売上顧客'!$E$5:$E$504,$A45)</f>
        <v/>
      </c>
      <c r="J45" s="14">
        <f>SUMIFS('9月_売上顧客'!$L$5:$L$504,'9月_売上顧客'!$E$5:$E$504,$A45)</f>
        <v/>
      </c>
      <c r="K45" s="14">
        <f>SUMIFS('10月_売上顧客'!$L$5:$L$504,'10月_売上顧客'!$E$5:$E$504,$A45)</f>
        <v/>
      </c>
      <c r="L45" s="14">
        <f>SUMIFS('11月_売上顧客'!$L$5:$L$504,'11月_売上顧客'!$E$5:$E$504,$A45)</f>
        <v/>
      </c>
      <c r="M45" s="14">
        <f>SUMIFS('12月_売上顧客'!$L$5:$L$504,'12月_売上顧客'!$E$5:$E$504,$A45)</f>
        <v/>
      </c>
      <c r="N45" s="54">
        <f>SUM(B45:M45)</f>
        <v/>
      </c>
    </row>
    <row r="46">
      <c r="A46" s="51" t="inlineStr">
        <is>
          <t>楽ラクーン</t>
        </is>
      </c>
      <c r="B46" s="14">
        <f>SUMIFS('1月_売上顧客'!$L$5:$L$504,'1月_売上顧客'!$E$5:$E$504,$A46)</f>
        <v/>
      </c>
      <c r="C46" s="14">
        <f>SUMIFS('2月_売上顧客'!$L$5:$L$504,'2月_売上顧客'!$E$5:$E$504,$A46)</f>
        <v/>
      </c>
      <c r="D46" s="14">
        <f>SUMIFS('3月_売上顧客'!$L$5:$L$504,'3月_売上顧客'!$E$5:$E$504,$A46)</f>
        <v/>
      </c>
      <c r="E46" s="14">
        <f>SUMIFS('4月_売上顧客'!$L$5:$L$504,'4月_売上顧客'!$E$5:$E$504,$A46)</f>
        <v/>
      </c>
      <c r="F46" s="14">
        <f>SUMIFS('5月_売上顧客'!$L$5:$L$504,'5月_売上顧客'!$E$5:$E$504,$A46)</f>
        <v/>
      </c>
      <c r="G46" s="14">
        <f>SUMIFS('6月_売上顧客'!$L$5:$L$504,'6月_売上顧客'!$E$5:$E$504,$A46)</f>
        <v/>
      </c>
      <c r="H46" s="14">
        <f>SUMIFS('7月_売上顧客'!$L$5:$L$504,'7月_売上顧客'!$E$5:$E$504,$A46)</f>
        <v/>
      </c>
      <c r="I46" s="14">
        <f>SUMIFS('8月_売上顧客'!$L$5:$L$504,'8月_売上顧客'!$E$5:$E$504,$A46)</f>
        <v/>
      </c>
      <c r="J46" s="14">
        <f>SUMIFS('9月_売上顧客'!$L$5:$L$504,'9月_売上顧客'!$E$5:$E$504,$A46)</f>
        <v/>
      </c>
      <c r="K46" s="14">
        <f>SUMIFS('10月_売上顧客'!$L$5:$L$504,'10月_売上顧客'!$E$5:$E$504,$A46)</f>
        <v/>
      </c>
      <c r="L46" s="14">
        <f>SUMIFS('11月_売上顧客'!$L$5:$L$504,'11月_売上顧客'!$E$5:$E$504,$A46)</f>
        <v/>
      </c>
      <c r="M46" s="14">
        <f>SUMIFS('12月_売上顧客'!$L$5:$L$504,'12月_売上顧客'!$E$5:$E$504,$A46)</f>
        <v/>
      </c>
      <c r="N46" s="54">
        <f>SUM(B46:M46)</f>
        <v/>
      </c>
    </row>
    <row r="47">
      <c r="A47" s="51" t="inlineStr">
        <is>
          <t>業務提携</t>
        </is>
      </c>
      <c r="B47" s="14">
        <f>SUMIFS('1月_売上顧客'!$L$5:$L$504,'1月_売上顧客'!$E$5:$E$504,$A47)</f>
        <v/>
      </c>
      <c r="C47" s="14">
        <f>SUMIFS('2月_売上顧客'!$L$5:$L$504,'2月_売上顧客'!$E$5:$E$504,$A47)</f>
        <v/>
      </c>
      <c r="D47" s="14">
        <f>SUMIFS('3月_売上顧客'!$L$5:$L$504,'3月_売上顧客'!$E$5:$E$504,$A47)</f>
        <v/>
      </c>
      <c r="E47" s="14">
        <f>SUMIFS('4月_売上顧客'!$L$5:$L$504,'4月_売上顧客'!$E$5:$E$504,$A47)</f>
        <v/>
      </c>
      <c r="F47" s="14">
        <f>SUMIFS('5月_売上顧客'!$L$5:$L$504,'5月_売上顧客'!$E$5:$E$504,$A47)</f>
        <v/>
      </c>
      <c r="G47" s="14">
        <f>SUMIFS('6月_売上顧客'!$L$5:$L$504,'6月_売上顧客'!$E$5:$E$504,$A47)</f>
        <v/>
      </c>
      <c r="H47" s="14">
        <f>SUMIFS('7月_売上顧客'!$L$5:$L$504,'7月_売上顧客'!$E$5:$E$504,$A47)</f>
        <v/>
      </c>
      <c r="I47" s="14">
        <f>SUMIFS('8月_売上顧客'!$L$5:$L$504,'8月_売上顧客'!$E$5:$E$504,$A47)</f>
        <v/>
      </c>
      <c r="J47" s="14">
        <f>SUMIFS('9月_売上顧客'!$L$5:$L$504,'9月_売上顧客'!$E$5:$E$504,$A47)</f>
        <v/>
      </c>
      <c r="K47" s="14">
        <f>SUMIFS('10月_売上顧客'!$L$5:$L$504,'10月_売上顧客'!$E$5:$E$504,$A47)</f>
        <v/>
      </c>
      <c r="L47" s="14">
        <f>SUMIFS('11月_売上顧客'!$L$5:$L$504,'11月_売上顧客'!$E$5:$E$504,$A47)</f>
        <v/>
      </c>
      <c r="M47" s="14">
        <f>SUMIFS('12月_売上顧客'!$L$5:$L$504,'12月_売上顧客'!$E$5:$E$504,$A47)</f>
        <v/>
      </c>
      <c r="N47" s="54">
        <f>SUM(B47:M47)</f>
        <v/>
      </c>
    </row>
    <row r="48">
      <c r="A48" s="51" t="inlineStr">
        <is>
          <t>スケジュールマッチング</t>
        </is>
      </c>
      <c r="B48" s="14">
        <f>SUMIFS('1月_売上顧客'!$L$5:$L$504,'1月_売上顧客'!$E$5:$E$504,$A48)</f>
        <v/>
      </c>
      <c r="C48" s="14">
        <f>SUMIFS('2月_売上顧客'!$L$5:$L$504,'2月_売上顧客'!$E$5:$E$504,$A48)</f>
        <v/>
      </c>
      <c r="D48" s="14">
        <f>SUMIFS('3月_売上顧客'!$L$5:$L$504,'3月_売上顧客'!$E$5:$E$504,$A48)</f>
        <v/>
      </c>
      <c r="E48" s="14">
        <f>SUMIFS('4月_売上顧客'!$L$5:$L$504,'4月_売上顧客'!$E$5:$E$504,$A48)</f>
        <v/>
      </c>
      <c r="F48" s="14">
        <f>SUMIFS('5月_売上顧客'!$L$5:$L$504,'5月_売上顧客'!$E$5:$E$504,$A48)</f>
        <v/>
      </c>
      <c r="G48" s="14">
        <f>SUMIFS('6月_売上顧客'!$L$5:$L$504,'6月_売上顧客'!$E$5:$E$504,$A48)</f>
        <v/>
      </c>
      <c r="H48" s="14">
        <f>SUMIFS('7月_売上顧客'!$L$5:$L$504,'7月_売上顧客'!$E$5:$E$504,$A48)</f>
        <v/>
      </c>
      <c r="I48" s="14">
        <f>SUMIFS('8月_売上顧客'!$L$5:$L$504,'8月_売上顧客'!$E$5:$E$504,$A48)</f>
        <v/>
      </c>
      <c r="J48" s="14">
        <f>SUMIFS('9月_売上顧客'!$L$5:$L$504,'9月_売上顧客'!$E$5:$E$504,$A48)</f>
        <v/>
      </c>
      <c r="K48" s="14">
        <f>SUMIFS('10月_売上顧客'!$L$5:$L$504,'10月_売上顧客'!$E$5:$E$504,$A48)</f>
        <v/>
      </c>
      <c r="L48" s="14">
        <f>SUMIFS('11月_売上顧客'!$L$5:$L$504,'11月_売上顧客'!$E$5:$E$504,$A48)</f>
        <v/>
      </c>
      <c r="M48" s="14">
        <f>SUMIFS('12月_売上顧客'!$L$5:$L$504,'12月_売上顧客'!$E$5:$E$504,$A48)</f>
        <v/>
      </c>
      <c r="N48" s="54">
        <f>SUM(B48:M48)</f>
        <v/>
      </c>
    </row>
    <row r="49">
      <c r="A49" s="51" t="inlineStr">
        <is>
          <t>おそうじ定期便</t>
        </is>
      </c>
      <c r="B49" s="14">
        <f>SUMIFS('1月_売上顧客'!$L$5:$L$504,'1月_売上顧客'!$E$5:$E$504,$A49)</f>
        <v/>
      </c>
      <c r="C49" s="14">
        <f>SUMIFS('2月_売上顧客'!$L$5:$L$504,'2月_売上顧客'!$E$5:$E$504,$A49)</f>
        <v/>
      </c>
      <c r="D49" s="14">
        <f>SUMIFS('3月_売上顧客'!$L$5:$L$504,'3月_売上顧客'!$E$5:$E$504,$A49)</f>
        <v/>
      </c>
      <c r="E49" s="14">
        <f>SUMIFS('4月_売上顧客'!$L$5:$L$504,'4月_売上顧客'!$E$5:$E$504,$A49)</f>
        <v/>
      </c>
      <c r="F49" s="14">
        <f>SUMIFS('5月_売上顧客'!$L$5:$L$504,'5月_売上顧客'!$E$5:$E$504,$A49)</f>
        <v/>
      </c>
      <c r="G49" s="14">
        <f>SUMIFS('6月_売上顧客'!$L$5:$L$504,'6月_売上顧客'!$E$5:$E$504,$A49)</f>
        <v/>
      </c>
      <c r="H49" s="14">
        <f>SUMIFS('7月_売上顧客'!$L$5:$L$504,'7月_売上顧客'!$E$5:$E$504,$A49)</f>
        <v/>
      </c>
      <c r="I49" s="14">
        <f>SUMIFS('8月_売上顧客'!$L$5:$L$504,'8月_売上顧客'!$E$5:$E$504,$A49)</f>
        <v/>
      </c>
      <c r="J49" s="14">
        <f>SUMIFS('9月_売上顧客'!$L$5:$L$504,'9月_売上顧客'!$E$5:$E$504,$A49)</f>
        <v/>
      </c>
      <c r="K49" s="14">
        <f>SUMIFS('10月_売上顧客'!$L$5:$L$504,'10月_売上顧客'!$E$5:$E$504,$A49)</f>
        <v/>
      </c>
      <c r="L49" s="14">
        <f>SUMIFS('11月_売上顧客'!$L$5:$L$504,'11月_売上顧客'!$E$5:$E$504,$A49)</f>
        <v/>
      </c>
      <c r="M49" s="14">
        <f>SUMIFS('12月_売上顧客'!$L$5:$L$504,'12月_売上顧客'!$E$5:$E$504,$A49)</f>
        <v/>
      </c>
      <c r="N49" s="54">
        <f>SUM(B49:M49)</f>
        <v/>
      </c>
    </row>
    <row r="50">
      <c r="A50" s="51" t="inlineStr">
        <is>
          <t>紹介</t>
        </is>
      </c>
      <c r="B50" s="14">
        <f>SUMIFS('1月_売上顧客'!$L$5:$L$504,'1月_売上顧客'!$E$5:$E$504,$A50)</f>
        <v/>
      </c>
      <c r="C50" s="14">
        <f>SUMIFS('2月_売上顧客'!$L$5:$L$504,'2月_売上顧客'!$E$5:$E$504,$A50)</f>
        <v/>
      </c>
      <c r="D50" s="14">
        <f>SUMIFS('3月_売上顧客'!$L$5:$L$504,'3月_売上顧客'!$E$5:$E$504,$A50)</f>
        <v/>
      </c>
      <c r="E50" s="14">
        <f>SUMIFS('4月_売上顧客'!$L$5:$L$504,'4月_売上顧客'!$E$5:$E$504,$A50)</f>
        <v/>
      </c>
      <c r="F50" s="14">
        <f>SUMIFS('5月_売上顧客'!$L$5:$L$504,'5月_売上顧客'!$E$5:$E$504,$A50)</f>
        <v/>
      </c>
      <c r="G50" s="14">
        <f>SUMIFS('6月_売上顧客'!$L$5:$L$504,'6月_売上顧客'!$E$5:$E$504,$A50)</f>
        <v/>
      </c>
      <c r="H50" s="14">
        <f>SUMIFS('7月_売上顧客'!$L$5:$L$504,'7月_売上顧客'!$E$5:$E$504,$A50)</f>
        <v/>
      </c>
      <c r="I50" s="14">
        <f>SUMIFS('8月_売上顧客'!$L$5:$L$504,'8月_売上顧客'!$E$5:$E$504,$A50)</f>
        <v/>
      </c>
      <c r="J50" s="14">
        <f>SUMIFS('9月_売上顧客'!$L$5:$L$504,'9月_売上顧客'!$E$5:$E$504,$A50)</f>
        <v/>
      </c>
      <c r="K50" s="14">
        <f>SUMIFS('10月_売上顧客'!$L$5:$L$504,'10月_売上顧客'!$E$5:$E$504,$A50)</f>
        <v/>
      </c>
      <c r="L50" s="14">
        <f>SUMIFS('11月_売上顧客'!$L$5:$L$504,'11月_売上顧客'!$E$5:$E$504,$A50)</f>
        <v/>
      </c>
      <c r="M50" s="14">
        <f>SUMIFS('12月_売上顧客'!$L$5:$L$504,'12月_売上顧客'!$E$5:$E$504,$A50)</f>
        <v/>
      </c>
      <c r="N50" s="54">
        <f>SUM(B50:M50)</f>
        <v/>
      </c>
    </row>
    <row r="51">
      <c r="A51" s="51" t="inlineStr">
        <is>
          <t>営業</t>
        </is>
      </c>
      <c r="B51" s="14">
        <f>SUMIFS('1月_売上顧客'!$L$5:$L$504,'1月_売上顧客'!$E$5:$E$504,$A51)</f>
        <v/>
      </c>
      <c r="C51" s="14">
        <f>SUMIFS('2月_売上顧客'!$L$5:$L$504,'2月_売上顧客'!$E$5:$E$504,$A51)</f>
        <v/>
      </c>
      <c r="D51" s="14">
        <f>SUMIFS('3月_売上顧客'!$L$5:$L$504,'3月_売上顧客'!$E$5:$E$504,$A51)</f>
        <v/>
      </c>
      <c r="E51" s="14">
        <f>SUMIFS('4月_売上顧客'!$L$5:$L$504,'4月_売上顧客'!$E$5:$E$504,$A51)</f>
        <v/>
      </c>
      <c r="F51" s="14">
        <f>SUMIFS('5月_売上顧客'!$L$5:$L$504,'5月_売上顧客'!$E$5:$E$504,$A51)</f>
        <v/>
      </c>
      <c r="G51" s="14">
        <f>SUMIFS('6月_売上顧客'!$L$5:$L$504,'6月_売上顧客'!$E$5:$E$504,$A51)</f>
        <v/>
      </c>
      <c r="H51" s="14">
        <f>SUMIFS('7月_売上顧客'!$L$5:$L$504,'7月_売上顧客'!$E$5:$E$504,$A51)</f>
        <v/>
      </c>
      <c r="I51" s="14">
        <f>SUMIFS('8月_売上顧客'!$L$5:$L$504,'8月_売上顧客'!$E$5:$E$504,$A51)</f>
        <v/>
      </c>
      <c r="J51" s="14">
        <f>SUMIFS('9月_売上顧客'!$L$5:$L$504,'9月_売上顧客'!$E$5:$E$504,$A51)</f>
        <v/>
      </c>
      <c r="K51" s="14">
        <f>SUMIFS('10月_売上顧客'!$L$5:$L$504,'10月_売上顧客'!$E$5:$E$504,$A51)</f>
        <v/>
      </c>
      <c r="L51" s="14">
        <f>SUMIFS('11月_売上顧客'!$L$5:$L$504,'11月_売上顧客'!$E$5:$E$504,$A51)</f>
        <v/>
      </c>
      <c r="M51" s="14">
        <f>SUMIFS('12月_売上顧客'!$L$5:$L$504,'12月_売上顧客'!$E$5:$E$504,$A51)</f>
        <v/>
      </c>
      <c r="N51" s="54">
        <f>SUM(B51:M51)</f>
        <v/>
      </c>
    </row>
    <row r="52">
      <c r="A52" s="51" t="inlineStr">
        <is>
          <t>チラシ(OH)</t>
        </is>
      </c>
      <c r="B52" s="14">
        <f>SUMIFS('1月_売上顧客'!$L$5:$L$504,'1月_売上顧客'!$E$5:$E$504,$A52)</f>
        <v/>
      </c>
      <c r="C52" s="14">
        <f>SUMIFS('2月_売上顧客'!$L$5:$L$504,'2月_売上顧客'!$E$5:$E$504,$A52)</f>
        <v/>
      </c>
      <c r="D52" s="14">
        <f>SUMIFS('3月_売上顧客'!$L$5:$L$504,'3月_売上顧客'!$E$5:$E$504,$A52)</f>
        <v/>
      </c>
      <c r="E52" s="14">
        <f>SUMIFS('4月_売上顧客'!$L$5:$L$504,'4月_売上顧客'!$E$5:$E$504,$A52)</f>
        <v/>
      </c>
      <c r="F52" s="14">
        <f>SUMIFS('5月_売上顧客'!$L$5:$L$504,'5月_売上顧客'!$E$5:$E$504,$A52)</f>
        <v/>
      </c>
      <c r="G52" s="14">
        <f>SUMIFS('6月_売上顧客'!$L$5:$L$504,'6月_売上顧客'!$E$5:$E$504,$A52)</f>
        <v/>
      </c>
      <c r="H52" s="14">
        <f>SUMIFS('7月_売上顧客'!$L$5:$L$504,'7月_売上顧客'!$E$5:$E$504,$A52)</f>
        <v/>
      </c>
      <c r="I52" s="14">
        <f>SUMIFS('8月_売上顧客'!$L$5:$L$504,'8月_売上顧客'!$E$5:$E$504,$A52)</f>
        <v/>
      </c>
      <c r="J52" s="14">
        <f>SUMIFS('9月_売上顧客'!$L$5:$L$504,'9月_売上顧客'!$E$5:$E$504,$A52)</f>
        <v/>
      </c>
      <c r="K52" s="14">
        <f>SUMIFS('10月_売上顧客'!$L$5:$L$504,'10月_売上顧客'!$E$5:$E$504,$A52)</f>
        <v/>
      </c>
      <c r="L52" s="14">
        <f>SUMIFS('11月_売上顧客'!$L$5:$L$504,'11月_売上顧客'!$E$5:$E$504,$A52)</f>
        <v/>
      </c>
      <c r="M52" s="14">
        <f>SUMIFS('12月_売上顧客'!$L$5:$L$504,'12月_売上顧客'!$E$5:$E$504,$A52)</f>
        <v/>
      </c>
      <c r="N52" s="54">
        <f>SUM(B52:M52)</f>
        <v/>
      </c>
    </row>
    <row r="53">
      <c r="A53" s="51" t="inlineStr">
        <is>
          <t>HP</t>
        </is>
      </c>
      <c r="B53" s="14">
        <f>SUMIFS('1月_売上顧客'!$L$5:$L$504,'1月_売上顧客'!$E$5:$E$504,$A53)</f>
        <v/>
      </c>
      <c r="C53" s="14">
        <f>SUMIFS('2月_売上顧客'!$L$5:$L$504,'2月_売上顧客'!$E$5:$E$504,$A53)</f>
        <v/>
      </c>
      <c r="D53" s="14">
        <f>SUMIFS('3月_売上顧客'!$L$5:$L$504,'3月_売上顧客'!$E$5:$E$504,$A53)</f>
        <v/>
      </c>
      <c r="E53" s="14">
        <f>SUMIFS('4月_売上顧客'!$L$5:$L$504,'4月_売上顧客'!$E$5:$E$504,$A53)</f>
        <v/>
      </c>
      <c r="F53" s="14">
        <f>SUMIFS('5月_売上顧客'!$L$5:$L$504,'5月_売上顧客'!$E$5:$E$504,$A53)</f>
        <v/>
      </c>
      <c r="G53" s="14">
        <f>SUMIFS('6月_売上顧客'!$L$5:$L$504,'6月_売上顧客'!$E$5:$E$504,$A53)</f>
        <v/>
      </c>
      <c r="H53" s="14">
        <f>SUMIFS('7月_売上顧客'!$L$5:$L$504,'7月_売上顧客'!$E$5:$E$504,$A53)</f>
        <v/>
      </c>
      <c r="I53" s="14">
        <f>SUMIFS('8月_売上顧客'!$L$5:$L$504,'8月_売上顧客'!$E$5:$E$504,$A53)</f>
        <v/>
      </c>
      <c r="J53" s="14">
        <f>SUMIFS('9月_売上顧客'!$L$5:$L$504,'9月_売上顧客'!$E$5:$E$504,$A53)</f>
        <v/>
      </c>
      <c r="K53" s="14">
        <f>SUMIFS('10月_売上顧客'!$L$5:$L$504,'10月_売上顧客'!$E$5:$E$504,$A53)</f>
        <v/>
      </c>
      <c r="L53" s="14">
        <f>SUMIFS('11月_売上顧客'!$L$5:$L$504,'11月_売上顧客'!$E$5:$E$504,$A53)</f>
        <v/>
      </c>
      <c r="M53" s="14">
        <f>SUMIFS('12月_売上顧客'!$L$5:$L$504,'12月_売上顧客'!$E$5:$E$504,$A53)</f>
        <v/>
      </c>
      <c r="N53" s="54">
        <f>SUM(B53:M53)</f>
        <v/>
      </c>
    </row>
    <row r="54">
      <c r="A54" s="51" t="inlineStr">
        <is>
          <t>入札案件</t>
        </is>
      </c>
      <c r="B54" s="14">
        <f>SUMIFS('1月_売上顧客'!$L$5:$L$504,'1月_売上顧客'!$E$5:$E$504,$A54)</f>
        <v/>
      </c>
      <c r="C54" s="14">
        <f>SUMIFS('2月_売上顧客'!$L$5:$L$504,'2月_売上顧客'!$E$5:$E$504,$A54)</f>
        <v/>
      </c>
      <c r="D54" s="14">
        <f>SUMIFS('3月_売上顧客'!$L$5:$L$504,'3月_売上顧客'!$E$5:$E$504,$A54)</f>
        <v/>
      </c>
      <c r="E54" s="14">
        <f>SUMIFS('4月_売上顧客'!$L$5:$L$504,'4月_売上顧客'!$E$5:$E$504,$A54)</f>
        <v/>
      </c>
      <c r="F54" s="14">
        <f>SUMIFS('5月_売上顧客'!$L$5:$L$504,'5月_売上顧客'!$E$5:$E$504,$A54)</f>
        <v/>
      </c>
      <c r="G54" s="14">
        <f>SUMIFS('6月_売上顧客'!$L$5:$L$504,'6月_売上顧客'!$E$5:$E$504,$A54)</f>
        <v/>
      </c>
      <c r="H54" s="14">
        <f>SUMIFS('7月_売上顧客'!$L$5:$L$504,'7月_売上顧客'!$E$5:$E$504,$A54)</f>
        <v/>
      </c>
      <c r="I54" s="14">
        <f>SUMIFS('8月_売上顧客'!$L$5:$L$504,'8月_売上顧客'!$E$5:$E$504,$A54)</f>
        <v/>
      </c>
      <c r="J54" s="14">
        <f>SUMIFS('9月_売上顧客'!$L$5:$L$504,'9月_売上顧客'!$E$5:$E$504,$A54)</f>
        <v/>
      </c>
      <c r="K54" s="14">
        <f>SUMIFS('10月_売上顧客'!$L$5:$L$504,'10月_売上顧客'!$E$5:$E$504,$A54)</f>
        <v/>
      </c>
      <c r="L54" s="14">
        <f>SUMIFS('11月_売上顧客'!$L$5:$L$504,'11月_売上顧客'!$E$5:$E$504,$A54)</f>
        <v/>
      </c>
      <c r="M54" s="14">
        <f>SUMIFS('12月_売上顧客'!$L$5:$L$504,'12月_売上顧客'!$E$5:$E$504,$A54)</f>
        <v/>
      </c>
      <c r="N54" s="54">
        <f>SUM(B54:M54)</f>
        <v/>
      </c>
    </row>
    <row r="55">
      <c r="A55" s="51" t="inlineStr">
        <is>
          <t>チラシ(本舗)</t>
        </is>
      </c>
      <c r="B55" s="14">
        <f>SUMIFS('1月_売上顧客'!$L$5:$L$504,'1月_売上顧客'!$E$5:$E$504,$A55)</f>
        <v/>
      </c>
      <c r="C55" s="14">
        <f>SUMIFS('2月_売上顧客'!$L$5:$L$504,'2月_売上顧客'!$E$5:$E$504,$A55)</f>
        <v/>
      </c>
      <c r="D55" s="14">
        <f>SUMIFS('3月_売上顧客'!$L$5:$L$504,'3月_売上顧客'!$E$5:$E$504,$A55)</f>
        <v/>
      </c>
      <c r="E55" s="14">
        <f>SUMIFS('4月_売上顧客'!$L$5:$L$504,'4月_売上顧客'!$E$5:$E$504,$A55)</f>
        <v/>
      </c>
      <c r="F55" s="14">
        <f>SUMIFS('5月_売上顧客'!$L$5:$L$504,'5月_売上顧客'!$E$5:$E$504,$A55)</f>
        <v/>
      </c>
      <c r="G55" s="14">
        <f>SUMIFS('6月_売上顧客'!$L$5:$L$504,'6月_売上顧客'!$E$5:$E$504,$A55)</f>
        <v/>
      </c>
      <c r="H55" s="14">
        <f>SUMIFS('7月_売上顧客'!$L$5:$L$504,'7月_売上顧客'!$E$5:$E$504,$A55)</f>
        <v/>
      </c>
      <c r="I55" s="14">
        <f>SUMIFS('8月_売上顧客'!$L$5:$L$504,'8月_売上顧客'!$E$5:$E$504,$A55)</f>
        <v/>
      </c>
      <c r="J55" s="14">
        <f>SUMIFS('9月_売上顧客'!$L$5:$L$504,'9月_売上顧客'!$E$5:$E$504,$A55)</f>
        <v/>
      </c>
      <c r="K55" s="14">
        <f>SUMIFS('10月_売上顧客'!$L$5:$L$504,'10月_売上顧客'!$E$5:$E$504,$A55)</f>
        <v/>
      </c>
      <c r="L55" s="14">
        <f>SUMIFS('11月_売上顧客'!$L$5:$L$504,'11月_売上顧客'!$E$5:$E$504,$A55)</f>
        <v/>
      </c>
      <c r="M55" s="14">
        <f>SUMIFS('12月_売上顧客'!$L$5:$L$504,'12月_売上顧客'!$E$5:$E$504,$A55)</f>
        <v/>
      </c>
      <c r="N55" s="54">
        <f>SUM(B55:M55)</f>
        <v/>
      </c>
    </row>
    <row r="56">
      <c r="A56" s="51" t="inlineStr">
        <is>
          <t>SMS</t>
        </is>
      </c>
      <c r="B56" s="14">
        <f>SUMIFS('1月_売上顧客'!$L$5:$L$504,'1月_売上顧客'!$E$5:$E$504,$A56)</f>
        <v/>
      </c>
      <c r="C56" s="14">
        <f>SUMIFS('2月_売上顧客'!$L$5:$L$504,'2月_売上顧客'!$E$5:$E$504,$A56)</f>
        <v/>
      </c>
      <c r="D56" s="14">
        <f>SUMIFS('3月_売上顧客'!$L$5:$L$504,'3月_売上顧客'!$E$5:$E$504,$A56)</f>
        <v/>
      </c>
      <c r="E56" s="14">
        <f>SUMIFS('4月_売上顧客'!$L$5:$L$504,'4月_売上顧客'!$E$5:$E$504,$A56)</f>
        <v/>
      </c>
      <c r="F56" s="14">
        <f>SUMIFS('5月_売上顧客'!$L$5:$L$504,'5月_売上顧客'!$E$5:$E$504,$A56)</f>
        <v/>
      </c>
      <c r="G56" s="14">
        <f>SUMIFS('6月_売上顧客'!$L$5:$L$504,'6月_売上顧客'!$E$5:$E$504,$A56)</f>
        <v/>
      </c>
      <c r="H56" s="14">
        <f>SUMIFS('7月_売上顧客'!$L$5:$L$504,'7月_売上顧客'!$E$5:$E$504,$A56)</f>
        <v/>
      </c>
      <c r="I56" s="14">
        <f>SUMIFS('8月_売上顧客'!$L$5:$L$504,'8月_売上顧客'!$E$5:$E$504,$A56)</f>
        <v/>
      </c>
      <c r="J56" s="14">
        <f>SUMIFS('9月_売上顧客'!$L$5:$L$504,'9月_売上顧客'!$E$5:$E$504,$A56)</f>
        <v/>
      </c>
      <c r="K56" s="14">
        <f>SUMIFS('10月_売上顧客'!$L$5:$L$504,'10月_売上顧客'!$E$5:$E$504,$A56)</f>
        <v/>
      </c>
      <c r="L56" s="14">
        <f>SUMIFS('11月_売上顧客'!$L$5:$L$504,'11月_売上顧客'!$E$5:$E$504,$A56)</f>
        <v/>
      </c>
      <c r="M56" s="14">
        <f>SUMIFS('12月_売上顧客'!$L$5:$L$504,'12月_売上顧客'!$E$5:$E$504,$A56)</f>
        <v/>
      </c>
      <c r="N56" s="54">
        <f>SUM(B56:M56)</f>
        <v/>
      </c>
    </row>
    <row r="57">
      <c r="A57" s="51" t="inlineStr">
        <is>
          <t>LP</t>
        </is>
      </c>
      <c r="B57" s="14">
        <f>SUMIFS('1月_売上顧客'!$L$5:$L$504,'1月_売上顧客'!$E$5:$E$504,$A57)</f>
        <v/>
      </c>
      <c r="C57" s="14">
        <f>SUMIFS('2月_売上顧客'!$L$5:$L$504,'2月_売上顧客'!$E$5:$E$504,$A57)</f>
        <v/>
      </c>
      <c r="D57" s="14">
        <f>SUMIFS('3月_売上顧客'!$L$5:$L$504,'3月_売上顧客'!$E$5:$E$504,$A57)</f>
        <v/>
      </c>
      <c r="E57" s="14">
        <f>SUMIFS('4月_売上顧客'!$L$5:$L$504,'4月_売上顧客'!$E$5:$E$504,$A57)</f>
        <v/>
      </c>
      <c r="F57" s="14">
        <f>SUMIFS('5月_売上顧客'!$L$5:$L$504,'5月_売上顧客'!$E$5:$E$504,$A57)</f>
        <v/>
      </c>
      <c r="G57" s="14">
        <f>SUMIFS('6月_売上顧客'!$L$5:$L$504,'6月_売上顧客'!$E$5:$E$504,$A57)</f>
        <v/>
      </c>
      <c r="H57" s="14">
        <f>SUMIFS('7月_売上顧客'!$L$5:$L$504,'7月_売上顧客'!$E$5:$E$504,$A57)</f>
        <v/>
      </c>
      <c r="I57" s="14">
        <f>SUMIFS('8月_売上顧客'!$L$5:$L$504,'8月_売上顧客'!$E$5:$E$504,$A57)</f>
        <v/>
      </c>
      <c r="J57" s="14">
        <f>SUMIFS('9月_売上顧客'!$L$5:$L$504,'9月_売上顧客'!$E$5:$E$504,$A57)</f>
        <v/>
      </c>
      <c r="K57" s="14">
        <f>SUMIFS('10月_売上顧客'!$L$5:$L$504,'10月_売上顧客'!$E$5:$E$504,$A57)</f>
        <v/>
      </c>
      <c r="L57" s="14">
        <f>SUMIFS('11月_売上顧客'!$L$5:$L$504,'11月_売上顧客'!$E$5:$E$504,$A57)</f>
        <v/>
      </c>
      <c r="M57" s="14">
        <f>SUMIFS('12月_売上顧客'!$L$5:$L$504,'12月_売上顧客'!$E$5:$E$504,$A57)</f>
        <v/>
      </c>
      <c r="N57" s="54">
        <f>SUM(B57:M57)</f>
        <v/>
      </c>
    </row>
    <row r="58">
      <c r="A58" s="51" t="inlineStr">
        <is>
          <t>SNS</t>
        </is>
      </c>
      <c r="B58" s="14">
        <f>SUMIFS('1月_売上顧客'!$L$5:$L$504,'1月_売上顧客'!$E$5:$E$504,$A58)</f>
        <v/>
      </c>
      <c r="C58" s="14">
        <f>SUMIFS('2月_売上顧客'!$L$5:$L$504,'2月_売上顧客'!$E$5:$E$504,$A58)</f>
        <v/>
      </c>
      <c r="D58" s="14">
        <f>SUMIFS('3月_売上顧客'!$L$5:$L$504,'3月_売上顧客'!$E$5:$E$504,$A58)</f>
        <v/>
      </c>
      <c r="E58" s="14">
        <f>SUMIFS('4月_売上顧客'!$L$5:$L$504,'4月_売上顧客'!$E$5:$E$504,$A58)</f>
        <v/>
      </c>
      <c r="F58" s="14">
        <f>SUMIFS('5月_売上顧客'!$L$5:$L$504,'5月_売上顧客'!$E$5:$E$504,$A58)</f>
        <v/>
      </c>
      <c r="G58" s="14">
        <f>SUMIFS('6月_売上顧客'!$L$5:$L$504,'6月_売上顧客'!$E$5:$E$504,$A58)</f>
        <v/>
      </c>
      <c r="H58" s="14">
        <f>SUMIFS('7月_売上顧客'!$L$5:$L$504,'7月_売上顧客'!$E$5:$E$504,$A58)</f>
        <v/>
      </c>
      <c r="I58" s="14">
        <f>SUMIFS('8月_売上顧客'!$L$5:$L$504,'8月_売上顧客'!$E$5:$E$504,$A58)</f>
        <v/>
      </c>
      <c r="J58" s="14">
        <f>SUMIFS('9月_売上顧客'!$L$5:$L$504,'9月_売上顧客'!$E$5:$E$504,$A58)</f>
        <v/>
      </c>
      <c r="K58" s="14">
        <f>SUMIFS('10月_売上顧客'!$L$5:$L$504,'10月_売上顧客'!$E$5:$E$504,$A58)</f>
        <v/>
      </c>
      <c r="L58" s="14">
        <f>SUMIFS('11月_売上顧客'!$L$5:$L$504,'11月_売上顧客'!$E$5:$E$504,$A58)</f>
        <v/>
      </c>
      <c r="M58" s="14">
        <f>SUMIFS('12月_売上顧客'!$L$5:$L$504,'12月_売上顧客'!$E$5:$E$504,$A58)</f>
        <v/>
      </c>
      <c r="N58" s="54">
        <f>SUM(B58:M58)</f>
        <v/>
      </c>
    </row>
    <row r="59">
      <c r="A59" s="51" t="inlineStr">
        <is>
          <t>GBP(地図検索)</t>
        </is>
      </c>
      <c r="B59" s="14">
        <f>SUMIFS('1月_売上顧客'!$L$5:$L$504,'1月_売上顧客'!$E$5:$E$504,$A59)</f>
        <v/>
      </c>
      <c r="C59" s="14">
        <f>SUMIFS('2月_売上顧客'!$L$5:$L$504,'2月_売上顧客'!$E$5:$E$504,$A59)</f>
        <v/>
      </c>
      <c r="D59" s="14">
        <f>SUMIFS('3月_売上顧客'!$L$5:$L$504,'3月_売上顧客'!$E$5:$E$504,$A59)</f>
        <v/>
      </c>
      <c r="E59" s="14">
        <f>SUMIFS('4月_売上顧客'!$L$5:$L$504,'4月_売上顧客'!$E$5:$E$504,$A59)</f>
        <v/>
      </c>
      <c r="F59" s="14">
        <f>SUMIFS('5月_売上顧客'!$L$5:$L$504,'5月_売上顧客'!$E$5:$E$504,$A59)</f>
        <v/>
      </c>
      <c r="G59" s="14">
        <f>SUMIFS('6月_売上顧客'!$L$5:$L$504,'6月_売上顧客'!$E$5:$E$504,$A59)</f>
        <v/>
      </c>
      <c r="H59" s="14">
        <f>SUMIFS('7月_売上顧客'!$L$5:$L$504,'7月_売上顧客'!$E$5:$E$504,$A59)</f>
        <v/>
      </c>
      <c r="I59" s="14">
        <f>SUMIFS('8月_売上顧客'!$L$5:$L$504,'8月_売上顧客'!$E$5:$E$504,$A59)</f>
        <v/>
      </c>
      <c r="J59" s="14">
        <f>SUMIFS('9月_売上顧客'!$L$5:$L$504,'9月_売上顧客'!$E$5:$E$504,$A59)</f>
        <v/>
      </c>
      <c r="K59" s="14">
        <f>SUMIFS('10月_売上顧客'!$L$5:$L$504,'10月_売上顧客'!$E$5:$E$504,$A59)</f>
        <v/>
      </c>
      <c r="L59" s="14">
        <f>SUMIFS('11月_売上顧客'!$L$5:$L$504,'11月_売上顧客'!$E$5:$E$504,$A59)</f>
        <v/>
      </c>
      <c r="M59" s="14">
        <f>SUMIFS('12月_売上顧客'!$L$5:$L$504,'12月_売上顧客'!$E$5:$E$504,$A59)</f>
        <v/>
      </c>
      <c r="N59" s="54">
        <f>SUM(B59:M59)</f>
        <v/>
      </c>
    </row>
    <row r="60">
      <c r="A60" s="51" t="inlineStr">
        <is>
          <t>公式LINE</t>
        </is>
      </c>
      <c r="B60" s="14">
        <f>SUMIFS('1月_売上顧客'!$L$5:$L$504,'1月_売上顧客'!$E$5:$E$504,$A60)</f>
        <v/>
      </c>
      <c r="C60" s="14">
        <f>SUMIFS('2月_売上顧客'!$L$5:$L$504,'2月_売上顧客'!$E$5:$E$504,$A60)</f>
        <v/>
      </c>
      <c r="D60" s="14">
        <f>SUMIFS('3月_売上顧客'!$L$5:$L$504,'3月_売上顧客'!$E$5:$E$504,$A60)</f>
        <v/>
      </c>
      <c r="E60" s="14">
        <f>SUMIFS('4月_売上顧客'!$L$5:$L$504,'4月_売上顧客'!$E$5:$E$504,$A60)</f>
        <v/>
      </c>
      <c r="F60" s="14">
        <f>SUMIFS('5月_売上顧客'!$L$5:$L$504,'5月_売上顧客'!$E$5:$E$504,$A60)</f>
        <v/>
      </c>
      <c r="G60" s="14">
        <f>SUMIFS('6月_売上顧客'!$L$5:$L$504,'6月_売上顧客'!$E$5:$E$504,$A60)</f>
        <v/>
      </c>
      <c r="H60" s="14">
        <f>SUMIFS('7月_売上顧客'!$L$5:$L$504,'7月_売上顧客'!$E$5:$E$504,$A60)</f>
        <v/>
      </c>
      <c r="I60" s="14">
        <f>SUMIFS('8月_売上顧客'!$L$5:$L$504,'8月_売上顧客'!$E$5:$E$504,$A60)</f>
        <v/>
      </c>
      <c r="J60" s="14">
        <f>SUMIFS('9月_売上顧客'!$L$5:$L$504,'9月_売上顧客'!$E$5:$E$504,$A60)</f>
        <v/>
      </c>
      <c r="K60" s="14">
        <f>SUMIFS('10月_売上顧客'!$L$5:$L$504,'10月_売上顧客'!$E$5:$E$504,$A60)</f>
        <v/>
      </c>
      <c r="L60" s="14">
        <f>SUMIFS('11月_売上顧客'!$L$5:$L$504,'11月_売上顧客'!$E$5:$E$504,$A60)</f>
        <v/>
      </c>
      <c r="M60" s="14">
        <f>SUMIFS('12月_売上顧客'!$L$5:$L$504,'12月_売上顧客'!$E$5:$E$504,$A60)</f>
        <v/>
      </c>
      <c r="N60" s="54">
        <f>SUM(B60:M60)</f>
        <v/>
      </c>
    </row>
    <row r="61">
      <c r="A61" s="51" t="inlineStr">
        <is>
          <t>アフィリエイト</t>
        </is>
      </c>
      <c r="B61" s="14">
        <f>SUMIFS('1月_売上顧客'!$L$5:$L$504,'1月_売上顧客'!$E$5:$E$504,$A61)</f>
        <v/>
      </c>
      <c r="C61" s="14">
        <f>SUMIFS('2月_売上顧客'!$L$5:$L$504,'2月_売上顧客'!$E$5:$E$504,$A61)</f>
        <v/>
      </c>
      <c r="D61" s="14">
        <f>SUMIFS('3月_売上顧客'!$L$5:$L$504,'3月_売上顧客'!$E$5:$E$504,$A61)</f>
        <v/>
      </c>
      <c r="E61" s="14">
        <f>SUMIFS('4月_売上顧客'!$L$5:$L$504,'4月_売上顧客'!$E$5:$E$504,$A61)</f>
        <v/>
      </c>
      <c r="F61" s="14">
        <f>SUMIFS('5月_売上顧客'!$L$5:$L$504,'5月_売上顧客'!$E$5:$E$504,$A61)</f>
        <v/>
      </c>
      <c r="G61" s="14">
        <f>SUMIFS('6月_売上顧客'!$L$5:$L$504,'6月_売上顧客'!$E$5:$E$504,$A61)</f>
        <v/>
      </c>
      <c r="H61" s="14">
        <f>SUMIFS('7月_売上顧客'!$L$5:$L$504,'7月_売上顧客'!$E$5:$E$504,$A61)</f>
        <v/>
      </c>
      <c r="I61" s="14">
        <f>SUMIFS('8月_売上顧客'!$L$5:$L$504,'8月_売上顧客'!$E$5:$E$504,$A61)</f>
        <v/>
      </c>
      <c r="J61" s="14">
        <f>SUMIFS('9月_売上顧客'!$L$5:$L$504,'9月_売上顧客'!$E$5:$E$504,$A61)</f>
        <v/>
      </c>
      <c r="K61" s="14">
        <f>SUMIFS('10月_売上顧客'!$L$5:$L$504,'10月_売上顧客'!$E$5:$E$504,$A61)</f>
        <v/>
      </c>
      <c r="L61" s="14">
        <f>SUMIFS('11月_売上顧客'!$L$5:$L$504,'11月_売上顧客'!$E$5:$E$504,$A61)</f>
        <v/>
      </c>
      <c r="M61" s="14">
        <f>SUMIFS('12月_売上顧客'!$L$5:$L$504,'12月_売上顧客'!$E$5:$E$504,$A61)</f>
        <v/>
      </c>
      <c r="N61" s="54">
        <f>SUM(B61:M61)</f>
        <v/>
      </c>
    </row>
    <row r="62">
      <c r="A62" s="51" t="inlineStr">
        <is>
          <t>LINE/SMS再販</t>
        </is>
      </c>
      <c r="B62" s="14">
        <f>SUMIFS('1月_売上顧客'!$L$5:$L$504,'1月_売上顧客'!$E$5:$E$504,$A62)</f>
        <v/>
      </c>
      <c r="C62" s="14">
        <f>SUMIFS('2月_売上顧客'!$L$5:$L$504,'2月_売上顧客'!$E$5:$E$504,$A62)</f>
        <v/>
      </c>
      <c r="D62" s="14">
        <f>SUMIFS('3月_売上顧客'!$L$5:$L$504,'3月_売上顧客'!$E$5:$E$504,$A62)</f>
        <v/>
      </c>
      <c r="E62" s="14">
        <f>SUMIFS('4月_売上顧客'!$L$5:$L$504,'4月_売上顧客'!$E$5:$E$504,$A62)</f>
        <v/>
      </c>
      <c r="F62" s="14">
        <f>SUMIFS('5月_売上顧客'!$L$5:$L$504,'5月_売上顧客'!$E$5:$E$504,$A62)</f>
        <v/>
      </c>
      <c r="G62" s="14">
        <f>SUMIFS('6月_売上顧客'!$L$5:$L$504,'6月_売上顧客'!$E$5:$E$504,$A62)</f>
        <v/>
      </c>
      <c r="H62" s="14">
        <f>SUMIFS('7月_売上顧客'!$L$5:$L$504,'7月_売上顧客'!$E$5:$E$504,$A62)</f>
        <v/>
      </c>
      <c r="I62" s="14">
        <f>SUMIFS('8月_売上顧客'!$L$5:$L$504,'8月_売上顧客'!$E$5:$E$504,$A62)</f>
        <v/>
      </c>
      <c r="J62" s="14">
        <f>SUMIFS('9月_売上顧客'!$L$5:$L$504,'9月_売上顧客'!$E$5:$E$504,$A62)</f>
        <v/>
      </c>
      <c r="K62" s="14">
        <f>SUMIFS('10月_売上顧客'!$L$5:$L$504,'10月_売上顧客'!$E$5:$E$504,$A62)</f>
        <v/>
      </c>
      <c r="L62" s="14">
        <f>SUMIFS('11月_売上顧客'!$L$5:$L$504,'11月_売上顧客'!$E$5:$E$504,$A62)</f>
        <v/>
      </c>
      <c r="M62" s="14">
        <f>SUMIFS('12月_売上顧客'!$L$5:$L$504,'12月_売上顧客'!$E$5:$E$504,$A62)</f>
        <v/>
      </c>
      <c r="N62" s="54">
        <f>SUM(B62:M62)</f>
        <v/>
      </c>
    </row>
    <row r="63">
      <c r="A63" s="51" t="inlineStr">
        <is>
          <t>ギフト</t>
        </is>
      </c>
      <c r="B63" s="14">
        <f>SUMIFS('1月_売上顧客'!$L$5:$L$504,'1月_売上顧客'!$E$5:$E$504,$A63)</f>
        <v/>
      </c>
      <c r="C63" s="14">
        <f>SUMIFS('2月_売上顧客'!$L$5:$L$504,'2月_売上顧客'!$E$5:$E$504,$A63)</f>
        <v/>
      </c>
      <c r="D63" s="14">
        <f>SUMIFS('3月_売上顧客'!$L$5:$L$504,'3月_売上顧客'!$E$5:$E$504,$A63)</f>
        <v/>
      </c>
      <c r="E63" s="14">
        <f>SUMIFS('4月_売上顧客'!$L$5:$L$504,'4月_売上顧客'!$E$5:$E$504,$A63)</f>
        <v/>
      </c>
      <c r="F63" s="14">
        <f>SUMIFS('5月_売上顧客'!$L$5:$L$504,'5月_売上顧客'!$E$5:$E$504,$A63)</f>
        <v/>
      </c>
      <c r="G63" s="14">
        <f>SUMIFS('6月_売上顧客'!$L$5:$L$504,'6月_売上顧客'!$E$5:$E$504,$A63)</f>
        <v/>
      </c>
      <c r="H63" s="14">
        <f>SUMIFS('7月_売上顧客'!$L$5:$L$504,'7月_売上顧客'!$E$5:$E$504,$A63)</f>
        <v/>
      </c>
      <c r="I63" s="14">
        <f>SUMIFS('8月_売上顧客'!$L$5:$L$504,'8月_売上顧客'!$E$5:$E$504,$A63)</f>
        <v/>
      </c>
      <c r="J63" s="14">
        <f>SUMIFS('9月_売上顧客'!$L$5:$L$504,'9月_売上顧客'!$E$5:$E$504,$A63)</f>
        <v/>
      </c>
      <c r="K63" s="14">
        <f>SUMIFS('10月_売上顧客'!$L$5:$L$504,'10月_売上顧客'!$E$5:$E$504,$A63)</f>
        <v/>
      </c>
      <c r="L63" s="14">
        <f>SUMIFS('11月_売上顧客'!$L$5:$L$504,'11月_売上顧客'!$E$5:$E$504,$A63)</f>
        <v/>
      </c>
      <c r="M63" s="14">
        <f>SUMIFS('12月_売上顧客'!$L$5:$L$504,'12月_売上顧客'!$E$5:$E$504,$A63)</f>
        <v/>
      </c>
      <c r="N63" s="54">
        <f>SUM(B63:M63)</f>
        <v/>
      </c>
    </row>
    <row r="64">
      <c r="A64" s="51" t="inlineStr">
        <is>
          <t>広告</t>
        </is>
      </c>
      <c r="B64" s="14">
        <f>SUMIFS('1月_売上顧客'!$L$5:$L$504,'1月_売上顧客'!$E$5:$E$504,$A64)</f>
        <v/>
      </c>
      <c r="C64" s="14">
        <f>SUMIFS('2月_売上顧客'!$L$5:$L$504,'2月_売上顧客'!$E$5:$E$504,$A64)</f>
        <v/>
      </c>
      <c r="D64" s="14">
        <f>SUMIFS('3月_売上顧客'!$L$5:$L$504,'3月_売上顧客'!$E$5:$E$504,$A64)</f>
        <v/>
      </c>
      <c r="E64" s="14">
        <f>SUMIFS('4月_売上顧客'!$L$5:$L$504,'4月_売上顧客'!$E$5:$E$504,$A64)</f>
        <v/>
      </c>
      <c r="F64" s="14">
        <f>SUMIFS('5月_売上顧客'!$L$5:$L$504,'5月_売上顧客'!$E$5:$E$504,$A64)</f>
        <v/>
      </c>
      <c r="G64" s="14">
        <f>SUMIFS('6月_売上顧客'!$L$5:$L$504,'6月_売上顧客'!$E$5:$E$504,$A64)</f>
        <v/>
      </c>
      <c r="H64" s="14">
        <f>SUMIFS('7月_売上顧客'!$L$5:$L$504,'7月_売上顧客'!$E$5:$E$504,$A64)</f>
        <v/>
      </c>
      <c r="I64" s="14">
        <f>SUMIFS('8月_売上顧客'!$L$5:$L$504,'8月_売上顧客'!$E$5:$E$504,$A64)</f>
        <v/>
      </c>
      <c r="J64" s="14">
        <f>SUMIFS('9月_売上顧客'!$L$5:$L$504,'9月_売上顧客'!$E$5:$E$504,$A64)</f>
        <v/>
      </c>
      <c r="K64" s="14">
        <f>SUMIFS('10月_売上顧客'!$L$5:$L$504,'10月_売上顧客'!$E$5:$E$504,$A64)</f>
        <v/>
      </c>
      <c r="L64" s="14">
        <f>SUMIFS('11月_売上顧客'!$L$5:$L$504,'11月_売上顧客'!$E$5:$E$504,$A64)</f>
        <v/>
      </c>
      <c r="M64" s="14">
        <f>SUMIFS('12月_売上顧客'!$L$5:$L$504,'12月_売上顧客'!$E$5:$E$504,$A64)</f>
        <v/>
      </c>
      <c r="N64" s="54">
        <f>SUM(B64:M64)</f>
        <v/>
      </c>
    </row>
    <row r="65">
      <c r="A65" s="51" t="inlineStr">
        <is>
          <t>その他</t>
        </is>
      </c>
      <c r="B65" s="14">
        <f>SUMIFS('1月_売上顧客'!$L$5:$L$504,'1月_売上顧客'!$E$5:$E$504,$A65)</f>
        <v/>
      </c>
      <c r="C65" s="14">
        <f>SUMIFS('2月_売上顧客'!$L$5:$L$504,'2月_売上顧客'!$E$5:$E$504,$A65)</f>
        <v/>
      </c>
      <c r="D65" s="14">
        <f>SUMIFS('3月_売上顧客'!$L$5:$L$504,'3月_売上顧客'!$E$5:$E$504,$A65)</f>
        <v/>
      </c>
      <c r="E65" s="14">
        <f>SUMIFS('4月_売上顧客'!$L$5:$L$504,'4月_売上顧客'!$E$5:$E$504,$A65)</f>
        <v/>
      </c>
      <c r="F65" s="14">
        <f>SUMIFS('5月_売上顧客'!$L$5:$L$504,'5月_売上顧客'!$E$5:$E$504,$A65)</f>
        <v/>
      </c>
      <c r="G65" s="14">
        <f>SUMIFS('6月_売上顧客'!$L$5:$L$504,'6月_売上顧客'!$E$5:$E$504,$A65)</f>
        <v/>
      </c>
      <c r="H65" s="14">
        <f>SUMIFS('7月_売上顧客'!$L$5:$L$504,'7月_売上顧客'!$E$5:$E$504,$A65)</f>
        <v/>
      </c>
      <c r="I65" s="14">
        <f>SUMIFS('8月_売上顧客'!$L$5:$L$504,'8月_売上顧客'!$E$5:$E$504,$A65)</f>
        <v/>
      </c>
      <c r="J65" s="14">
        <f>SUMIFS('9月_売上顧客'!$L$5:$L$504,'9月_売上顧客'!$E$5:$E$504,$A65)</f>
        <v/>
      </c>
      <c r="K65" s="14">
        <f>SUMIFS('10月_売上顧客'!$L$5:$L$504,'10月_売上顧客'!$E$5:$E$504,$A65)</f>
        <v/>
      </c>
      <c r="L65" s="14">
        <f>SUMIFS('11月_売上顧客'!$L$5:$L$504,'11月_売上顧客'!$E$5:$E$504,$A65)</f>
        <v/>
      </c>
      <c r="M65" s="14">
        <f>SUMIFS('12月_売上顧客'!$L$5:$L$504,'12月_売上顧客'!$E$5:$E$504,$A65)</f>
        <v/>
      </c>
      <c r="N65" s="54">
        <f>SUM(B65:M65)</f>
        <v/>
      </c>
    </row>
    <row r="66">
      <c r="A66" s="13" t="inlineStr">
        <is>
          <t>合計</t>
        </is>
      </c>
      <c r="B66" s="54">
        <f>SUM(B44:B65)</f>
        <v/>
      </c>
      <c r="C66" s="54">
        <f>SUM(C44:C65)</f>
        <v/>
      </c>
      <c r="D66" s="54">
        <f>SUM(D44:D65)</f>
        <v/>
      </c>
      <c r="E66" s="54">
        <f>SUM(E44:E65)</f>
        <v/>
      </c>
      <c r="F66" s="54">
        <f>SUM(F44:F65)</f>
        <v/>
      </c>
      <c r="G66" s="54">
        <f>SUM(G44:G65)</f>
        <v/>
      </c>
      <c r="H66" s="54">
        <f>SUM(H44:H65)</f>
        <v/>
      </c>
      <c r="I66" s="54">
        <f>SUM(I44:I65)</f>
        <v/>
      </c>
      <c r="J66" s="54">
        <f>SUM(J44:J65)</f>
        <v/>
      </c>
      <c r="K66" s="54">
        <f>SUM(K44:K65)</f>
        <v/>
      </c>
      <c r="L66" s="54">
        <f>SUM(L44:L65)</f>
        <v/>
      </c>
      <c r="M66" s="54">
        <f>SUM(M44:M65)</f>
        <v/>
      </c>
      <c r="N66" s="54">
        <f>SUM(N44:N65)</f>
        <v/>
      </c>
    </row>
  </sheetData>
  <pageMargins left="0.75" right="0.75" top="1" bottom="1" header="0.5" footer="0.5"/>
</worksheet>
</file>

<file path=xl/worksheets/sheet37.xml><?xml version="1.0" encoding="utf-8"?>
<worksheet xmlns="http://schemas.openxmlformats.org/spreadsheetml/2006/main">
  <sheetPr>
    <tabColor rgb="00F4B183"/>
    <outlinePr summaryBelow="1" summaryRight="1"/>
    <pageSetUpPr/>
  </sheetPr>
  <dimension ref="A1:I31"/>
  <sheetViews>
    <sheetView workbookViewId="0">
      <selection activeCell="A1" sqref="A1"/>
    </sheetView>
  </sheetViews>
  <sheetFormatPr baseColWidth="8" defaultRowHeight="15"/>
  <cols>
    <col width="30" customWidth="1" min="1" max="1"/>
    <col width="13" customWidth="1" min="2" max="2"/>
    <col width="16" customWidth="1" min="3" max="3"/>
    <col width="14" customWidth="1" min="4" max="4"/>
    <col width="14" customWidth="1" min="5" max="5"/>
    <col width="13" customWidth="1" min="6" max="6"/>
    <col width="14" customWidth="1" min="7" max="7"/>
    <col width="14" customWidth="1" min="8" max="8"/>
    <col width="44" customWidth="1" min="9" max="9"/>
  </cols>
  <sheetData>
    <row r="1" ht="22" customHeight="1">
      <c r="A1" s="1" t="inlineStr">
        <is>
          <t>入口ごとのLTVとリピート率 — 広告CPA上限9,500円の根拠</t>
        </is>
      </c>
    </row>
    <row r="2">
      <c r="A2" s="2" t="inlineStr">
        <is>
          <t>2026年実績（docs/流入経路の分析.md、319件＋顧客管理台帳）。2027年の列は年末に埋めます。</t>
        </is>
      </c>
    </row>
    <row r="4">
      <c r="A4" s="8" t="inlineStr">
        <is>
          <t>★広告CPAの上限は9,500円。マッチングPFに払っている実質手数料（35%・1件あたり約9,500円）と同額。ここを下回る限り、出すほど有利です。しかも自社経由のお客様はリピート率36%なので2回目以降が上乗せされます。</t>
        </is>
      </c>
    </row>
    <row r="6" ht="30" customHeight="1">
      <c r="A6" s="3" t="inlineStr">
        <is>
          <t>初回の入口</t>
        </is>
      </c>
      <c r="B6" s="3" t="inlineStr">
        <is>
          <t>2026 施工数</t>
        </is>
      </c>
      <c r="C6" s="3" t="inlineStr">
        <is>
          <t>2026 平均施工回数</t>
        </is>
      </c>
      <c r="D6" s="3" t="inlineStr">
        <is>
          <t>2026 平均LTV</t>
        </is>
      </c>
      <c r="E6" s="3" t="inlineStr">
        <is>
          <t>2026 リピート率</t>
        </is>
      </c>
      <c r="F6" s="3" t="inlineStr">
        <is>
          <t>2027 施工数</t>
        </is>
      </c>
      <c r="G6" s="3" t="inlineStr">
        <is>
          <t>2027 平均LTV</t>
        </is>
      </c>
      <c r="H6" s="3" t="inlineStr">
        <is>
          <t>2027 リピート率</t>
        </is>
      </c>
      <c r="I6" s="3" t="inlineStr">
        <is>
          <t>メモ</t>
        </is>
      </c>
    </row>
    <row r="7">
      <c r="A7" s="23" t="inlineStr">
        <is>
          <t>マッチングPF（楽ラクーン・スケジュールマッチング等）</t>
        </is>
      </c>
      <c r="B7" s="23" t="n">
        <v>100</v>
      </c>
      <c r="C7" s="89" t="n">
        <v>1.02</v>
      </c>
      <c r="D7" s="14" t="n">
        <v>28172</v>
      </c>
      <c r="E7" s="64" t="n">
        <v>0.02</v>
      </c>
      <c r="F7" s="23" t="n"/>
      <c r="G7" s="14" t="n"/>
      <c r="H7" s="64" t="n"/>
      <c r="I7" s="90" t="inlineStr">
        <is>
          <t>35%の手数料を払って、二度と戻ってこないお客様を借りている状態</t>
        </is>
      </c>
    </row>
    <row r="8">
      <c r="A8" s="23" t="inlineStr">
        <is>
          <t>業務提携</t>
        </is>
      </c>
      <c r="B8" s="23" t="n">
        <v>40</v>
      </c>
      <c r="C8" s="89" t="n">
        <v>2.52</v>
      </c>
      <c r="D8" s="14" t="n">
        <v>186272</v>
      </c>
      <c r="E8" s="64" t="n">
        <v>0.45</v>
      </c>
      <c r="F8" s="23" t="n"/>
      <c r="G8" s="14" t="n"/>
      <c r="H8" s="64" t="n"/>
      <c r="I8" s="90" t="inlineStr">
        <is>
          <t>他の入口とは桁が違う。2社→4社が2027年の②ブロック</t>
        </is>
      </c>
    </row>
    <row r="9">
      <c r="A9" s="23" t="inlineStr">
        <is>
          <t>自社直販（HP・紹介・営業・チラシ・SMS）</t>
        </is>
      </c>
      <c r="B9" s="23" t="n">
        <v>28</v>
      </c>
      <c r="C9" s="89" t="n">
        <v>1.26</v>
      </c>
      <c r="D9" s="14" t="n">
        <v>42823</v>
      </c>
      <c r="E9" s="64" t="n">
        <v>0.26</v>
      </c>
      <c r="F9" s="23" t="n"/>
      <c r="G9" s="14" t="n"/>
      <c r="H9" s="64" t="n"/>
      <c r="I9" s="90" t="inlineStr">
        <is>
          <t>LTVは1.5倍・リピートは18倍。ここを増やすのが④ブロック</t>
        </is>
      </c>
    </row>
    <row r="12">
      <c r="A12" s="11" t="inlineStr">
        <is>
          <t>▼ 2026年 流入経路別の売上（全319件・12,636,141円）</t>
        </is>
      </c>
    </row>
    <row r="13" ht="30" customHeight="1">
      <c r="A13" s="3" t="inlineStr">
        <is>
          <t>流入経路</t>
        </is>
      </c>
      <c r="B13" s="3" t="inlineStr">
        <is>
          <t>件数</t>
        </is>
      </c>
      <c r="C13" s="3" t="inlineStr">
        <is>
          <t>売上</t>
        </is>
      </c>
      <c r="D13" s="3" t="inlineStr">
        <is>
          <t>単価</t>
        </is>
      </c>
      <c r="E13" s="3" t="inlineStr">
        <is>
          <t>メモ</t>
        </is>
      </c>
    </row>
    <row r="14">
      <c r="A14" s="23" t="inlineStr">
        <is>
          <t>リピート</t>
        </is>
      </c>
      <c r="B14" s="23" t="n">
        <v>69</v>
      </c>
      <c r="C14" s="14" t="n">
        <v>3130845</v>
      </c>
      <c r="D14" s="14" t="n">
        <v>45374</v>
      </c>
      <c r="E14" s="90" t="inlineStr"/>
    </row>
    <row r="15">
      <c r="A15" s="23" t="inlineStr">
        <is>
          <t>楽ラクーン</t>
        </is>
      </c>
      <c r="B15" s="23" t="n">
        <v>67</v>
      </c>
      <c r="C15" s="14" t="n">
        <v>1845833</v>
      </c>
      <c r="D15" s="14" t="n">
        <v>27549</v>
      </c>
      <c r="E15" s="90" t="inlineStr">
        <is>
          <t>フォロー連絡 不可</t>
        </is>
      </c>
    </row>
    <row r="16">
      <c r="A16" s="23" t="inlineStr">
        <is>
          <t>早期予約</t>
        </is>
      </c>
      <c r="B16" s="23" t="n">
        <v>65</v>
      </c>
      <c r="C16" s="14" t="n">
        <v>1510138</v>
      </c>
      <c r="D16" s="14" t="n">
        <v>23232</v>
      </c>
      <c r="E16" s="90" t="inlineStr"/>
    </row>
    <row r="17">
      <c r="A17" s="23" t="inlineStr">
        <is>
          <t>業務提携</t>
        </is>
      </c>
      <c r="B17" s="23" t="n">
        <v>40</v>
      </c>
      <c r="C17" s="14" t="n">
        <v>4005135</v>
      </c>
      <c r="D17" s="14" t="n">
        <v>100128</v>
      </c>
      <c r="E17" s="90" t="inlineStr">
        <is>
          <t>2026年8月の大型案件1,841,740円を含む。再現前提にしない</t>
        </is>
      </c>
    </row>
    <row r="18">
      <c r="A18" s="23" t="inlineStr">
        <is>
          <t>スケジュールマッチング</t>
        </is>
      </c>
      <c r="B18" s="23" t="n">
        <v>31</v>
      </c>
      <c r="C18" s="14" t="n">
        <v>831050</v>
      </c>
      <c r="D18" s="14" t="n">
        <v>26808</v>
      </c>
      <c r="E18" s="90" t="inlineStr">
        <is>
          <t>本舗の番号から連絡</t>
        </is>
      </c>
    </row>
    <row r="19">
      <c r="A19" s="23" t="inlineStr">
        <is>
          <t>おそうじ定期便</t>
        </is>
      </c>
      <c r="B19" s="23" t="n">
        <v>12</v>
      </c>
      <c r="C19" s="14" t="n">
        <v>117600</v>
      </c>
      <c r="D19" s="14" t="n">
        <v>9800</v>
      </c>
      <c r="E19" s="90" t="inlineStr"/>
    </row>
    <row r="20">
      <c r="A20" s="23" t="inlineStr">
        <is>
          <t>紹介</t>
        </is>
      </c>
      <c r="B20" s="23" t="n">
        <v>11</v>
      </c>
      <c r="C20" s="14" t="n">
        <v>379460</v>
      </c>
      <c r="D20" s="14" t="n">
        <v>34496</v>
      </c>
      <c r="E20" s="90" t="inlineStr"/>
    </row>
    <row r="21">
      <c r="A21" s="23" t="inlineStr">
        <is>
          <t>営業</t>
        </is>
      </c>
      <c r="B21" s="23" t="n">
        <v>8</v>
      </c>
      <c r="C21" s="14" t="n">
        <v>391820</v>
      </c>
      <c r="D21" s="14" t="n">
        <v>48977</v>
      </c>
      <c r="E21" s="90" t="inlineStr"/>
    </row>
    <row r="22">
      <c r="A22" s="23" t="inlineStr">
        <is>
          <t>チラシ(OH)</t>
        </is>
      </c>
      <c r="B22" s="23" t="n">
        <v>4</v>
      </c>
      <c r="C22" s="14" t="n">
        <v>77800</v>
      </c>
      <c r="D22" s="14" t="n">
        <v>19450</v>
      </c>
      <c r="E22" s="90" t="inlineStr"/>
    </row>
    <row r="23">
      <c r="A23" s="23" t="inlineStr">
        <is>
          <t>HP</t>
        </is>
      </c>
      <c r="B23" s="23" t="n">
        <v>4</v>
      </c>
      <c r="C23" s="14" t="n">
        <v>63100</v>
      </c>
      <c r="D23" s="14" t="n">
        <v>15775</v>
      </c>
      <c r="E23" s="90" t="inlineStr">
        <is>
          <t>★売上全体の0.5%。HP関連費は年580,800円。2027年に必ず黒字化させる</t>
        </is>
      </c>
    </row>
    <row r="24">
      <c r="A24" s="23" t="inlineStr">
        <is>
          <t>その他（入札・チラシ本舗・SMS等）</t>
        </is>
      </c>
      <c r="B24" s="23" t="n">
        <v>8</v>
      </c>
      <c r="C24" s="14" t="n">
        <v>283360</v>
      </c>
      <c r="D24" s="23" t="n"/>
      <c r="E24" s="90" t="inlineStr"/>
    </row>
    <row r="27">
      <c r="A27" s="8" t="inlineStr">
        <is>
          <t>【正直に書いておく限界】</t>
        </is>
      </c>
    </row>
    <row r="28">
      <c r="A28" s="2" t="inlineStr">
        <is>
          <t>・マッチングPFの規約で、そこ経由のお客様との直接取引が禁じられている可能性があります。再販の前に契約書の確認が要ります</t>
        </is>
      </c>
    </row>
    <row r="29">
      <c r="A29" s="2" t="inlineStr">
        <is>
          <t>・台帳の「回数」は通算値。2026年に初めて来たお客様の観察期間は最長8か月です（1〜6月に絞った再計算でもマッチングPFは2%のまま）</t>
        </is>
      </c>
    </row>
    <row r="30">
      <c r="A30" s="2" t="inlineStr">
        <is>
          <t>・業務提携のLTVには法人・寮・店舗の大型案件が含まれます。個人のお客様と単純比較はできません</t>
        </is>
      </c>
    </row>
    <row r="31">
      <c r="A31" s="2" t="inlineStr">
        <is>
          <t>・おそうじ本舗（フランチャイズ）経由の分は、送信主体が異なるため自社直販に含めていません</t>
        </is>
      </c>
    </row>
  </sheetData>
  <pageMargins left="0.75" right="0.75" top="1" bottom="1" header="0.5" footer="0.5"/>
</worksheet>
</file>

<file path=xl/worksheets/sheet38.xml><?xml version="1.0" encoding="utf-8"?>
<worksheet xmlns="http://schemas.openxmlformats.org/spreadsheetml/2006/main">
  <sheetPr>
    <tabColor rgb="00D0CECE"/>
    <outlinePr summaryBelow="1" summaryRight="1"/>
    <pageSetUpPr/>
  </sheetPr>
  <dimension ref="A1:G46"/>
  <sheetViews>
    <sheetView workbookViewId="0">
      <selection activeCell="A1" sqref="A1"/>
    </sheetView>
  </sheetViews>
  <sheetFormatPr baseColWidth="8" defaultRowHeight="15"/>
  <cols>
    <col width="34" customWidth="1" min="1" max="1"/>
    <col width="15" customWidth="1" min="2" max="2"/>
    <col width="16" customWidth="1" min="3" max="3"/>
    <col width="12" customWidth="1" min="4" max="4"/>
    <col width="4" customWidth="1" min="5" max="5"/>
    <col width="34" customWidth="1" min="6" max="6"/>
    <col width="15" customWidth="1" min="7" max="7"/>
    <col width="16" customWidth="1" min="8" max="8"/>
    <col width="40" customWidth="1" min="9" max="9"/>
  </cols>
  <sheetData>
    <row r="1" ht="22" customHeight="1">
      <c r="A1" s="1" t="inlineStr">
        <is>
          <t>見積ルール・料金表（全て税込）</t>
        </is>
      </c>
    </row>
    <row r="2">
      <c r="A2" s="2" t="inlineStr">
        <is>
          <t>正データは data/prices.json。ここは焼き込みです。数字を変えるときは prices.json と公開物（公式サイトTOP・LP）も必ず揃えること。</t>
        </is>
      </c>
    </row>
    <row r="3">
      <c r="A3" s="8" t="inlineStr">
        <is>
          <t>★5・6・7・12月は全メニューに繁忙期加算 ¥3,300（税込）が加算されます。オプションの防カビコート¥3,630・浴室換気扇洗浄¥3,630と数字が近いので取り違えないこと。</t>
        </is>
      </c>
    </row>
    <row r="5" ht="30" customHeight="1">
      <c r="A5" s="3" t="inlineStr">
        <is>
          <t>本メニュー</t>
        </is>
      </c>
      <c r="B5" s="3" t="inlineStr">
        <is>
          <t>単体（税込）</t>
        </is>
      </c>
      <c r="C5" s="3" t="inlineStr">
        <is>
          <t>同時施工（税込）</t>
        </is>
      </c>
      <c r="D5" s="3" t="inlineStr">
        <is>
          <t>所要</t>
        </is>
      </c>
      <c r="F5" s="3" t="inlineStr">
        <is>
          <t>オプション</t>
        </is>
      </c>
      <c r="G5" s="3" t="inlineStr">
        <is>
          <t>価格（税込）</t>
        </is>
      </c>
    </row>
    <row r="6">
      <c r="A6" s="23" t="inlineStr">
        <is>
          <t>エアコンクリーニング（ノーマル）</t>
        </is>
      </c>
      <c r="B6" s="91" t="n">
        <v>10780</v>
      </c>
      <c r="C6" s="23" t="n"/>
      <c r="D6" s="23" t="inlineStr">
        <is>
          <t>60分</t>
        </is>
      </c>
      <c r="F6" s="23" t="inlineStr">
        <is>
          <t>エアコン 室外機セット</t>
        </is>
      </c>
      <c r="G6" s="91" t="n">
        <v>6050</v>
      </c>
    </row>
    <row r="7">
      <c r="A7" s="23" t="inlineStr">
        <is>
          <t>エアコンクリーニング（お掃除機能付き）</t>
        </is>
      </c>
      <c r="B7" s="91" t="n">
        <v>17380</v>
      </c>
      <c r="C7" s="23" t="n"/>
      <c r="D7" s="23" t="inlineStr">
        <is>
          <t>120分</t>
        </is>
      </c>
      <c r="F7" s="23" t="inlineStr">
        <is>
          <t>エアコン 防カビコート</t>
        </is>
      </c>
      <c r="G7" s="91" t="n">
        <v>3630</v>
      </c>
    </row>
    <row r="8">
      <c r="A8" s="23" t="inlineStr">
        <is>
          <t>洗濯機クリーニング</t>
        </is>
      </c>
      <c r="B8" s="91" t="n">
        <v>17380</v>
      </c>
      <c r="C8" s="91" t="n">
        <v>17380</v>
      </c>
      <c r="D8" s="23" t="inlineStr">
        <is>
          <t>120分</t>
        </is>
      </c>
      <c r="F8" s="23" t="inlineStr">
        <is>
          <t>エアコン 防虫キャップ</t>
        </is>
      </c>
      <c r="G8" s="91" t="n">
        <v>1210</v>
      </c>
    </row>
    <row r="9">
      <c r="A9" s="23" t="inlineStr">
        <is>
          <t>レンジフードクリーニング</t>
        </is>
      </c>
      <c r="B9" s="91" t="n">
        <v>18480</v>
      </c>
      <c r="C9" s="91" t="n">
        <v>15180</v>
      </c>
      <c r="D9" s="23" t="inlineStr">
        <is>
          <t>90分</t>
        </is>
      </c>
      <c r="F9" s="23" t="inlineStr">
        <is>
          <t>洗濯機 設置枠（防水パン）</t>
        </is>
      </c>
      <c r="G9" s="91" t="n">
        <v>3630</v>
      </c>
    </row>
    <row r="10">
      <c r="A10" s="23" t="inlineStr">
        <is>
          <t>レンジフード（プロペラ式）</t>
        </is>
      </c>
      <c r="B10" s="91" t="n">
        <v>10780</v>
      </c>
      <c r="C10" s="23" t="n"/>
      <c r="D10" s="23" t="inlineStr">
        <is>
          <t>60分</t>
        </is>
      </c>
      <c r="F10" s="23" t="inlineStr">
        <is>
          <t>洗濯機 排水溝クリーニング</t>
        </is>
      </c>
      <c r="G10" s="91" t="n">
        <v>3630</v>
      </c>
    </row>
    <row r="11">
      <c r="A11" s="23" t="inlineStr">
        <is>
          <t>キッチンクリーニング</t>
        </is>
      </c>
      <c r="B11" s="91" t="n">
        <v>18480</v>
      </c>
      <c r="C11" s="91" t="n">
        <v>15180</v>
      </c>
      <c r="D11" s="23" t="inlineStr">
        <is>
          <t>150分</t>
        </is>
      </c>
      <c r="F11" s="23" t="inlineStr">
        <is>
          <t>キッチンセット</t>
        </is>
      </c>
      <c r="G11" s="91" t="n">
        <v>15180</v>
      </c>
    </row>
    <row r="12">
      <c r="A12" s="23" t="inlineStr">
        <is>
          <t>浴室クリーニング</t>
        </is>
      </c>
      <c r="B12" s="91" t="n">
        <v>18480</v>
      </c>
      <c r="C12" s="91" t="n">
        <v>15180</v>
      </c>
      <c r="D12" s="23" t="inlineStr">
        <is>
          <t>180分</t>
        </is>
      </c>
      <c r="F12" s="23" t="inlineStr">
        <is>
          <t>コンロセット</t>
        </is>
      </c>
      <c r="G12" s="91" t="n">
        <v>6050</v>
      </c>
    </row>
    <row r="13">
      <c r="A13" s="23" t="inlineStr">
        <is>
          <t>追い焚き配管クリーニング</t>
        </is>
      </c>
      <c r="B13" s="91" t="n">
        <v>19910</v>
      </c>
      <c r="C13" s="91" t="n">
        <v>16610</v>
      </c>
      <c r="D13" s="23" t="inlineStr">
        <is>
          <t>60分</t>
        </is>
      </c>
      <c r="F13" s="23" t="inlineStr">
        <is>
          <t>水回り お掃除時短コーティング</t>
        </is>
      </c>
      <c r="G13" s="91" t="n">
        <v>21780</v>
      </c>
    </row>
    <row r="14">
      <c r="A14" s="23" t="inlineStr">
        <is>
          <t>コンロクリーニング</t>
        </is>
      </c>
      <c r="B14" s="91" t="n">
        <v>10780</v>
      </c>
      <c r="C14" s="91" t="n">
        <v>6050</v>
      </c>
      <c r="D14" s="23" t="inlineStr">
        <is>
          <t>30分</t>
        </is>
      </c>
      <c r="F14" s="23" t="inlineStr">
        <is>
          <t>浴室乾燥機洗浄</t>
        </is>
      </c>
      <c r="G14" s="91" t="n">
        <v>8580</v>
      </c>
    </row>
    <row r="15">
      <c r="A15" s="23" t="inlineStr">
        <is>
          <t>トイレクリーニング</t>
        </is>
      </c>
      <c r="B15" s="91" t="n">
        <v>10780</v>
      </c>
      <c r="C15" s="91" t="n">
        <v>10780</v>
      </c>
      <c r="D15" s="23" t="inlineStr">
        <is>
          <t>60分</t>
        </is>
      </c>
      <c r="F15" s="23" t="inlineStr">
        <is>
          <t>追い焚き配管クリーニング（同時施工）</t>
        </is>
      </c>
      <c r="G15" s="91" t="n">
        <v>16610</v>
      </c>
    </row>
    <row r="16">
      <c r="A16" s="23" t="inlineStr">
        <is>
          <t>洗面台クリーニング</t>
        </is>
      </c>
      <c r="B16" s="91" t="n">
        <v>10780</v>
      </c>
      <c r="C16" s="91" t="n">
        <v>7480</v>
      </c>
      <c r="D16" s="23" t="inlineStr">
        <is>
          <t>60分</t>
        </is>
      </c>
      <c r="F16" s="23" t="inlineStr">
        <is>
          <t>エプロン内部高圧洗浄</t>
        </is>
      </c>
      <c r="G16" s="91" t="n">
        <v>8470</v>
      </c>
    </row>
    <row r="17">
      <c r="A17" s="23" t="inlineStr">
        <is>
          <t>お掃除時短コーティング</t>
        </is>
      </c>
      <c r="B17" s="91" t="n">
        <v>21780</v>
      </c>
      <c r="C17" s="23" t="n"/>
      <c r="D17" s="23" t="inlineStr">
        <is>
          <t>60分</t>
        </is>
      </c>
      <c r="F17" s="23" t="inlineStr">
        <is>
          <t>浴室換気扇洗浄</t>
        </is>
      </c>
      <c r="G17" s="91" t="n">
        <v>3630</v>
      </c>
    </row>
    <row r="18">
      <c r="F18" s="23" t="inlineStr">
        <is>
          <t>鏡の水垢除去</t>
        </is>
      </c>
      <c r="G18" s="91" t="n">
        <v>3630</v>
      </c>
    </row>
    <row r="19">
      <c r="F19" s="23" t="inlineStr">
        <is>
          <t>浴室セット</t>
        </is>
      </c>
      <c r="G19" s="91" t="n">
        <v>15180</v>
      </c>
    </row>
    <row r="20">
      <c r="A20" s="8" t="inlineStr">
        <is>
          <t>▼ 法人メニュー</t>
        </is>
      </c>
      <c r="F20" s="23" t="inlineStr">
        <is>
          <t>換気扇セット</t>
        </is>
      </c>
      <c r="G20" s="91" t="n">
        <v>15180</v>
      </c>
    </row>
    <row r="21" ht="30" customHeight="1">
      <c r="A21" s="3" t="inlineStr">
        <is>
          <t>メニュー</t>
        </is>
      </c>
      <c r="B21" s="3" t="inlineStr">
        <is>
          <t>価格（税込）</t>
        </is>
      </c>
      <c r="C21" s="3" t="inlineStr">
        <is>
          <t>備考</t>
        </is>
      </c>
      <c r="F21" s="23" t="inlineStr">
        <is>
          <t>洗面台丸洗い</t>
        </is>
      </c>
      <c r="G21" s="91" t="n">
        <v>7480</v>
      </c>
    </row>
    <row r="22">
      <c r="A22" t="inlineStr">
        <is>
          <t>定期清掃</t>
        </is>
      </c>
      <c r="B22" s="92" t="n">
        <v>32780</v>
      </c>
      <c r="C22" t="inlineStr">
        <is>
          <t>〜</t>
        </is>
      </c>
    </row>
    <row r="23">
      <c r="A23" t="inlineStr">
        <is>
          <t>空室清掃</t>
        </is>
      </c>
      <c r="B23" s="92" t="n">
        <v>58080</v>
      </c>
      <c r="C23" t="inlineStr">
        <is>
          <t>〜</t>
        </is>
      </c>
    </row>
    <row r="24">
      <c r="A24" t="inlineStr">
        <is>
          <t>業務用エアコン</t>
        </is>
      </c>
      <c r="B24" s="92" t="n">
        <v>27280</v>
      </c>
      <c r="C24" t="inlineStr">
        <is>
          <t>〜</t>
        </is>
      </c>
    </row>
    <row r="27">
      <c r="A27" s="8" t="inlineStr">
        <is>
          <t>▼ 割引・紹介のルール</t>
        </is>
      </c>
    </row>
    <row r="28">
      <c r="A28" s="51" t="inlineStr">
        <is>
          <t>早期予約割引 1-2月</t>
        </is>
      </c>
      <c r="B28" s="51" t="inlineStr">
        <is>
          <t>0.15</t>
        </is>
      </c>
    </row>
    <row r="29">
      <c r="A29" s="51" t="inlineStr">
        <is>
          <t>早期予約割引 3-4月</t>
        </is>
      </c>
      <c r="B29" s="51" t="inlineStr">
        <is>
          <t>0.1</t>
        </is>
      </c>
    </row>
    <row r="30">
      <c r="A30" s="51" t="inlineStr">
        <is>
          <t>早期予約割引 8-10月</t>
        </is>
      </c>
      <c r="B30" s="51" t="inlineStr">
        <is>
          <t>0.1</t>
        </is>
      </c>
    </row>
    <row r="31">
      <c r="A31" s="51" t="inlineStr">
        <is>
          <t>早期予約割引 5-7月</t>
        </is>
      </c>
      <c r="B31" s="51" t="inlineStr">
        <is>
          <t>0.0</t>
        </is>
      </c>
    </row>
    <row r="32">
      <c r="A32" s="51" t="inlineStr">
        <is>
          <t>早期予約割引 11-12月</t>
        </is>
      </c>
      <c r="B32" s="51" t="inlineStr">
        <is>
          <t>0.0</t>
        </is>
      </c>
    </row>
    <row r="33">
      <c r="A33" s="51" t="inlineStr">
        <is>
          <t>同時施工割引 標準</t>
        </is>
      </c>
      <c r="B33" s="51" t="inlineStr">
        <is>
          <t>3300</t>
        </is>
      </c>
    </row>
    <row r="34">
      <c r="A34" s="51" t="inlineStr">
        <is>
          <t>同時施工割引 コンロ</t>
        </is>
      </c>
      <c r="B34" s="51" t="inlineStr">
        <is>
          <t>4730</t>
        </is>
      </c>
    </row>
    <row r="35">
      <c r="A35" s="51" t="inlineStr">
        <is>
          <t>同時施工割引 洗濯機</t>
        </is>
      </c>
      <c r="B35" s="51" t="inlineStr">
        <is>
          <t>0</t>
        </is>
      </c>
    </row>
    <row r="36">
      <c r="A36" s="51" t="inlineStr">
        <is>
          <t>同時施工割引 トイレ</t>
        </is>
      </c>
      <c r="B36" s="51" t="inlineStr">
        <is>
          <t>0</t>
        </is>
      </c>
    </row>
    <row r="37">
      <c r="A37" s="51" t="inlineStr">
        <is>
          <t>紹介料 消費者から消費者</t>
        </is>
      </c>
      <c r="B37" s="51" t="inlineStr">
        <is>
          <t>{'種別': '定額', '金額': 1000}</t>
        </is>
      </c>
    </row>
    <row r="38">
      <c r="A38" s="51" t="inlineStr">
        <is>
          <t>紹介料 事業者から顧客</t>
        </is>
      </c>
      <c r="B38" s="51" t="inlineStr">
        <is>
          <t>{'種別': '料率', '下限': 0.05, '上限': 0.15, '原則': 0.12}</t>
        </is>
      </c>
    </row>
    <row r="39">
      <c r="A39" s="51" t="inlineStr">
        <is>
          <t>繁忙期加算</t>
        </is>
      </c>
      <c r="B39" s="51" t="inlineStr">
        <is>
          <t>3300円（対象月 [5, 6, 7, 12]）</t>
        </is>
      </c>
    </row>
    <row r="41">
      <c r="A41" s="8" t="inlineStr">
        <is>
          <t>【必ず守ること】</t>
        </is>
      </c>
    </row>
    <row r="42">
      <c r="A42" s="2" t="inlineStr">
        <is>
          <t>・料金はパンフレットPDFが正。公式サイトの料金表には誤りがあります（docs/site-audit.md）</t>
        </is>
      </c>
    </row>
    <row r="43">
      <c r="A43" s="2" t="inlineStr">
        <is>
          <t>・2021年4月から総額表示が義務。必ず「（税込）」を併記すること</t>
        </is>
      </c>
    </row>
    <row r="44">
      <c r="A44" s="2" t="inlineStr">
        <is>
          <t>・満足度は 98.6%（209名中206名／2023年1月〜2025年12月）。「98.8%」は根拠と一致しないので使わないこと</t>
        </is>
      </c>
    </row>
    <row r="45">
      <c r="A45" s="2" t="inlineStr">
        <is>
          <t>・対応エリアは東京都・千葉県・神奈川県（埼玉は実績ありだが積極開拓しない）</t>
        </is>
      </c>
    </row>
    <row r="46">
      <c r="A46" s="2" t="inlineStr">
        <is>
          <t>・この表の出典：data/prices.json（パンフレットPDFの金額は税抜。オーナー確認（2026-09-04）。全メニュー×1.1で税込に換算した。）</t>
        </is>
      </c>
    </row>
  </sheetData>
  <pageMargins left="0.75" right="0.75" top="1" bottom="1" header="0.5" footer="0.5"/>
</worksheet>
</file>

<file path=xl/worksheets/sheet39.xml><?xml version="1.0" encoding="utf-8"?>
<worksheet xmlns="http://schemas.openxmlformats.org/spreadsheetml/2006/main">
  <sheetPr>
    <tabColor rgb="00FFE699"/>
    <outlinePr summaryBelow="1" summaryRight="1"/>
    <pageSetUpPr/>
  </sheetPr>
  <dimension ref="A1:I304"/>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46" customWidth="1" min="3" max="3"/>
    <col width="14" customWidth="1" min="4" max="4"/>
    <col width="12" customWidth="1" min="5" max="5"/>
    <col width="13" customWidth="1" min="6" max="6"/>
    <col width="10" customWidth="1" min="7" max="7"/>
    <col width="13" customWidth="1" min="8" max="8"/>
    <col width="30" customWidth="1" min="9" max="9"/>
  </cols>
  <sheetData>
    <row r="1" ht="22" customHeight="1">
      <c r="A1" s="1" t="inlineStr">
        <is>
          <t>TODO</t>
        </is>
      </c>
    </row>
    <row r="2">
      <c r="A2" s="2" t="inlineStr">
        <is>
          <t>状態を「完了」にしたら行を消さないこと。あとで何をやったか分からなくなります。</t>
        </is>
      </c>
    </row>
    <row r="3">
      <c r="A3" s="9" t="inlineStr">
        <is>
          <t>未着手</t>
        </is>
      </c>
      <c r="B3" s="82">
        <f>COUNTIF($E$5:$E$304,"未着手")</f>
        <v/>
      </c>
      <c r="C3" s="9" t="inlineStr">
        <is>
          <t>進行中</t>
        </is>
      </c>
      <c r="D3" s="82">
        <f>COUNTIF($E$5:$E$304,"進行中")</f>
        <v/>
      </c>
      <c r="E3" s="9" t="inlineStr">
        <is>
          <t>完了</t>
        </is>
      </c>
      <c r="F3" s="82">
        <f>COUNTIF($E$5:$E$304,"完了")</f>
        <v/>
      </c>
      <c r="G3" s="9" t="inlineStr">
        <is>
          <t>対象外</t>
        </is>
      </c>
      <c r="H3" s="82">
        <f>COUNTIF($E$5:$E$304,"対象外")</f>
        <v/>
      </c>
    </row>
    <row r="4" ht="30" customHeight="1">
      <c r="A4" s="3" t="inlineStr">
        <is>
          <t>No.</t>
        </is>
      </c>
      <c r="B4" s="3" t="inlineStr">
        <is>
          <t>件名</t>
        </is>
      </c>
      <c r="C4" s="3" t="inlineStr">
        <is>
          <t>内容</t>
        </is>
      </c>
      <c r="D4" s="3" t="inlineStr">
        <is>
          <t>担当</t>
        </is>
      </c>
      <c r="E4" s="3" t="inlineStr">
        <is>
          <t>状態</t>
        </is>
      </c>
      <c r="F4" s="3" t="inlineStr">
        <is>
          <t>期限</t>
        </is>
      </c>
      <c r="G4" s="3" t="inlineStr">
        <is>
          <t>優先度</t>
        </is>
      </c>
      <c r="H4" s="3" t="inlineStr">
        <is>
          <t>更新日</t>
        </is>
      </c>
      <c r="I4" s="3" t="inlineStr">
        <is>
          <t>メモ</t>
        </is>
      </c>
    </row>
    <row r="5">
      <c r="F5" s="44" t="n"/>
      <c r="H5" s="44" t="n"/>
    </row>
    <row r="6">
      <c r="F6" s="44" t="n"/>
      <c r="H6" s="44" t="n"/>
    </row>
    <row r="7">
      <c r="F7" s="44" t="n"/>
      <c r="H7" s="44" t="n"/>
    </row>
    <row r="8">
      <c r="F8" s="44" t="n"/>
      <c r="H8" s="44" t="n"/>
    </row>
    <row r="9">
      <c r="F9" s="44" t="n"/>
      <c r="H9" s="44" t="n"/>
    </row>
    <row r="10">
      <c r="F10" s="44" t="n"/>
      <c r="H10" s="44" t="n"/>
    </row>
    <row r="11">
      <c r="F11" s="44" t="n"/>
      <c r="H11" s="44" t="n"/>
    </row>
    <row r="12">
      <c r="F12" s="44" t="n"/>
      <c r="H12" s="44" t="n"/>
    </row>
    <row r="13">
      <c r="F13" s="44" t="n"/>
      <c r="H13" s="44" t="n"/>
    </row>
    <row r="14">
      <c r="F14" s="44" t="n"/>
      <c r="H14" s="44" t="n"/>
    </row>
    <row r="15">
      <c r="F15" s="44" t="n"/>
      <c r="H15" s="44" t="n"/>
    </row>
    <row r="16">
      <c r="F16" s="44" t="n"/>
      <c r="H16" s="44" t="n"/>
    </row>
    <row r="17">
      <c r="F17" s="44" t="n"/>
      <c r="H17" s="44" t="n"/>
    </row>
    <row r="18">
      <c r="F18" s="44" t="n"/>
      <c r="H18" s="44" t="n"/>
    </row>
    <row r="19">
      <c r="F19" s="44" t="n"/>
      <c r="H19" s="44" t="n"/>
    </row>
    <row r="20">
      <c r="F20" s="44" t="n"/>
      <c r="H20" s="44" t="n"/>
    </row>
    <row r="21">
      <c r="F21" s="44" t="n"/>
      <c r="H21" s="44" t="n"/>
    </row>
    <row r="22">
      <c r="F22" s="44" t="n"/>
      <c r="H22" s="44" t="n"/>
    </row>
    <row r="23">
      <c r="F23" s="44" t="n"/>
      <c r="H23" s="44" t="n"/>
    </row>
    <row r="24">
      <c r="F24" s="44" t="n"/>
      <c r="H24" s="44" t="n"/>
    </row>
    <row r="25">
      <c r="F25" s="44" t="n"/>
      <c r="H25" s="44" t="n"/>
    </row>
    <row r="26">
      <c r="F26" s="44" t="n"/>
      <c r="H26" s="44" t="n"/>
    </row>
    <row r="27">
      <c r="F27" s="44" t="n"/>
      <c r="H27" s="44" t="n"/>
    </row>
    <row r="28">
      <c r="F28" s="44" t="n"/>
      <c r="H28" s="44" t="n"/>
    </row>
    <row r="29">
      <c r="F29" s="44" t="n"/>
      <c r="H29" s="44" t="n"/>
    </row>
    <row r="30">
      <c r="F30" s="44" t="n"/>
      <c r="H30" s="44" t="n"/>
    </row>
    <row r="31">
      <c r="F31" s="44" t="n"/>
      <c r="H31" s="44" t="n"/>
    </row>
    <row r="32">
      <c r="F32" s="44" t="n"/>
      <c r="H32" s="44" t="n"/>
    </row>
    <row r="33">
      <c r="F33" s="44" t="n"/>
      <c r="H33" s="44" t="n"/>
    </row>
    <row r="34">
      <c r="F34" s="44" t="n"/>
      <c r="H34" s="44" t="n"/>
    </row>
    <row r="35">
      <c r="F35" s="44" t="n"/>
      <c r="H35" s="44" t="n"/>
    </row>
    <row r="36">
      <c r="F36" s="44" t="n"/>
      <c r="H36" s="44" t="n"/>
    </row>
    <row r="37">
      <c r="F37" s="44" t="n"/>
      <c r="H37" s="44" t="n"/>
    </row>
    <row r="38">
      <c r="F38" s="44" t="n"/>
      <c r="H38" s="44" t="n"/>
    </row>
    <row r="39">
      <c r="F39" s="44" t="n"/>
      <c r="H39" s="44" t="n"/>
    </row>
    <row r="40">
      <c r="F40" s="44" t="n"/>
      <c r="H40" s="44" t="n"/>
    </row>
    <row r="41">
      <c r="F41" s="44" t="n"/>
      <c r="H41" s="44" t="n"/>
    </row>
    <row r="42">
      <c r="F42" s="44" t="n"/>
      <c r="H42" s="44" t="n"/>
    </row>
    <row r="43">
      <c r="F43" s="44" t="n"/>
      <c r="H43" s="44" t="n"/>
    </row>
    <row r="44">
      <c r="F44" s="44" t="n"/>
      <c r="H44" s="44" t="n"/>
    </row>
    <row r="45">
      <c r="F45" s="44" t="n"/>
      <c r="H45" s="44" t="n"/>
    </row>
    <row r="46">
      <c r="F46" s="44" t="n"/>
      <c r="H46" s="44" t="n"/>
    </row>
    <row r="47">
      <c r="F47" s="44" t="n"/>
      <c r="H47" s="44" t="n"/>
    </row>
    <row r="48">
      <c r="F48" s="44" t="n"/>
      <c r="H48" s="44" t="n"/>
    </row>
    <row r="49">
      <c r="F49" s="44" t="n"/>
      <c r="H49" s="44" t="n"/>
    </row>
    <row r="50">
      <c r="F50" s="44" t="n"/>
      <c r="H50" s="44" t="n"/>
    </row>
    <row r="51">
      <c r="F51" s="44" t="n"/>
      <c r="H51" s="44" t="n"/>
    </row>
    <row r="52">
      <c r="F52" s="44" t="n"/>
      <c r="H52" s="44" t="n"/>
    </row>
    <row r="53">
      <c r="F53" s="44" t="n"/>
      <c r="H53" s="44" t="n"/>
    </row>
    <row r="54">
      <c r="F54" s="44" t="n"/>
      <c r="H54" s="44" t="n"/>
    </row>
    <row r="55">
      <c r="F55" s="44" t="n"/>
      <c r="H55" s="44" t="n"/>
    </row>
    <row r="56">
      <c r="F56" s="44" t="n"/>
      <c r="H56" s="44" t="n"/>
    </row>
    <row r="57">
      <c r="F57" s="44" t="n"/>
      <c r="H57" s="44" t="n"/>
    </row>
    <row r="58">
      <c r="F58" s="44" t="n"/>
      <c r="H58" s="44" t="n"/>
    </row>
    <row r="59">
      <c r="F59" s="44" t="n"/>
      <c r="H59" s="44" t="n"/>
    </row>
    <row r="60">
      <c r="F60" s="44" t="n"/>
      <c r="H60" s="44" t="n"/>
    </row>
    <row r="61">
      <c r="F61" s="44" t="n"/>
      <c r="H61" s="44" t="n"/>
    </row>
    <row r="62">
      <c r="F62" s="44" t="n"/>
      <c r="H62" s="44" t="n"/>
    </row>
    <row r="63">
      <c r="F63" s="44" t="n"/>
      <c r="H63" s="44" t="n"/>
    </row>
    <row r="64">
      <c r="F64" s="44" t="n"/>
      <c r="H64" s="44" t="n"/>
    </row>
    <row r="65">
      <c r="F65" s="44" t="n"/>
      <c r="H65" s="44" t="n"/>
    </row>
    <row r="66">
      <c r="F66" s="44" t="n"/>
      <c r="H66" s="44" t="n"/>
    </row>
    <row r="67">
      <c r="F67" s="44" t="n"/>
      <c r="H67" s="44" t="n"/>
    </row>
    <row r="68">
      <c r="F68" s="44" t="n"/>
      <c r="H68" s="44" t="n"/>
    </row>
    <row r="69">
      <c r="F69" s="44" t="n"/>
      <c r="H69" s="44" t="n"/>
    </row>
    <row r="70">
      <c r="F70" s="44" t="n"/>
      <c r="H70" s="44" t="n"/>
    </row>
    <row r="71">
      <c r="F71" s="44" t="n"/>
      <c r="H71" s="44" t="n"/>
    </row>
    <row r="72">
      <c r="F72" s="44" t="n"/>
      <c r="H72" s="44" t="n"/>
    </row>
    <row r="73">
      <c r="F73" s="44" t="n"/>
      <c r="H73" s="44" t="n"/>
    </row>
    <row r="74">
      <c r="F74" s="44" t="n"/>
      <c r="H74" s="44" t="n"/>
    </row>
    <row r="75">
      <c r="F75" s="44" t="n"/>
      <c r="H75" s="44" t="n"/>
    </row>
    <row r="76">
      <c r="F76" s="44" t="n"/>
      <c r="H76" s="44" t="n"/>
    </row>
    <row r="77">
      <c r="F77" s="44" t="n"/>
      <c r="H77" s="44" t="n"/>
    </row>
    <row r="78">
      <c r="F78" s="44" t="n"/>
      <c r="H78" s="44" t="n"/>
    </row>
    <row r="79">
      <c r="F79" s="44" t="n"/>
      <c r="H79" s="44" t="n"/>
    </row>
    <row r="80">
      <c r="F80" s="44" t="n"/>
      <c r="H80" s="44" t="n"/>
    </row>
    <row r="81">
      <c r="F81" s="44" t="n"/>
      <c r="H81" s="44" t="n"/>
    </row>
    <row r="82">
      <c r="F82" s="44" t="n"/>
      <c r="H82" s="44" t="n"/>
    </row>
    <row r="83">
      <c r="F83" s="44" t="n"/>
      <c r="H83" s="44" t="n"/>
    </row>
    <row r="84">
      <c r="F84" s="44" t="n"/>
      <c r="H84" s="44" t="n"/>
    </row>
    <row r="85">
      <c r="F85" s="44" t="n"/>
      <c r="H85" s="44" t="n"/>
    </row>
    <row r="86">
      <c r="F86" s="44" t="n"/>
      <c r="H86" s="44" t="n"/>
    </row>
    <row r="87">
      <c r="F87" s="44" t="n"/>
      <c r="H87" s="44" t="n"/>
    </row>
    <row r="88">
      <c r="F88" s="44" t="n"/>
      <c r="H88" s="44" t="n"/>
    </row>
    <row r="89">
      <c r="F89" s="44" t="n"/>
      <c r="H89" s="44" t="n"/>
    </row>
    <row r="90">
      <c r="F90" s="44" t="n"/>
      <c r="H90" s="44" t="n"/>
    </row>
    <row r="91">
      <c r="F91" s="44" t="n"/>
      <c r="H91" s="44" t="n"/>
    </row>
    <row r="92">
      <c r="F92" s="44" t="n"/>
      <c r="H92" s="44" t="n"/>
    </row>
    <row r="93">
      <c r="F93" s="44" t="n"/>
      <c r="H93" s="44" t="n"/>
    </row>
    <row r="94">
      <c r="F94" s="44" t="n"/>
      <c r="H94" s="44" t="n"/>
    </row>
    <row r="95">
      <c r="F95" s="44" t="n"/>
      <c r="H95" s="44" t="n"/>
    </row>
    <row r="96">
      <c r="F96" s="44" t="n"/>
      <c r="H96" s="44" t="n"/>
    </row>
    <row r="97">
      <c r="F97" s="44" t="n"/>
      <c r="H97" s="44" t="n"/>
    </row>
    <row r="98">
      <c r="F98" s="44" t="n"/>
      <c r="H98" s="44" t="n"/>
    </row>
    <row r="99">
      <c r="F99" s="44" t="n"/>
      <c r="H99" s="44" t="n"/>
    </row>
    <row r="100">
      <c r="F100" s="44" t="n"/>
      <c r="H100" s="44" t="n"/>
    </row>
    <row r="101">
      <c r="F101" s="44" t="n"/>
      <c r="H101" s="44" t="n"/>
    </row>
    <row r="102">
      <c r="F102" s="44" t="n"/>
      <c r="H102" s="44" t="n"/>
    </row>
    <row r="103">
      <c r="F103" s="44" t="n"/>
      <c r="H103" s="44" t="n"/>
    </row>
    <row r="104">
      <c r="F104" s="44" t="n"/>
      <c r="H104" s="44" t="n"/>
    </row>
    <row r="105">
      <c r="F105" s="44" t="n"/>
      <c r="H105" s="44" t="n"/>
    </row>
    <row r="106">
      <c r="F106" s="44" t="n"/>
      <c r="H106" s="44" t="n"/>
    </row>
    <row r="107">
      <c r="F107" s="44" t="n"/>
      <c r="H107" s="44" t="n"/>
    </row>
    <row r="108">
      <c r="F108" s="44" t="n"/>
      <c r="H108" s="44" t="n"/>
    </row>
    <row r="109">
      <c r="F109" s="44" t="n"/>
      <c r="H109" s="44" t="n"/>
    </row>
    <row r="110">
      <c r="F110" s="44" t="n"/>
      <c r="H110" s="44" t="n"/>
    </row>
    <row r="111">
      <c r="F111" s="44" t="n"/>
      <c r="H111" s="44" t="n"/>
    </row>
    <row r="112">
      <c r="F112" s="44" t="n"/>
      <c r="H112" s="44" t="n"/>
    </row>
    <row r="113">
      <c r="F113" s="44" t="n"/>
      <c r="H113" s="44" t="n"/>
    </row>
    <row r="114">
      <c r="F114" s="44" t="n"/>
      <c r="H114" s="44" t="n"/>
    </row>
    <row r="115">
      <c r="F115" s="44" t="n"/>
      <c r="H115" s="44" t="n"/>
    </row>
    <row r="116">
      <c r="F116" s="44" t="n"/>
      <c r="H116" s="44" t="n"/>
    </row>
    <row r="117">
      <c r="F117" s="44" t="n"/>
      <c r="H117" s="44" t="n"/>
    </row>
    <row r="118">
      <c r="F118" s="44" t="n"/>
      <c r="H118" s="44" t="n"/>
    </row>
    <row r="119">
      <c r="F119" s="44" t="n"/>
      <c r="H119" s="44" t="n"/>
    </row>
    <row r="120">
      <c r="F120" s="44" t="n"/>
      <c r="H120" s="44" t="n"/>
    </row>
    <row r="121">
      <c r="F121" s="44" t="n"/>
      <c r="H121" s="44" t="n"/>
    </row>
    <row r="122">
      <c r="F122" s="44" t="n"/>
      <c r="H122" s="44" t="n"/>
    </row>
    <row r="123">
      <c r="F123" s="44" t="n"/>
      <c r="H123" s="44" t="n"/>
    </row>
    <row r="124">
      <c r="F124" s="44" t="n"/>
      <c r="H124" s="44" t="n"/>
    </row>
    <row r="125">
      <c r="F125" s="44" t="n"/>
      <c r="H125" s="44" t="n"/>
    </row>
    <row r="126">
      <c r="F126" s="44" t="n"/>
      <c r="H126" s="44" t="n"/>
    </row>
    <row r="127">
      <c r="F127" s="44" t="n"/>
      <c r="H127" s="44" t="n"/>
    </row>
    <row r="128">
      <c r="F128" s="44" t="n"/>
      <c r="H128" s="44" t="n"/>
    </row>
    <row r="129">
      <c r="F129" s="44" t="n"/>
      <c r="H129" s="44" t="n"/>
    </row>
    <row r="130">
      <c r="F130" s="44" t="n"/>
      <c r="H130" s="44" t="n"/>
    </row>
    <row r="131">
      <c r="F131" s="44" t="n"/>
      <c r="H131" s="44" t="n"/>
    </row>
    <row r="132">
      <c r="F132" s="44" t="n"/>
      <c r="H132" s="44" t="n"/>
    </row>
    <row r="133">
      <c r="F133" s="44" t="n"/>
      <c r="H133" s="44" t="n"/>
    </row>
    <row r="134">
      <c r="F134" s="44" t="n"/>
      <c r="H134" s="44" t="n"/>
    </row>
    <row r="135">
      <c r="F135" s="44" t="n"/>
      <c r="H135" s="44" t="n"/>
    </row>
    <row r="136">
      <c r="F136" s="44" t="n"/>
      <c r="H136" s="44" t="n"/>
    </row>
    <row r="137">
      <c r="F137" s="44" t="n"/>
      <c r="H137" s="44" t="n"/>
    </row>
    <row r="138">
      <c r="F138" s="44" t="n"/>
      <c r="H138" s="44" t="n"/>
    </row>
    <row r="139">
      <c r="F139" s="44" t="n"/>
      <c r="H139" s="44" t="n"/>
    </row>
    <row r="140">
      <c r="F140" s="44" t="n"/>
      <c r="H140" s="44" t="n"/>
    </row>
    <row r="141">
      <c r="F141" s="44" t="n"/>
      <c r="H141" s="44" t="n"/>
    </row>
    <row r="142">
      <c r="F142" s="44" t="n"/>
      <c r="H142" s="44" t="n"/>
    </row>
    <row r="143">
      <c r="F143" s="44" t="n"/>
      <c r="H143" s="44" t="n"/>
    </row>
    <row r="144">
      <c r="F144" s="44" t="n"/>
      <c r="H144" s="44" t="n"/>
    </row>
    <row r="145">
      <c r="F145" s="44" t="n"/>
      <c r="H145" s="44" t="n"/>
    </row>
    <row r="146">
      <c r="F146" s="44" t="n"/>
      <c r="H146" s="44" t="n"/>
    </row>
    <row r="147">
      <c r="F147" s="44" t="n"/>
      <c r="H147" s="44" t="n"/>
    </row>
    <row r="148">
      <c r="F148" s="44" t="n"/>
      <c r="H148" s="44" t="n"/>
    </row>
    <row r="149">
      <c r="F149" s="44" t="n"/>
      <c r="H149" s="44" t="n"/>
    </row>
    <row r="150">
      <c r="F150" s="44" t="n"/>
      <c r="H150" s="44" t="n"/>
    </row>
    <row r="151">
      <c r="F151" s="44" t="n"/>
      <c r="H151" s="44" t="n"/>
    </row>
    <row r="152">
      <c r="F152" s="44" t="n"/>
      <c r="H152" s="44" t="n"/>
    </row>
    <row r="153">
      <c r="F153" s="44" t="n"/>
      <c r="H153" s="44" t="n"/>
    </row>
    <row r="154">
      <c r="F154" s="44" t="n"/>
      <c r="H154" s="44" t="n"/>
    </row>
    <row r="155">
      <c r="F155" s="44" t="n"/>
      <c r="H155" s="44" t="n"/>
    </row>
    <row r="156">
      <c r="F156" s="44" t="n"/>
      <c r="H156" s="44" t="n"/>
    </row>
    <row r="157">
      <c r="F157" s="44" t="n"/>
      <c r="H157" s="44" t="n"/>
    </row>
    <row r="158">
      <c r="F158" s="44" t="n"/>
      <c r="H158" s="44" t="n"/>
    </row>
    <row r="159">
      <c r="F159" s="44" t="n"/>
      <c r="H159" s="44" t="n"/>
    </row>
    <row r="160">
      <c r="F160" s="44" t="n"/>
      <c r="H160" s="44" t="n"/>
    </row>
    <row r="161">
      <c r="F161" s="44" t="n"/>
      <c r="H161" s="44" t="n"/>
    </row>
    <row r="162">
      <c r="F162" s="44" t="n"/>
      <c r="H162" s="44" t="n"/>
    </row>
    <row r="163">
      <c r="F163" s="44" t="n"/>
      <c r="H163" s="44" t="n"/>
    </row>
    <row r="164">
      <c r="F164" s="44" t="n"/>
      <c r="H164" s="44" t="n"/>
    </row>
    <row r="165">
      <c r="F165" s="44" t="n"/>
      <c r="H165" s="44" t="n"/>
    </row>
    <row r="166">
      <c r="F166" s="44" t="n"/>
      <c r="H166" s="44" t="n"/>
    </row>
    <row r="167">
      <c r="F167" s="44" t="n"/>
      <c r="H167" s="44" t="n"/>
    </row>
    <row r="168">
      <c r="F168" s="44" t="n"/>
      <c r="H168" s="44" t="n"/>
    </row>
    <row r="169">
      <c r="F169" s="44" t="n"/>
      <c r="H169" s="44" t="n"/>
    </row>
    <row r="170">
      <c r="F170" s="44" t="n"/>
      <c r="H170" s="44" t="n"/>
    </row>
    <row r="171">
      <c r="F171" s="44" t="n"/>
      <c r="H171" s="44" t="n"/>
    </row>
    <row r="172">
      <c r="F172" s="44" t="n"/>
      <c r="H172" s="44" t="n"/>
    </row>
    <row r="173">
      <c r="F173" s="44" t="n"/>
      <c r="H173" s="44" t="n"/>
    </row>
    <row r="174">
      <c r="F174" s="44" t="n"/>
      <c r="H174" s="44" t="n"/>
    </row>
    <row r="175">
      <c r="F175" s="44" t="n"/>
      <c r="H175" s="44" t="n"/>
    </row>
    <row r="176">
      <c r="F176" s="44" t="n"/>
      <c r="H176" s="44" t="n"/>
    </row>
    <row r="177">
      <c r="F177" s="44" t="n"/>
      <c r="H177" s="44" t="n"/>
    </row>
    <row r="178">
      <c r="F178" s="44" t="n"/>
      <c r="H178" s="44" t="n"/>
    </row>
    <row r="179">
      <c r="F179" s="44" t="n"/>
      <c r="H179" s="44" t="n"/>
    </row>
    <row r="180">
      <c r="F180" s="44" t="n"/>
      <c r="H180" s="44" t="n"/>
    </row>
    <row r="181">
      <c r="F181" s="44" t="n"/>
      <c r="H181" s="44" t="n"/>
    </row>
    <row r="182">
      <c r="F182" s="44" t="n"/>
      <c r="H182" s="44" t="n"/>
    </row>
    <row r="183">
      <c r="F183" s="44" t="n"/>
      <c r="H183" s="44" t="n"/>
    </row>
    <row r="184">
      <c r="F184" s="44" t="n"/>
      <c r="H184" s="44" t="n"/>
    </row>
    <row r="185">
      <c r="F185" s="44" t="n"/>
      <c r="H185" s="44" t="n"/>
    </row>
    <row r="186">
      <c r="F186" s="44" t="n"/>
      <c r="H186" s="44" t="n"/>
    </row>
    <row r="187">
      <c r="F187" s="44" t="n"/>
      <c r="H187" s="44" t="n"/>
    </row>
    <row r="188">
      <c r="F188" s="44" t="n"/>
      <c r="H188" s="44" t="n"/>
    </row>
    <row r="189">
      <c r="F189" s="44" t="n"/>
      <c r="H189" s="44" t="n"/>
    </row>
    <row r="190">
      <c r="F190" s="44" t="n"/>
      <c r="H190" s="44" t="n"/>
    </row>
    <row r="191">
      <c r="F191" s="44" t="n"/>
      <c r="H191" s="44" t="n"/>
    </row>
    <row r="192">
      <c r="F192" s="44" t="n"/>
      <c r="H192" s="44" t="n"/>
    </row>
    <row r="193">
      <c r="F193" s="44" t="n"/>
      <c r="H193" s="44" t="n"/>
    </row>
    <row r="194">
      <c r="F194" s="44" t="n"/>
      <c r="H194" s="44" t="n"/>
    </row>
    <row r="195">
      <c r="F195" s="44" t="n"/>
      <c r="H195" s="44" t="n"/>
    </row>
    <row r="196">
      <c r="F196" s="44" t="n"/>
      <c r="H196" s="44" t="n"/>
    </row>
    <row r="197">
      <c r="F197" s="44" t="n"/>
      <c r="H197" s="44" t="n"/>
    </row>
    <row r="198">
      <c r="F198" s="44" t="n"/>
      <c r="H198" s="44" t="n"/>
    </row>
    <row r="199">
      <c r="F199" s="44" t="n"/>
      <c r="H199" s="44" t="n"/>
    </row>
    <row r="200">
      <c r="F200" s="44" t="n"/>
      <c r="H200" s="44" t="n"/>
    </row>
    <row r="201">
      <c r="F201" s="44" t="n"/>
      <c r="H201" s="44" t="n"/>
    </row>
    <row r="202">
      <c r="F202" s="44" t="n"/>
      <c r="H202" s="44" t="n"/>
    </row>
    <row r="203">
      <c r="F203" s="44" t="n"/>
      <c r="H203" s="44" t="n"/>
    </row>
    <row r="204">
      <c r="F204" s="44" t="n"/>
      <c r="H204" s="44" t="n"/>
    </row>
    <row r="205">
      <c r="F205" s="44" t="n"/>
      <c r="H205" s="44" t="n"/>
    </row>
    <row r="206">
      <c r="F206" s="44" t="n"/>
      <c r="H206" s="44" t="n"/>
    </row>
    <row r="207">
      <c r="F207" s="44" t="n"/>
      <c r="H207" s="44" t="n"/>
    </row>
    <row r="208">
      <c r="F208" s="44" t="n"/>
      <c r="H208" s="44" t="n"/>
    </row>
    <row r="209">
      <c r="F209" s="44" t="n"/>
      <c r="H209" s="44" t="n"/>
    </row>
    <row r="210">
      <c r="F210" s="44" t="n"/>
      <c r="H210" s="44" t="n"/>
    </row>
    <row r="211">
      <c r="F211" s="44" t="n"/>
      <c r="H211" s="44" t="n"/>
    </row>
    <row r="212">
      <c r="F212" s="44" t="n"/>
      <c r="H212" s="44" t="n"/>
    </row>
    <row r="213">
      <c r="F213" s="44" t="n"/>
      <c r="H213" s="44" t="n"/>
    </row>
    <row r="214">
      <c r="F214" s="44" t="n"/>
      <c r="H214" s="44" t="n"/>
    </row>
    <row r="215">
      <c r="F215" s="44" t="n"/>
      <c r="H215" s="44" t="n"/>
    </row>
    <row r="216">
      <c r="F216" s="44" t="n"/>
      <c r="H216" s="44" t="n"/>
    </row>
    <row r="217">
      <c r="F217" s="44" t="n"/>
      <c r="H217" s="44" t="n"/>
    </row>
    <row r="218">
      <c r="F218" s="44" t="n"/>
      <c r="H218" s="44" t="n"/>
    </row>
    <row r="219">
      <c r="F219" s="44" t="n"/>
      <c r="H219" s="44" t="n"/>
    </row>
    <row r="220">
      <c r="F220" s="44" t="n"/>
      <c r="H220" s="44" t="n"/>
    </row>
    <row r="221">
      <c r="F221" s="44" t="n"/>
      <c r="H221" s="44" t="n"/>
    </row>
    <row r="222">
      <c r="F222" s="44" t="n"/>
      <c r="H222" s="44" t="n"/>
    </row>
    <row r="223">
      <c r="F223" s="44" t="n"/>
      <c r="H223" s="44" t="n"/>
    </row>
    <row r="224">
      <c r="F224" s="44" t="n"/>
      <c r="H224" s="44" t="n"/>
    </row>
    <row r="225">
      <c r="F225" s="44" t="n"/>
      <c r="H225" s="44" t="n"/>
    </row>
    <row r="226">
      <c r="F226" s="44" t="n"/>
      <c r="H226" s="44" t="n"/>
    </row>
    <row r="227">
      <c r="F227" s="44" t="n"/>
      <c r="H227" s="44" t="n"/>
    </row>
    <row r="228">
      <c r="F228" s="44" t="n"/>
      <c r="H228" s="44" t="n"/>
    </row>
    <row r="229">
      <c r="F229" s="44" t="n"/>
      <c r="H229" s="44" t="n"/>
    </row>
    <row r="230">
      <c r="F230" s="44" t="n"/>
      <c r="H230" s="44" t="n"/>
    </row>
    <row r="231">
      <c r="F231" s="44" t="n"/>
      <c r="H231" s="44" t="n"/>
    </row>
    <row r="232">
      <c r="F232" s="44" t="n"/>
      <c r="H232" s="44" t="n"/>
    </row>
    <row r="233">
      <c r="F233" s="44" t="n"/>
      <c r="H233" s="44" t="n"/>
    </row>
    <row r="234">
      <c r="F234" s="44" t="n"/>
      <c r="H234" s="44" t="n"/>
    </row>
    <row r="235">
      <c r="F235" s="44" t="n"/>
      <c r="H235" s="44" t="n"/>
    </row>
    <row r="236">
      <c r="F236" s="44" t="n"/>
      <c r="H236" s="44" t="n"/>
    </row>
    <row r="237">
      <c r="F237" s="44" t="n"/>
      <c r="H237" s="44" t="n"/>
    </row>
    <row r="238">
      <c r="F238" s="44" t="n"/>
      <c r="H238" s="44" t="n"/>
    </row>
    <row r="239">
      <c r="F239" s="44" t="n"/>
      <c r="H239" s="44" t="n"/>
    </row>
    <row r="240">
      <c r="F240" s="44" t="n"/>
      <c r="H240" s="44" t="n"/>
    </row>
    <row r="241">
      <c r="F241" s="44" t="n"/>
      <c r="H241" s="44" t="n"/>
    </row>
    <row r="242">
      <c r="F242" s="44" t="n"/>
      <c r="H242" s="44" t="n"/>
    </row>
    <row r="243">
      <c r="F243" s="44" t="n"/>
      <c r="H243" s="44" t="n"/>
    </row>
    <row r="244">
      <c r="F244" s="44" t="n"/>
      <c r="H244" s="44" t="n"/>
    </row>
    <row r="245">
      <c r="F245" s="44" t="n"/>
      <c r="H245" s="44" t="n"/>
    </row>
    <row r="246">
      <c r="F246" s="44" t="n"/>
      <c r="H246" s="44" t="n"/>
    </row>
    <row r="247">
      <c r="F247" s="44" t="n"/>
      <c r="H247" s="44" t="n"/>
    </row>
    <row r="248">
      <c r="F248" s="44" t="n"/>
      <c r="H248" s="44" t="n"/>
    </row>
    <row r="249">
      <c r="F249" s="44" t="n"/>
      <c r="H249" s="44" t="n"/>
    </row>
    <row r="250">
      <c r="F250" s="44" t="n"/>
      <c r="H250" s="44" t="n"/>
    </row>
    <row r="251">
      <c r="F251" s="44" t="n"/>
      <c r="H251" s="44" t="n"/>
    </row>
    <row r="252">
      <c r="F252" s="44" t="n"/>
      <c r="H252" s="44" t="n"/>
    </row>
    <row r="253">
      <c r="F253" s="44" t="n"/>
      <c r="H253" s="44" t="n"/>
    </row>
    <row r="254">
      <c r="F254" s="44" t="n"/>
      <c r="H254" s="44" t="n"/>
    </row>
    <row r="255">
      <c r="F255" s="44" t="n"/>
      <c r="H255" s="44" t="n"/>
    </row>
    <row r="256">
      <c r="F256" s="44" t="n"/>
      <c r="H256" s="44" t="n"/>
    </row>
    <row r="257">
      <c r="F257" s="44" t="n"/>
      <c r="H257" s="44" t="n"/>
    </row>
    <row r="258">
      <c r="F258" s="44" t="n"/>
      <c r="H258" s="44" t="n"/>
    </row>
    <row r="259">
      <c r="F259" s="44" t="n"/>
      <c r="H259" s="44" t="n"/>
    </row>
    <row r="260">
      <c r="F260" s="44" t="n"/>
      <c r="H260" s="44" t="n"/>
    </row>
    <row r="261">
      <c r="F261" s="44" t="n"/>
      <c r="H261" s="44" t="n"/>
    </row>
    <row r="262">
      <c r="F262" s="44" t="n"/>
      <c r="H262" s="44" t="n"/>
    </row>
    <row r="263">
      <c r="F263" s="44" t="n"/>
      <c r="H263" s="44" t="n"/>
    </row>
    <row r="264">
      <c r="F264" s="44" t="n"/>
      <c r="H264" s="44" t="n"/>
    </row>
    <row r="265">
      <c r="F265" s="44" t="n"/>
      <c r="H265" s="44" t="n"/>
    </row>
    <row r="266">
      <c r="F266" s="44" t="n"/>
      <c r="H266" s="44" t="n"/>
    </row>
    <row r="267">
      <c r="F267" s="44" t="n"/>
      <c r="H267" s="44" t="n"/>
    </row>
    <row r="268">
      <c r="F268" s="44" t="n"/>
      <c r="H268" s="44" t="n"/>
    </row>
    <row r="269">
      <c r="F269" s="44" t="n"/>
      <c r="H269" s="44" t="n"/>
    </row>
    <row r="270">
      <c r="F270" s="44" t="n"/>
      <c r="H270" s="44" t="n"/>
    </row>
    <row r="271">
      <c r="F271" s="44" t="n"/>
      <c r="H271" s="44" t="n"/>
    </row>
    <row r="272">
      <c r="F272" s="44" t="n"/>
      <c r="H272" s="44" t="n"/>
    </row>
    <row r="273">
      <c r="F273" s="44" t="n"/>
      <c r="H273" s="44" t="n"/>
    </row>
    <row r="274">
      <c r="F274" s="44" t="n"/>
      <c r="H274" s="44" t="n"/>
    </row>
    <row r="275">
      <c r="F275" s="44" t="n"/>
      <c r="H275" s="44" t="n"/>
    </row>
    <row r="276">
      <c r="F276" s="44" t="n"/>
      <c r="H276" s="44" t="n"/>
    </row>
    <row r="277">
      <c r="F277" s="44" t="n"/>
      <c r="H277" s="44" t="n"/>
    </row>
    <row r="278">
      <c r="F278" s="44" t="n"/>
      <c r="H278" s="44" t="n"/>
    </row>
    <row r="279">
      <c r="F279" s="44" t="n"/>
      <c r="H279" s="44" t="n"/>
    </row>
    <row r="280">
      <c r="F280" s="44" t="n"/>
      <c r="H280" s="44" t="n"/>
    </row>
    <row r="281">
      <c r="F281" s="44" t="n"/>
      <c r="H281" s="44" t="n"/>
    </row>
    <row r="282">
      <c r="F282" s="44" t="n"/>
      <c r="H282" s="44" t="n"/>
    </row>
    <row r="283">
      <c r="F283" s="44" t="n"/>
      <c r="H283" s="44" t="n"/>
    </row>
    <row r="284">
      <c r="F284" s="44" t="n"/>
      <c r="H284" s="44" t="n"/>
    </row>
    <row r="285">
      <c r="F285" s="44" t="n"/>
      <c r="H285" s="44" t="n"/>
    </row>
    <row r="286">
      <c r="F286" s="44" t="n"/>
      <c r="H286" s="44" t="n"/>
    </row>
    <row r="287">
      <c r="F287" s="44" t="n"/>
      <c r="H287" s="44" t="n"/>
    </row>
    <row r="288">
      <c r="F288" s="44" t="n"/>
      <c r="H288" s="44" t="n"/>
    </row>
    <row r="289">
      <c r="F289" s="44" t="n"/>
      <c r="H289" s="44" t="n"/>
    </row>
    <row r="290">
      <c r="F290" s="44" t="n"/>
      <c r="H290" s="44" t="n"/>
    </row>
    <row r="291">
      <c r="F291" s="44" t="n"/>
      <c r="H291" s="44" t="n"/>
    </row>
    <row r="292">
      <c r="F292" s="44" t="n"/>
      <c r="H292" s="44" t="n"/>
    </row>
    <row r="293">
      <c r="F293" s="44" t="n"/>
      <c r="H293" s="44" t="n"/>
    </row>
    <row r="294">
      <c r="F294" s="44" t="n"/>
      <c r="H294" s="44" t="n"/>
    </row>
    <row r="295">
      <c r="F295" s="44" t="n"/>
      <c r="H295" s="44" t="n"/>
    </row>
    <row r="296">
      <c r="F296" s="44" t="n"/>
      <c r="H296" s="44" t="n"/>
    </row>
    <row r="297">
      <c r="F297" s="44" t="n"/>
      <c r="H297" s="44" t="n"/>
    </row>
    <row r="298">
      <c r="F298" s="44" t="n"/>
      <c r="H298" s="44" t="n"/>
    </row>
    <row r="299">
      <c r="F299" s="44" t="n"/>
      <c r="H299" s="44" t="n"/>
    </row>
    <row r="300">
      <c r="F300" s="44" t="n"/>
      <c r="H300" s="44" t="n"/>
    </row>
    <row r="301">
      <c r="F301" s="44" t="n"/>
      <c r="H301" s="44" t="n"/>
    </row>
    <row r="302">
      <c r="F302" s="44" t="n"/>
      <c r="H302" s="44" t="n"/>
    </row>
    <row r="303">
      <c r="F303" s="44" t="n"/>
      <c r="H303" s="44" t="n"/>
    </row>
    <row r="304">
      <c r="F304" s="44" t="n"/>
      <c r="H304" s="44" t="n"/>
    </row>
  </sheetData>
  <autoFilter ref="A4:I304"/>
  <conditionalFormatting sqref="A5:I304">
    <cfRule type="expression" priority="1" dxfId="2">
      <formula>$E5="完了"</formula>
    </cfRule>
  </conditionalFormatting>
  <dataValidations count="2">
    <dataValidation sqref="E5:E304" showDropDown="0" showInputMessage="0" showErrorMessage="0" allowBlank="1" type="list">
      <formula1>'選択肢マスター'!$L$2:$L$5</formula1>
    </dataValidation>
    <dataValidation sqref="G5:G304" showDropDown="0" showInputMessage="0" showErrorMessage="0" allowBlank="1" type="list">
      <formula1>'選択肢マスター'!$M$2:$M$4</formula1>
    </dataValidation>
  </dataValidations>
  <pageMargins left="0.75" right="0.75" top="1" bottom="1" header="0.5" footer="0.5"/>
</worksheet>
</file>

<file path=xl/worksheets/sheet40.xml><?xml version="1.0" encoding="utf-8"?>
<worksheet xmlns="http://schemas.openxmlformats.org/spreadsheetml/2006/main">
  <sheetPr>
    <tabColor rgb="00C9C9C9"/>
    <outlinePr summaryBelow="1" summaryRight="1"/>
    <pageSetUpPr/>
  </sheetPr>
  <dimension ref="A1:N1004"/>
  <sheetViews>
    <sheetView workbookViewId="0">
      <pane ySplit="4" topLeftCell="A5" activePane="bottomLeft" state="frozen"/>
      <selection pane="bottomLeft" activeCell="A1" sqref="A1"/>
    </sheetView>
  </sheetViews>
  <sheetFormatPr baseColWidth="8" defaultRowHeight="15"/>
  <cols>
    <col width="13" customWidth="1" min="1" max="1"/>
    <col width="9" customWidth="1" min="2" max="2"/>
    <col width="14" customWidth="1" min="3" max="3"/>
    <col width="9" customWidth="1" min="4" max="4"/>
    <col width="9" customWidth="1" min="5" max="5"/>
    <col width="10" customWidth="1" min="6" max="6"/>
    <col width="16" customWidth="1" min="7" max="7"/>
    <col width="10" customWidth="1" min="8" max="8"/>
    <col width="12" customWidth="1" min="9" max="9"/>
    <col width="34" customWidth="1" min="10" max="10"/>
    <col width="8" customWidth="1" min="12" max="12"/>
    <col width="14" customWidth="1" min="13" max="13"/>
    <col width="12" customWidth="1" min="14" max="14"/>
  </cols>
  <sheetData>
    <row r="1" ht="22" customHeight="1">
      <c r="A1" s="1" t="inlineStr">
        <is>
          <t>勤怠管理</t>
        </is>
      </c>
    </row>
    <row r="2">
      <c r="A2" s="2" t="inlineStr">
        <is>
          <t>労働時間は自動計算（終了−開始−休憩）。現場人件費（原価）の根拠になります。</t>
        </is>
      </c>
    </row>
    <row r="3">
      <c r="L3" s="11" t="inlineStr">
        <is>
          <t>▼ 月別 集計（自動）</t>
        </is>
      </c>
    </row>
    <row r="4" ht="30" customHeight="1">
      <c r="A4" s="3" t="inlineStr">
        <is>
          <t>日付</t>
        </is>
      </c>
      <c r="B4" s="3" t="inlineStr">
        <is>
          <t>月(自動)</t>
        </is>
      </c>
      <c r="C4" s="3" t="inlineStr">
        <is>
          <t>氏名</t>
        </is>
      </c>
      <c r="D4" s="3" t="inlineStr">
        <is>
          <t>開始</t>
        </is>
      </c>
      <c r="E4" s="3" t="inlineStr">
        <is>
          <t>終了</t>
        </is>
      </c>
      <c r="F4" s="3" t="inlineStr">
        <is>
          <t>休憩(h)</t>
        </is>
      </c>
      <c r="G4" s="3" t="inlineStr">
        <is>
          <t>労働時間(h・自動)</t>
        </is>
      </c>
      <c r="H4" s="3" t="inlineStr">
        <is>
          <t>現場数</t>
        </is>
      </c>
      <c r="I4" s="3" t="inlineStr">
        <is>
          <t>区分</t>
        </is>
      </c>
      <c r="J4" s="3" t="inlineStr">
        <is>
          <t>メモ</t>
        </is>
      </c>
      <c r="L4" s="3" t="inlineStr">
        <is>
          <t>月</t>
        </is>
      </c>
      <c r="M4" s="3" t="inlineStr">
        <is>
          <t>労働時間(h)</t>
        </is>
      </c>
      <c r="N4" s="3" t="inlineStr">
        <is>
          <t>現場数</t>
        </is>
      </c>
    </row>
    <row r="5">
      <c r="A5" s="44" t="n"/>
      <c r="B5" s="93">
        <f>IFERROR(MONTH($A5),"")</f>
        <v/>
      </c>
      <c r="D5" s="46" t="n"/>
      <c r="E5" s="46" t="n"/>
      <c r="G5" s="94">
        <f>IFERROR(($E5-$D5)*24-$F5,"")</f>
        <v/>
      </c>
      <c r="L5" s="95" t="n">
        <v>1</v>
      </c>
      <c r="M5" s="96">
        <f>SUMIFS($G$5:$G$1004,$B$5:$B$1004,1)</f>
        <v/>
      </c>
      <c r="N5">
        <f>SUMIFS($H$5:$H$1004,$B$5:$B$1004,1)</f>
        <v/>
      </c>
    </row>
    <row r="6">
      <c r="A6" s="44" t="n"/>
      <c r="B6" s="93">
        <f>IFERROR(MONTH($A6),"")</f>
        <v/>
      </c>
      <c r="D6" s="46" t="n"/>
      <c r="E6" s="46" t="n"/>
      <c r="G6" s="94">
        <f>IFERROR(($E6-$D6)*24-$F6,"")</f>
        <v/>
      </c>
      <c r="L6" s="95" t="n">
        <v>2</v>
      </c>
      <c r="M6" s="96">
        <f>SUMIFS($G$5:$G$1004,$B$5:$B$1004,2)</f>
        <v/>
      </c>
      <c r="N6">
        <f>SUMIFS($H$5:$H$1004,$B$5:$B$1004,2)</f>
        <v/>
      </c>
    </row>
    <row r="7">
      <c r="A7" s="44" t="n"/>
      <c r="B7" s="93">
        <f>IFERROR(MONTH($A7),"")</f>
        <v/>
      </c>
      <c r="D7" s="46" t="n"/>
      <c r="E7" s="46" t="n"/>
      <c r="G7" s="94">
        <f>IFERROR(($E7-$D7)*24-$F7,"")</f>
        <v/>
      </c>
      <c r="L7" s="95" t="n">
        <v>3</v>
      </c>
      <c r="M7" s="96">
        <f>SUMIFS($G$5:$G$1004,$B$5:$B$1004,3)</f>
        <v/>
      </c>
      <c r="N7">
        <f>SUMIFS($H$5:$H$1004,$B$5:$B$1004,3)</f>
        <v/>
      </c>
    </row>
    <row r="8">
      <c r="A8" s="44" t="n"/>
      <c r="B8" s="93">
        <f>IFERROR(MONTH($A8),"")</f>
        <v/>
      </c>
      <c r="D8" s="46" t="n"/>
      <c r="E8" s="46" t="n"/>
      <c r="G8" s="94">
        <f>IFERROR(($E8-$D8)*24-$F8,"")</f>
        <v/>
      </c>
      <c r="L8" s="95" t="n">
        <v>4</v>
      </c>
      <c r="M8" s="96">
        <f>SUMIFS($G$5:$G$1004,$B$5:$B$1004,4)</f>
        <v/>
      </c>
      <c r="N8">
        <f>SUMIFS($H$5:$H$1004,$B$5:$B$1004,4)</f>
        <v/>
      </c>
    </row>
    <row r="9">
      <c r="A9" s="44" t="n"/>
      <c r="B9" s="93">
        <f>IFERROR(MONTH($A9),"")</f>
        <v/>
      </c>
      <c r="D9" s="46" t="n"/>
      <c r="E9" s="46" t="n"/>
      <c r="G9" s="94">
        <f>IFERROR(($E9-$D9)*24-$F9,"")</f>
        <v/>
      </c>
      <c r="L9" s="95" t="n">
        <v>5</v>
      </c>
      <c r="M9" s="96">
        <f>SUMIFS($G$5:$G$1004,$B$5:$B$1004,5)</f>
        <v/>
      </c>
      <c r="N9">
        <f>SUMIFS($H$5:$H$1004,$B$5:$B$1004,5)</f>
        <v/>
      </c>
    </row>
    <row r="10">
      <c r="A10" s="44" t="n"/>
      <c r="B10" s="93">
        <f>IFERROR(MONTH($A10),"")</f>
        <v/>
      </c>
      <c r="D10" s="46" t="n"/>
      <c r="E10" s="46" t="n"/>
      <c r="G10" s="94">
        <f>IFERROR(($E10-$D10)*24-$F10,"")</f>
        <v/>
      </c>
      <c r="L10" s="95" t="n">
        <v>6</v>
      </c>
      <c r="M10" s="96">
        <f>SUMIFS($G$5:$G$1004,$B$5:$B$1004,6)</f>
        <v/>
      </c>
      <c r="N10">
        <f>SUMIFS($H$5:$H$1004,$B$5:$B$1004,6)</f>
        <v/>
      </c>
    </row>
    <row r="11">
      <c r="A11" s="44" t="n"/>
      <c r="B11" s="93">
        <f>IFERROR(MONTH($A11),"")</f>
        <v/>
      </c>
      <c r="D11" s="46" t="n"/>
      <c r="E11" s="46" t="n"/>
      <c r="G11" s="94">
        <f>IFERROR(($E11-$D11)*24-$F11,"")</f>
        <v/>
      </c>
      <c r="L11" s="95" t="n">
        <v>7</v>
      </c>
      <c r="M11" s="96">
        <f>SUMIFS($G$5:$G$1004,$B$5:$B$1004,7)</f>
        <v/>
      </c>
      <c r="N11">
        <f>SUMIFS($H$5:$H$1004,$B$5:$B$1004,7)</f>
        <v/>
      </c>
    </row>
    <row r="12">
      <c r="A12" s="44" t="n"/>
      <c r="B12" s="93">
        <f>IFERROR(MONTH($A12),"")</f>
        <v/>
      </c>
      <c r="D12" s="46" t="n"/>
      <c r="E12" s="46" t="n"/>
      <c r="G12" s="94">
        <f>IFERROR(($E12-$D12)*24-$F12,"")</f>
        <v/>
      </c>
      <c r="L12" s="95" t="n">
        <v>8</v>
      </c>
      <c r="M12" s="96">
        <f>SUMIFS($G$5:$G$1004,$B$5:$B$1004,8)</f>
        <v/>
      </c>
      <c r="N12">
        <f>SUMIFS($H$5:$H$1004,$B$5:$B$1004,8)</f>
        <v/>
      </c>
    </row>
    <row r="13">
      <c r="A13" s="44" t="n"/>
      <c r="B13" s="93">
        <f>IFERROR(MONTH($A13),"")</f>
        <v/>
      </c>
      <c r="D13" s="46" t="n"/>
      <c r="E13" s="46" t="n"/>
      <c r="G13" s="94">
        <f>IFERROR(($E13-$D13)*24-$F13,"")</f>
        <v/>
      </c>
      <c r="L13" s="95" t="n">
        <v>9</v>
      </c>
      <c r="M13" s="96">
        <f>SUMIFS($G$5:$G$1004,$B$5:$B$1004,9)</f>
        <v/>
      </c>
      <c r="N13">
        <f>SUMIFS($H$5:$H$1004,$B$5:$B$1004,9)</f>
        <v/>
      </c>
    </row>
    <row r="14">
      <c r="A14" s="44" t="n"/>
      <c r="B14" s="93">
        <f>IFERROR(MONTH($A14),"")</f>
        <v/>
      </c>
      <c r="D14" s="46" t="n"/>
      <c r="E14" s="46" t="n"/>
      <c r="G14" s="94">
        <f>IFERROR(($E14-$D14)*24-$F14,"")</f>
        <v/>
      </c>
      <c r="L14" s="95" t="n">
        <v>10</v>
      </c>
      <c r="M14" s="96">
        <f>SUMIFS($G$5:$G$1004,$B$5:$B$1004,10)</f>
        <v/>
      </c>
      <c r="N14">
        <f>SUMIFS($H$5:$H$1004,$B$5:$B$1004,10)</f>
        <v/>
      </c>
    </row>
    <row r="15">
      <c r="A15" s="44" t="n"/>
      <c r="B15" s="93">
        <f>IFERROR(MONTH($A15),"")</f>
        <v/>
      </c>
      <c r="D15" s="46" t="n"/>
      <c r="E15" s="46" t="n"/>
      <c r="G15" s="94">
        <f>IFERROR(($E15-$D15)*24-$F15,"")</f>
        <v/>
      </c>
      <c r="L15" s="95" t="n">
        <v>11</v>
      </c>
      <c r="M15" s="96">
        <f>SUMIFS($G$5:$G$1004,$B$5:$B$1004,11)</f>
        <v/>
      </c>
      <c r="N15">
        <f>SUMIFS($H$5:$H$1004,$B$5:$B$1004,11)</f>
        <v/>
      </c>
    </row>
    <row r="16">
      <c r="A16" s="44" t="n"/>
      <c r="B16" s="93">
        <f>IFERROR(MONTH($A16),"")</f>
        <v/>
      </c>
      <c r="D16" s="46" t="n"/>
      <c r="E16" s="46" t="n"/>
      <c r="G16" s="94">
        <f>IFERROR(($E16-$D16)*24-$F16,"")</f>
        <v/>
      </c>
      <c r="L16" s="95" t="n">
        <v>12</v>
      </c>
      <c r="M16" s="96">
        <f>SUMIFS($G$5:$G$1004,$B$5:$B$1004,12)</f>
        <v/>
      </c>
      <c r="N16">
        <f>SUMIFS($H$5:$H$1004,$B$5:$B$1004,12)</f>
        <v/>
      </c>
    </row>
    <row r="17">
      <c r="A17" s="44" t="n"/>
      <c r="B17" s="93">
        <f>IFERROR(MONTH($A17),"")</f>
        <v/>
      </c>
      <c r="D17" s="46" t="n"/>
      <c r="E17" s="46" t="n"/>
      <c r="G17" s="94">
        <f>IFERROR(($E17-$D17)*24-$F17,"")</f>
        <v/>
      </c>
      <c r="L17" s="13" t="inlineStr">
        <is>
          <t>年計</t>
        </is>
      </c>
      <c r="M17" s="96">
        <f>SUM(M5:M16)</f>
        <v/>
      </c>
      <c r="N17">
        <f>SUM(N5:N16)</f>
        <v/>
      </c>
    </row>
    <row r="18">
      <c r="A18" s="44" t="n"/>
      <c r="B18" s="93">
        <f>IFERROR(MONTH($A18),"")</f>
        <v/>
      </c>
      <c r="D18" s="46" t="n"/>
      <c r="E18" s="46" t="n"/>
      <c r="G18" s="94">
        <f>IFERROR(($E18-$D18)*24-$F18,"")</f>
        <v/>
      </c>
    </row>
    <row r="19">
      <c r="A19" s="44" t="n"/>
      <c r="B19" s="93">
        <f>IFERROR(MONTH($A19),"")</f>
        <v/>
      </c>
      <c r="D19" s="46" t="n"/>
      <c r="E19" s="46" t="n"/>
      <c r="G19" s="94">
        <f>IFERROR(($E19-$D19)*24-$F19,"")</f>
        <v/>
      </c>
    </row>
    <row r="20">
      <c r="A20" s="44" t="n"/>
      <c r="B20" s="93">
        <f>IFERROR(MONTH($A20),"")</f>
        <v/>
      </c>
      <c r="D20" s="46" t="n"/>
      <c r="E20" s="46" t="n"/>
      <c r="G20" s="94">
        <f>IFERROR(($E20-$D20)*24-$F20,"")</f>
        <v/>
      </c>
    </row>
    <row r="21">
      <c r="A21" s="44" t="n"/>
      <c r="B21" s="93">
        <f>IFERROR(MONTH($A21),"")</f>
        <v/>
      </c>
      <c r="D21" s="46" t="n"/>
      <c r="E21" s="46" t="n"/>
      <c r="G21" s="94">
        <f>IFERROR(($E21-$D21)*24-$F21,"")</f>
        <v/>
      </c>
    </row>
    <row r="22">
      <c r="A22" s="44" t="n"/>
      <c r="B22" s="93">
        <f>IFERROR(MONTH($A22),"")</f>
        <v/>
      </c>
      <c r="D22" s="46" t="n"/>
      <c r="E22" s="46" t="n"/>
      <c r="G22" s="94">
        <f>IFERROR(($E22-$D22)*24-$F22,"")</f>
        <v/>
      </c>
    </row>
    <row r="23">
      <c r="A23" s="44" t="n"/>
      <c r="B23" s="93">
        <f>IFERROR(MONTH($A23),"")</f>
        <v/>
      </c>
      <c r="D23" s="46" t="n"/>
      <c r="E23" s="46" t="n"/>
      <c r="G23" s="94">
        <f>IFERROR(($E23-$D23)*24-$F23,"")</f>
        <v/>
      </c>
    </row>
    <row r="24">
      <c r="A24" s="44" t="n"/>
      <c r="B24" s="93">
        <f>IFERROR(MONTH($A24),"")</f>
        <v/>
      </c>
      <c r="D24" s="46" t="n"/>
      <c r="E24" s="46" t="n"/>
      <c r="G24" s="94">
        <f>IFERROR(($E24-$D24)*24-$F24,"")</f>
        <v/>
      </c>
    </row>
    <row r="25">
      <c r="A25" s="44" t="n"/>
      <c r="B25" s="93">
        <f>IFERROR(MONTH($A25),"")</f>
        <v/>
      </c>
      <c r="D25" s="46" t="n"/>
      <c r="E25" s="46" t="n"/>
      <c r="G25" s="94">
        <f>IFERROR(($E25-$D25)*24-$F25,"")</f>
        <v/>
      </c>
    </row>
    <row r="26">
      <c r="A26" s="44" t="n"/>
      <c r="B26" s="93">
        <f>IFERROR(MONTH($A26),"")</f>
        <v/>
      </c>
      <c r="D26" s="46" t="n"/>
      <c r="E26" s="46" t="n"/>
      <c r="G26" s="94">
        <f>IFERROR(($E26-$D26)*24-$F26,"")</f>
        <v/>
      </c>
    </row>
    <row r="27">
      <c r="A27" s="44" t="n"/>
      <c r="B27" s="93">
        <f>IFERROR(MONTH($A27),"")</f>
        <v/>
      </c>
      <c r="D27" s="46" t="n"/>
      <c r="E27" s="46" t="n"/>
      <c r="G27" s="94">
        <f>IFERROR(($E27-$D27)*24-$F27,"")</f>
        <v/>
      </c>
    </row>
    <row r="28">
      <c r="A28" s="44" t="n"/>
      <c r="B28" s="93">
        <f>IFERROR(MONTH($A28),"")</f>
        <v/>
      </c>
      <c r="D28" s="46" t="n"/>
      <c r="E28" s="46" t="n"/>
      <c r="G28" s="94">
        <f>IFERROR(($E28-$D28)*24-$F28,"")</f>
        <v/>
      </c>
    </row>
    <row r="29">
      <c r="A29" s="44" t="n"/>
      <c r="B29" s="93">
        <f>IFERROR(MONTH($A29),"")</f>
        <v/>
      </c>
      <c r="D29" s="46" t="n"/>
      <c r="E29" s="46" t="n"/>
      <c r="G29" s="94">
        <f>IFERROR(($E29-$D29)*24-$F29,"")</f>
        <v/>
      </c>
    </row>
    <row r="30">
      <c r="A30" s="44" t="n"/>
      <c r="B30" s="93">
        <f>IFERROR(MONTH($A30),"")</f>
        <v/>
      </c>
      <c r="D30" s="46" t="n"/>
      <c r="E30" s="46" t="n"/>
      <c r="G30" s="94">
        <f>IFERROR(($E30-$D30)*24-$F30,"")</f>
        <v/>
      </c>
    </row>
    <row r="31">
      <c r="A31" s="44" t="n"/>
      <c r="B31" s="93">
        <f>IFERROR(MONTH($A31),"")</f>
        <v/>
      </c>
      <c r="D31" s="46" t="n"/>
      <c r="E31" s="46" t="n"/>
      <c r="G31" s="94">
        <f>IFERROR(($E31-$D31)*24-$F31,"")</f>
        <v/>
      </c>
    </row>
    <row r="32">
      <c r="A32" s="44" t="n"/>
      <c r="B32" s="93">
        <f>IFERROR(MONTH($A32),"")</f>
        <v/>
      </c>
      <c r="D32" s="46" t="n"/>
      <c r="E32" s="46" t="n"/>
      <c r="G32" s="94">
        <f>IFERROR(($E32-$D32)*24-$F32,"")</f>
        <v/>
      </c>
    </row>
    <row r="33">
      <c r="A33" s="44" t="n"/>
      <c r="B33" s="93">
        <f>IFERROR(MONTH($A33),"")</f>
        <v/>
      </c>
      <c r="D33" s="46" t="n"/>
      <c r="E33" s="46" t="n"/>
      <c r="G33" s="94">
        <f>IFERROR(($E33-$D33)*24-$F33,"")</f>
        <v/>
      </c>
    </row>
    <row r="34">
      <c r="A34" s="44" t="n"/>
      <c r="B34" s="93">
        <f>IFERROR(MONTH($A34),"")</f>
        <v/>
      </c>
      <c r="D34" s="46" t="n"/>
      <c r="E34" s="46" t="n"/>
      <c r="G34" s="94">
        <f>IFERROR(($E34-$D34)*24-$F34,"")</f>
        <v/>
      </c>
    </row>
    <row r="35">
      <c r="A35" s="44" t="n"/>
      <c r="B35" s="93">
        <f>IFERROR(MONTH($A35),"")</f>
        <v/>
      </c>
      <c r="D35" s="46" t="n"/>
      <c r="E35" s="46" t="n"/>
      <c r="G35" s="94">
        <f>IFERROR(($E35-$D35)*24-$F35,"")</f>
        <v/>
      </c>
    </row>
    <row r="36">
      <c r="A36" s="44" t="n"/>
      <c r="B36" s="93">
        <f>IFERROR(MONTH($A36),"")</f>
        <v/>
      </c>
      <c r="D36" s="46" t="n"/>
      <c r="E36" s="46" t="n"/>
      <c r="G36" s="94">
        <f>IFERROR(($E36-$D36)*24-$F36,"")</f>
        <v/>
      </c>
    </row>
    <row r="37">
      <c r="A37" s="44" t="n"/>
      <c r="B37" s="93">
        <f>IFERROR(MONTH($A37),"")</f>
        <v/>
      </c>
      <c r="D37" s="46" t="n"/>
      <c r="E37" s="46" t="n"/>
      <c r="G37" s="94">
        <f>IFERROR(($E37-$D37)*24-$F37,"")</f>
        <v/>
      </c>
    </row>
    <row r="38">
      <c r="A38" s="44" t="n"/>
      <c r="B38" s="93">
        <f>IFERROR(MONTH($A38),"")</f>
        <v/>
      </c>
      <c r="D38" s="46" t="n"/>
      <c r="E38" s="46" t="n"/>
      <c r="G38" s="94">
        <f>IFERROR(($E38-$D38)*24-$F38,"")</f>
        <v/>
      </c>
    </row>
    <row r="39">
      <c r="A39" s="44" t="n"/>
      <c r="B39" s="93">
        <f>IFERROR(MONTH($A39),"")</f>
        <v/>
      </c>
      <c r="D39" s="46" t="n"/>
      <c r="E39" s="46" t="n"/>
      <c r="G39" s="94">
        <f>IFERROR(($E39-$D39)*24-$F39,"")</f>
        <v/>
      </c>
    </row>
    <row r="40">
      <c r="A40" s="44" t="n"/>
      <c r="B40" s="93">
        <f>IFERROR(MONTH($A40),"")</f>
        <v/>
      </c>
      <c r="D40" s="46" t="n"/>
      <c r="E40" s="46" t="n"/>
      <c r="G40" s="94">
        <f>IFERROR(($E40-$D40)*24-$F40,"")</f>
        <v/>
      </c>
    </row>
    <row r="41">
      <c r="A41" s="44" t="n"/>
      <c r="B41" s="93">
        <f>IFERROR(MONTH($A41),"")</f>
        <v/>
      </c>
      <c r="D41" s="46" t="n"/>
      <c r="E41" s="46" t="n"/>
      <c r="G41" s="94">
        <f>IFERROR(($E41-$D41)*24-$F41,"")</f>
        <v/>
      </c>
    </row>
    <row r="42">
      <c r="A42" s="44" t="n"/>
      <c r="B42" s="93">
        <f>IFERROR(MONTH($A42),"")</f>
        <v/>
      </c>
      <c r="D42" s="46" t="n"/>
      <c r="E42" s="46" t="n"/>
      <c r="G42" s="94">
        <f>IFERROR(($E42-$D42)*24-$F42,"")</f>
        <v/>
      </c>
    </row>
    <row r="43">
      <c r="A43" s="44" t="n"/>
      <c r="B43" s="93">
        <f>IFERROR(MONTH($A43),"")</f>
        <v/>
      </c>
      <c r="D43" s="46" t="n"/>
      <c r="E43" s="46" t="n"/>
      <c r="G43" s="94">
        <f>IFERROR(($E43-$D43)*24-$F43,"")</f>
        <v/>
      </c>
    </row>
    <row r="44">
      <c r="A44" s="44" t="n"/>
      <c r="B44" s="93">
        <f>IFERROR(MONTH($A44),"")</f>
        <v/>
      </c>
      <c r="D44" s="46" t="n"/>
      <c r="E44" s="46" t="n"/>
      <c r="G44" s="94">
        <f>IFERROR(($E44-$D44)*24-$F44,"")</f>
        <v/>
      </c>
    </row>
    <row r="45">
      <c r="A45" s="44" t="n"/>
      <c r="B45" s="93">
        <f>IFERROR(MONTH($A45),"")</f>
        <v/>
      </c>
      <c r="D45" s="46" t="n"/>
      <c r="E45" s="46" t="n"/>
      <c r="G45" s="94">
        <f>IFERROR(($E45-$D45)*24-$F45,"")</f>
        <v/>
      </c>
    </row>
    <row r="46">
      <c r="A46" s="44" t="n"/>
      <c r="B46" s="93">
        <f>IFERROR(MONTH($A46),"")</f>
        <v/>
      </c>
      <c r="D46" s="46" t="n"/>
      <c r="E46" s="46" t="n"/>
      <c r="G46" s="94">
        <f>IFERROR(($E46-$D46)*24-$F46,"")</f>
        <v/>
      </c>
    </row>
    <row r="47">
      <c r="A47" s="44" t="n"/>
      <c r="B47" s="93">
        <f>IFERROR(MONTH($A47),"")</f>
        <v/>
      </c>
      <c r="D47" s="46" t="n"/>
      <c r="E47" s="46" t="n"/>
      <c r="G47" s="94">
        <f>IFERROR(($E47-$D47)*24-$F47,"")</f>
        <v/>
      </c>
    </row>
    <row r="48">
      <c r="A48" s="44" t="n"/>
      <c r="B48" s="93">
        <f>IFERROR(MONTH($A48),"")</f>
        <v/>
      </c>
      <c r="D48" s="46" t="n"/>
      <c r="E48" s="46" t="n"/>
      <c r="G48" s="94">
        <f>IFERROR(($E48-$D48)*24-$F48,"")</f>
        <v/>
      </c>
    </row>
    <row r="49">
      <c r="A49" s="44" t="n"/>
      <c r="B49" s="93">
        <f>IFERROR(MONTH($A49),"")</f>
        <v/>
      </c>
      <c r="D49" s="46" t="n"/>
      <c r="E49" s="46" t="n"/>
      <c r="G49" s="94">
        <f>IFERROR(($E49-$D49)*24-$F49,"")</f>
        <v/>
      </c>
    </row>
    <row r="50">
      <c r="A50" s="44" t="n"/>
      <c r="B50" s="93">
        <f>IFERROR(MONTH($A50),"")</f>
        <v/>
      </c>
      <c r="D50" s="46" t="n"/>
      <c r="E50" s="46" t="n"/>
      <c r="G50" s="94">
        <f>IFERROR(($E50-$D50)*24-$F50,"")</f>
        <v/>
      </c>
    </row>
    <row r="51">
      <c r="A51" s="44" t="n"/>
      <c r="B51" s="93">
        <f>IFERROR(MONTH($A51),"")</f>
        <v/>
      </c>
      <c r="D51" s="46" t="n"/>
      <c r="E51" s="46" t="n"/>
      <c r="G51" s="94">
        <f>IFERROR(($E51-$D51)*24-$F51,"")</f>
        <v/>
      </c>
    </row>
    <row r="52">
      <c r="A52" s="44" t="n"/>
      <c r="B52" s="93">
        <f>IFERROR(MONTH($A52),"")</f>
        <v/>
      </c>
      <c r="D52" s="46" t="n"/>
      <c r="E52" s="46" t="n"/>
      <c r="G52" s="94">
        <f>IFERROR(($E52-$D52)*24-$F52,"")</f>
        <v/>
      </c>
    </row>
    <row r="53">
      <c r="A53" s="44" t="n"/>
      <c r="B53" s="93">
        <f>IFERROR(MONTH($A53),"")</f>
        <v/>
      </c>
      <c r="D53" s="46" t="n"/>
      <c r="E53" s="46" t="n"/>
      <c r="G53" s="94">
        <f>IFERROR(($E53-$D53)*24-$F53,"")</f>
        <v/>
      </c>
    </row>
    <row r="54">
      <c r="A54" s="44" t="n"/>
      <c r="B54" s="93">
        <f>IFERROR(MONTH($A54),"")</f>
        <v/>
      </c>
      <c r="D54" s="46" t="n"/>
      <c r="E54" s="46" t="n"/>
      <c r="G54" s="94">
        <f>IFERROR(($E54-$D54)*24-$F54,"")</f>
        <v/>
      </c>
    </row>
    <row r="55">
      <c r="A55" s="44" t="n"/>
      <c r="B55" s="93">
        <f>IFERROR(MONTH($A55),"")</f>
        <v/>
      </c>
      <c r="D55" s="46" t="n"/>
      <c r="E55" s="46" t="n"/>
      <c r="G55" s="94">
        <f>IFERROR(($E55-$D55)*24-$F55,"")</f>
        <v/>
      </c>
    </row>
    <row r="56">
      <c r="A56" s="44" t="n"/>
      <c r="B56" s="93">
        <f>IFERROR(MONTH($A56),"")</f>
        <v/>
      </c>
      <c r="D56" s="46" t="n"/>
      <c r="E56" s="46" t="n"/>
      <c r="G56" s="94">
        <f>IFERROR(($E56-$D56)*24-$F56,"")</f>
        <v/>
      </c>
    </row>
    <row r="57">
      <c r="A57" s="44" t="n"/>
      <c r="B57" s="93">
        <f>IFERROR(MONTH($A57),"")</f>
        <v/>
      </c>
      <c r="D57" s="46" t="n"/>
      <c r="E57" s="46" t="n"/>
      <c r="G57" s="94">
        <f>IFERROR(($E57-$D57)*24-$F57,"")</f>
        <v/>
      </c>
    </row>
    <row r="58">
      <c r="A58" s="44" t="n"/>
      <c r="B58" s="93">
        <f>IFERROR(MONTH($A58),"")</f>
        <v/>
      </c>
      <c r="D58" s="46" t="n"/>
      <c r="E58" s="46" t="n"/>
      <c r="G58" s="94">
        <f>IFERROR(($E58-$D58)*24-$F58,"")</f>
        <v/>
      </c>
    </row>
    <row r="59">
      <c r="A59" s="44" t="n"/>
      <c r="B59" s="93">
        <f>IFERROR(MONTH($A59),"")</f>
        <v/>
      </c>
      <c r="D59" s="46" t="n"/>
      <c r="E59" s="46" t="n"/>
      <c r="G59" s="94">
        <f>IFERROR(($E59-$D59)*24-$F59,"")</f>
        <v/>
      </c>
    </row>
    <row r="60">
      <c r="A60" s="44" t="n"/>
      <c r="B60" s="93">
        <f>IFERROR(MONTH($A60),"")</f>
        <v/>
      </c>
      <c r="D60" s="46" t="n"/>
      <c r="E60" s="46" t="n"/>
      <c r="G60" s="94">
        <f>IFERROR(($E60-$D60)*24-$F60,"")</f>
        <v/>
      </c>
    </row>
    <row r="61">
      <c r="A61" s="44" t="n"/>
      <c r="B61" s="93">
        <f>IFERROR(MONTH($A61),"")</f>
        <v/>
      </c>
      <c r="D61" s="46" t="n"/>
      <c r="E61" s="46" t="n"/>
      <c r="G61" s="94">
        <f>IFERROR(($E61-$D61)*24-$F61,"")</f>
        <v/>
      </c>
    </row>
    <row r="62">
      <c r="A62" s="44" t="n"/>
      <c r="B62" s="93">
        <f>IFERROR(MONTH($A62),"")</f>
        <v/>
      </c>
      <c r="D62" s="46" t="n"/>
      <c r="E62" s="46" t="n"/>
      <c r="G62" s="94">
        <f>IFERROR(($E62-$D62)*24-$F62,"")</f>
        <v/>
      </c>
    </row>
    <row r="63">
      <c r="A63" s="44" t="n"/>
      <c r="B63" s="93">
        <f>IFERROR(MONTH($A63),"")</f>
        <v/>
      </c>
      <c r="D63" s="46" t="n"/>
      <c r="E63" s="46" t="n"/>
      <c r="G63" s="94">
        <f>IFERROR(($E63-$D63)*24-$F63,"")</f>
        <v/>
      </c>
    </row>
    <row r="64">
      <c r="A64" s="44" t="n"/>
      <c r="B64" s="93">
        <f>IFERROR(MONTH($A64),"")</f>
        <v/>
      </c>
      <c r="D64" s="46" t="n"/>
      <c r="E64" s="46" t="n"/>
      <c r="G64" s="94">
        <f>IFERROR(($E64-$D64)*24-$F64,"")</f>
        <v/>
      </c>
    </row>
    <row r="65">
      <c r="A65" s="44" t="n"/>
      <c r="B65" s="93">
        <f>IFERROR(MONTH($A65),"")</f>
        <v/>
      </c>
      <c r="D65" s="46" t="n"/>
      <c r="E65" s="46" t="n"/>
      <c r="G65" s="94">
        <f>IFERROR(($E65-$D65)*24-$F65,"")</f>
        <v/>
      </c>
    </row>
    <row r="66">
      <c r="A66" s="44" t="n"/>
      <c r="B66" s="93">
        <f>IFERROR(MONTH($A66),"")</f>
        <v/>
      </c>
      <c r="D66" s="46" t="n"/>
      <c r="E66" s="46" t="n"/>
      <c r="G66" s="94">
        <f>IFERROR(($E66-$D66)*24-$F66,"")</f>
        <v/>
      </c>
    </row>
    <row r="67">
      <c r="A67" s="44" t="n"/>
      <c r="B67" s="93">
        <f>IFERROR(MONTH($A67),"")</f>
        <v/>
      </c>
      <c r="D67" s="46" t="n"/>
      <c r="E67" s="46" t="n"/>
      <c r="G67" s="94">
        <f>IFERROR(($E67-$D67)*24-$F67,"")</f>
        <v/>
      </c>
    </row>
    <row r="68">
      <c r="A68" s="44" t="n"/>
      <c r="B68" s="93">
        <f>IFERROR(MONTH($A68),"")</f>
        <v/>
      </c>
      <c r="D68" s="46" t="n"/>
      <c r="E68" s="46" t="n"/>
      <c r="G68" s="94">
        <f>IFERROR(($E68-$D68)*24-$F68,"")</f>
        <v/>
      </c>
    </row>
    <row r="69">
      <c r="A69" s="44" t="n"/>
      <c r="B69" s="93">
        <f>IFERROR(MONTH($A69),"")</f>
        <v/>
      </c>
      <c r="D69" s="46" t="n"/>
      <c r="E69" s="46" t="n"/>
      <c r="G69" s="94">
        <f>IFERROR(($E69-$D69)*24-$F69,"")</f>
        <v/>
      </c>
    </row>
    <row r="70">
      <c r="A70" s="44" t="n"/>
      <c r="B70" s="93">
        <f>IFERROR(MONTH($A70),"")</f>
        <v/>
      </c>
      <c r="D70" s="46" t="n"/>
      <c r="E70" s="46" t="n"/>
      <c r="G70" s="94">
        <f>IFERROR(($E70-$D70)*24-$F70,"")</f>
        <v/>
      </c>
    </row>
    <row r="71">
      <c r="A71" s="44" t="n"/>
      <c r="B71" s="93">
        <f>IFERROR(MONTH($A71),"")</f>
        <v/>
      </c>
      <c r="D71" s="46" t="n"/>
      <c r="E71" s="46" t="n"/>
      <c r="G71" s="94">
        <f>IFERROR(($E71-$D71)*24-$F71,"")</f>
        <v/>
      </c>
    </row>
    <row r="72">
      <c r="A72" s="44" t="n"/>
      <c r="B72" s="93">
        <f>IFERROR(MONTH($A72),"")</f>
        <v/>
      </c>
      <c r="D72" s="46" t="n"/>
      <c r="E72" s="46" t="n"/>
      <c r="G72" s="94">
        <f>IFERROR(($E72-$D72)*24-$F72,"")</f>
        <v/>
      </c>
    </row>
    <row r="73">
      <c r="A73" s="44" t="n"/>
      <c r="B73" s="93">
        <f>IFERROR(MONTH($A73),"")</f>
        <v/>
      </c>
      <c r="D73" s="46" t="n"/>
      <c r="E73" s="46" t="n"/>
      <c r="G73" s="94">
        <f>IFERROR(($E73-$D73)*24-$F73,"")</f>
        <v/>
      </c>
    </row>
    <row r="74">
      <c r="A74" s="44" t="n"/>
      <c r="B74" s="93">
        <f>IFERROR(MONTH($A74),"")</f>
        <v/>
      </c>
      <c r="D74" s="46" t="n"/>
      <c r="E74" s="46" t="n"/>
      <c r="G74" s="94">
        <f>IFERROR(($E74-$D74)*24-$F74,"")</f>
        <v/>
      </c>
    </row>
    <row r="75">
      <c r="A75" s="44" t="n"/>
      <c r="B75" s="93">
        <f>IFERROR(MONTH($A75),"")</f>
        <v/>
      </c>
      <c r="D75" s="46" t="n"/>
      <c r="E75" s="46" t="n"/>
      <c r="G75" s="94">
        <f>IFERROR(($E75-$D75)*24-$F75,"")</f>
        <v/>
      </c>
    </row>
    <row r="76">
      <c r="A76" s="44" t="n"/>
      <c r="B76" s="93">
        <f>IFERROR(MONTH($A76),"")</f>
        <v/>
      </c>
      <c r="D76" s="46" t="n"/>
      <c r="E76" s="46" t="n"/>
      <c r="G76" s="94">
        <f>IFERROR(($E76-$D76)*24-$F76,"")</f>
        <v/>
      </c>
    </row>
    <row r="77">
      <c r="A77" s="44" t="n"/>
      <c r="B77" s="93">
        <f>IFERROR(MONTH($A77),"")</f>
        <v/>
      </c>
      <c r="D77" s="46" t="n"/>
      <c r="E77" s="46" t="n"/>
      <c r="G77" s="94">
        <f>IFERROR(($E77-$D77)*24-$F77,"")</f>
        <v/>
      </c>
    </row>
    <row r="78">
      <c r="A78" s="44" t="n"/>
      <c r="B78" s="93">
        <f>IFERROR(MONTH($A78),"")</f>
        <v/>
      </c>
      <c r="D78" s="46" t="n"/>
      <c r="E78" s="46" t="n"/>
      <c r="G78" s="94">
        <f>IFERROR(($E78-$D78)*24-$F78,"")</f>
        <v/>
      </c>
    </row>
    <row r="79">
      <c r="A79" s="44" t="n"/>
      <c r="B79" s="93">
        <f>IFERROR(MONTH($A79),"")</f>
        <v/>
      </c>
      <c r="D79" s="46" t="n"/>
      <c r="E79" s="46" t="n"/>
      <c r="G79" s="94">
        <f>IFERROR(($E79-$D79)*24-$F79,"")</f>
        <v/>
      </c>
    </row>
    <row r="80">
      <c r="A80" s="44" t="n"/>
      <c r="B80" s="93">
        <f>IFERROR(MONTH($A80),"")</f>
        <v/>
      </c>
      <c r="D80" s="46" t="n"/>
      <c r="E80" s="46" t="n"/>
      <c r="G80" s="94">
        <f>IFERROR(($E80-$D80)*24-$F80,"")</f>
        <v/>
      </c>
    </row>
    <row r="81">
      <c r="A81" s="44" t="n"/>
      <c r="B81" s="93">
        <f>IFERROR(MONTH($A81),"")</f>
        <v/>
      </c>
      <c r="D81" s="46" t="n"/>
      <c r="E81" s="46" t="n"/>
      <c r="G81" s="94">
        <f>IFERROR(($E81-$D81)*24-$F81,"")</f>
        <v/>
      </c>
    </row>
    <row r="82">
      <c r="A82" s="44" t="n"/>
      <c r="B82" s="93">
        <f>IFERROR(MONTH($A82),"")</f>
        <v/>
      </c>
      <c r="D82" s="46" t="n"/>
      <c r="E82" s="46" t="n"/>
      <c r="G82" s="94">
        <f>IFERROR(($E82-$D82)*24-$F82,"")</f>
        <v/>
      </c>
    </row>
    <row r="83">
      <c r="A83" s="44" t="n"/>
      <c r="B83" s="93">
        <f>IFERROR(MONTH($A83),"")</f>
        <v/>
      </c>
      <c r="D83" s="46" t="n"/>
      <c r="E83" s="46" t="n"/>
      <c r="G83" s="94">
        <f>IFERROR(($E83-$D83)*24-$F83,"")</f>
        <v/>
      </c>
    </row>
    <row r="84">
      <c r="A84" s="44" t="n"/>
      <c r="B84" s="93">
        <f>IFERROR(MONTH($A84),"")</f>
        <v/>
      </c>
      <c r="D84" s="46" t="n"/>
      <c r="E84" s="46" t="n"/>
      <c r="G84" s="94">
        <f>IFERROR(($E84-$D84)*24-$F84,"")</f>
        <v/>
      </c>
    </row>
    <row r="85">
      <c r="A85" s="44" t="n"/>
      <c r="B85" s="93">
        <f>IFERROR(MONTH($A85),"")</f>
        <v/>
      </c>
      <c r="D85" s="46" t="n"/>
      <c r="E85" s="46" t="n"/>
      <c r="G85" s="94">
        <f>IFERROR(($E85-$D85)*24-$F85,"")</f>
        <v/>
      </c>
    </row>
    <row r="86">
      <c r="A86" s="44" t="n"/>
      <c r="B86" s="93">
        <f>IFERROR(MONTH($A86),"")</f>
        <v/>
      </c>
      <c r="D86" s="46" t="n"/>
      <c r="E86" s="46" t="n"/>
      <c r="G86" s="94">
        <f>IFERROR(($E86-$D86)*24-$F86,"")</f>
        <v/>
      </c>
    </row>
    <row r="87">
      <c r="A87" s="44" t="n"/>
      <c r="B87" s="93">
        <f>IFERROR(MONTH($A87),"")</f>
        <v/>
      </c>
      <c r="D87" s="46" t="n"/>
      <c r="E87" s="46" t="n"/>
      <c r="G87" s="94">
        <f>IFERROR(($E87-$D87)*24-$F87,"")</f>
        <v/>
      </c>
    </row>
    <row r="88">
      <c r="A88" s="44" t="n"/>
      <c r="B88" s="93">
        <f>IFERROR(MONTH($A88),"")</f>
        <v/>
      </c>
      <c r="D88" s="46" t="n"/>
      <c r="E88" s="46" t="n"/>
      <c r="G88" s="94">
        <f>IFERROR(($E88-$D88)*24-$F88,"")</f>
        <v/>
      </c>
    </row>
    <row r="89">
      <c r="A89" s="44" t="n"/>
      <c r="B89" s="93">
        <f>IFERROR(MONTH($A89),"")</f>
        <v/>
      </c>
      <c r="D89" s="46" t="n"/>
      <c r="E89" s="46" t="n"/>
      <c r="G89" s="94">
        <f>IFERROR(($E89-$D89)*24-$F89,"")</f>
        <v/>
      </c>
    </row>
    <row r="90">
      <c r="A90" s="44" t="n"/>
      <c r="B90" s="93">
        <f>IFERROR(MONTH($A90),"")</f>
        <v/>
      </c>
      <c r="D90" s="46" t="n"/>
      <c r="E90" s="46" t="n"/>
      <c r="G90" s="94">
        <f>IFERROR(($E90-$D90)*24-$F90,"")</f>
        <v/>
      </c>
    </row>
    <row r="91">
      <c r="A91" s="44" t="n"/>
      <c r="B91" s="93">
        <f>IFERROR(MONTH($A91),"")</f>
        <v/>
      </c>
      <c r="D91" s="46" t="n"/>
      <c r="E91" s="46" t="n"/>
      <c r="G91" s="94">
        <f>IFERROR(($E91-$D91)*24-$F91,"")</f>
        <v/>
      </c>
    </row>
    <row r="92">
      <c r="A92" s="44" t="n"/>
      <c r="B92" s="93">
        <f>IFERROR(MONTH($A92),"")</f>
        <v/>
      </c>
      <c r="D92" s="46" t="n"/>
      <c r="E92" s="46" t="n"/>
      <c r="G92" s="94">
        <f>IFERROR(($E92-$D92)*24-$F92,"")</f>
        <v/>
      </c>
    </row>
    <row r="93">
      <c r="A93" s="44" t="n"/>
      <c r="B93" s="93">
        <f>IFERROR(MONTH($A93),"")</f>
        <v/>
      </c>
      <c r="D93" s="46" t="n"/>
      <c r="E93" s="46" t="n"/>
      <c r="G93" s="94">
        <f>IFERROR(($E93-$D93)*24-$F93,"")</f>
        <v/>
      </c>
    </row>
    <row r="94">
      <c r="A94" s="44" t="n"/>
      <c r="B94" s="93">
        <f>IFERROR(MONTH($A94),"")</f>
        <v/>
      </c>
      <c r="D94" s="46" t="n"/>
      <c r="E94" s="46" t="n"/>
      <c r="G94" s="94">
        <f>IFERROR(($E94-$D94)*24-$F94,"")</f>
        <v/>
      </c>
    </row>
    <row r="95">
      <c r="A95" s="44" t="n"/>
      <c r="B95" s="93">
        <f>IFERROR(MONTH($A95),"")</f>
        <v/>
      </c>
      <c r="D95" s="46" t="n"/>
      <c r="E95" s="46" t="n"/>
      <c r="G95" s="94">
        <f>IFERROR(($E95-$D95)*24-$F95,"")</f>
        <v/>
      </c>
    </row>
    <row r="96">
      <c r="A96" s="44" t="n"/>
      <c r="B96" s="93">
        <f>IFERROR(MONTH($A96),"")</f>
        <v/>
      </c>
      <c r="D96" s="46" t="n"/>
      <c r="E96" s="46" t="n"/>
      <c r="G96" s="94">
        <f>IFERROR(($E96-$D96)*24-$F96,"")</f>
        <v/>
      </c>
    </row>
    <row r="97">
      <c r="A97" s="44" t="n"/>
      <c r="B97" s="93">
        <f>IFERROR(MONTH($A97),"")</f>
        <v/>
      </c>
      <c r="D97" s="46" t="n"/>
      <c r="E97" s="46" t="n"/>
      <c r="G97" s="94">
        <f>IFERROR(($E97-$D97)*24-$F97,"")</f>
        <v/>
      </c>
    </row>
    <row r="98">
      <c r="A98" s="44" t="n"/>
      <c r="B98" s="93">
        <f>IFERROR(MONTH($A98),"")</f>
        <v/>
      </c>
      <c r="D98" s="46" t="n"/>
      <c r="E98" s="46" t="n"/>
      <c r="G98" s="94">
        <f>IFERROR(($E98-$D98)*24-$F98,"")</f>
        <v/>
      </c>
    </row>
    <row r="99">
      <c r="A99" s="44" t="n"/>
      <c r="B99" s="93">
        <f>IFERROR(MONTH($A99),"")</f>
        <v/>
      </c>
      <c r="D99" s="46" t="n"/>
      <c r="E99" s="46" t="n"/>
      <c r="G99" s="94">
        <f>IFERROR(($E99-$D99)*24-$F99,"")</f>
        <v/>
      </c>
    </row>
    <row r="100">
      <c r="A100" s="44" t="n"/>
      <c r="B100" s="93">
        <f>IFERROR(MONTH($A100),"")</f>
        <v/>
      </c>
      <c r="D100" s="46" t="n"/>
      <c r="E100" s="46" t="n"/>
      <c r="G100" s="94">
        <f>IFERROR(($E100-$D100)*24-$F100,"")</f>
        <v/>
      </c>
    </row>
    <row r="101">
      <c r="A101" s="44" t="n"/>
      <c r="B101" s="93">
        <f>IFERROR(MONTH($A101),"")</f>
        <v/>
      </c>
      <c r="D101" s="46" t="n"/>
      <c r="E101" s="46" t="n"/>
      <c r="G101" s="94">
        <f>IFERROR(($E101-$D101)*24-$F101,"")</f>
        <v/>
      </c>
    </row>
    <row r="102">
      <c r="A102" s="44" t="n"/>
      <c r="B102" s="93">
        <f>IFERROR(MONTH($A102),"")</f>
        <v/>
      </c>
      <c r="D102" s="46" t="n"/>
      <c r="E102" s="46" t="n"/>
      <c r="G102" s="94">
        <f>IFERROR(($E102-$D102)*24-$F102,"")</f>
        <v/>
      </c>
    </row>
    <row r="103">
      <c r="A103" s="44" t="n"/>
      <c r="B103" s="93">
        <f>IFERROR(MONTH($A103),"")</f>
        <v/>
      </c>
      <c r="D103" s="46" t="n"/>
      <c r="E103" s="46" t="n"/>
      <c r="G103" s="94">
        <f>IFERROR(($E103-$D103)*24-$F103,"")</f>
        <v/>
      </c>
    </row>
    <row r="104">
      <c r="A104" s="44" t="n"/>
      <c r="B104" s="93">
        <f>IFERROR(MONTH($A104),"")</f>
        <v/>
      </c>
      <c r="D104" s="46" t="n"/>
      <c r="E104" s="46" t="n"/>
      <c r="G104" s="94">
        <f>IFERROR(($E104-$D104)*24-$F104,"")</f>
        <v/>
      </c>
    </row>
    <row r="105">
      <c r="A105" s="44" t="n"/>
      <c r="B105" s="93">
        <f>IFERROR(MONTH($A105),"")</f>
        <v/>
      </c>
      <c r="D105" s="46" t="n"/>
      <c r="E105" s="46" t="n"/>
      <c r="G105" s="94">
        <f>IFERROR(($E105-$D105)*24-$F105,"")</f>
        <v/>
      </c>
    </row>
    <row r="106">
      <c r="A106" s="44" t="n"/>
      <c r="B106" s="93">
        <f>IFERROR(MONTH($A106),"")</f>
        <v/>
      </c>
      <c r="D106" s="46" t="n"/>
      <c r="E106" s="46" t="n"/>
      <c r="G106" s="94">
        <f>IFERROR(($E106-$D106)*24-$F106,"")</f>
        <v/>
      </c>
    </row>
    <row r="107">
      <c r="A107" s="44" t="n"/>
      <c r="B107" s="93">
        <f>IFERROR(MONTH($A107),"")</f>
        <v/>
      </c>
      <c r="D107" s="46" t="n"/>
      <c r="E107" s="46" t="n"/>
      <c r="G107" s="94">
        <f>IFERROR(($E107-$D107)*24-$F107,"")</f>
        <v/>
      </c>
    </row>
    <row r="108">
      <c r="A108" s="44" t="n"/>
      <c r="B108" s="93">
        <f>IFERROR(MONTH($A108),"")</f>
        <v/>
      </c>
      <c r="D108" s="46" t="n"/>
      <c r="E108" s="46" t="n"/>
      <c r="G108" s="94">
        <f>IFERROR(($E108-$D108)*24-$F108,"")</f>
        <v/>
      </c>
    </row>
    <row r="109">
      <c r="A109" s="44" t="n"/>
      <c r="B109" s="93">
        <f>IFERROR(MONTH($A109),"")</f>
        <v/>
      </c>
      <c r="D109" s="46" t="n"/>
      <c r="E109" s="46" t="n"/>
      <c r="G109" s="94">
        <f>IFERROR(($E109-$D109)*24-$F109,"")</f>
        <v/>
      </c>
    </row>
    <row r="110">
      <c r="A110" s="44" t="n"/>
      <c r="B110" s="93">
        <f>IFERROR(MONTH($A110),"")</f>
        <v/>
      </c>
      <c r="D110" s="46" t="n"/>
      <c r="E110" s="46" t="n"/>
      <c r="G110" s="94">
        <f>IFERROR(($E110-$D110)*24-$F110,"")</f>
        <v/>
      </c>
    </row>
    <row r="111">
      <c r="A111" s="44" t="n"/>
      <c r="B111" s="93">
        <f>IFERROR(MONTH($A111),"")</f>
        <v/>
      </c>
      <c r="D111" s="46" t="n"/>
      <c r="E111" s="46" t="n"/>
      <c r="G111" s="94">
        <f>IFERROR(($E111-$D111)*24-$F111,"")</f>
        <v/>
      </c>
    </row>
    <row r="112">
      <c r="A112" s="44" t="n"/>
      <c r="B112" s="93">
        <f>IFERROR(MONTH($A112),"")</f>
        <v/>
      </c>
      <c r="D112" s="46" t="n"/>
      <c r="E112" s="46" t="n"/>
      <c r="G112" s="94">
        <f>IFERROR(($E112-$D112)*24-$F112,"")</f>
        <v/>
      </c>
    </row>
    <row r="113">
      <c r="A113" s="44" t="n"/>
      <c r="B113" s="93">
        <f>IFERROR(MONTH($A113),"")</f>
        <v/>
      </c>
      <c r="D113" s="46" t="n"/>
      <c r="E113" s="46" t="n"/>
      <c r="G113" s="94">
        <f>IFERROR(($E113-$D113)*24-$F113,"")</f>
        <v/>
      </c>
    </row>
    <row r="114">
      <c r="A114" s="44" t="n"/>
      <c r="B114" s="93">
        <f>IFERROR(MONTH($A114),"")</f>
        <v/>
      </c>
      <c r="D114" s="46" t="n"/>
      <c r="E114" s="46" t="n"/>
      <c r="G114" s="94">
        <f>IFERROR(($E114-$D114)*24-$F114,"")</f>
        <v/>
      </c>
    </row>
    <row r="115">
      <c r="A115" s="44" t="n"/>
      <c r="B115" s="93">
        <f>IFERROR(MONTH($A115),"")</f>
        <v/>
      </c>
      <c r="D115" s="46" t="n"/>
      <c r="E115" s="46" t="n"/>
      <c r="G115" s="94">
        <f>IFERROR(($E115-$D115)*24-$F115,"")</f>
        <v/>
      </c>
    </row>
    <row r="116">
      <c r="A116" s="44" t="n"/>
      <c r="B116" s="93">
        <f>IFERROR(MONTH($A116),"")</f>
        <v/>
      </c>
      <c r="D116" s="46" t="n"/>
      <c r="E116" s="46" t="n"/>
      <c r="G116" s="94">
        <f>IFERROR(($E116-$D116)*24-$F116,"")</f>
        <v/>
      </c>
    </row>
    <row r="117">
      <c r="A117" s="44" t="n"/>
      <c r="B117" s="93">
        <f>IFERROR(MONTH($A117),"")</f>
        <v/>
      </c>
      <c r="D117" s="46" t="n"/>
      <c r="E117" s="46" t="n"/>
      <c r="G117" s="94">
        <f>IFERROR(($E117-$D117)*24-$F117,"")</f>
        <v/>
      </c>
    </row>
    <row r="118">
      <c r="A118" s="44" t="n"/>
      <c r="B118" s="93">
        <f>IFERROR(MONTH($A118),"")</f>
        <v/>
      </c>
      <c r="D118" s="46" t="n"/>
      <c r="E118" s="46" t="n"/>
      <c r="G118" s="94">
        <f>IFERROR(($E118-$D118)*24-$F118,"")</f>
        <v/>
      </c>
    </row>
    <row r="119">
      <c r="A119" s="44" t="n"/>
      <c r="B119" s="93">
        <f>IFERROR(MONTH($A119),"")</f>
        <v/>
      </c>
      <c r="D119" s="46" t="n"/>
      <c r="E119" s="46" t="n"/>
      <c r="G119" s="94">
        <f>IFERROR(($E119-$D119)*24-$F119,"")</f>
        <v/>
      </c>
    </row>
    <row r="120">
      <c r="A120" s="44" t="n"/>
      <c r="B120" s="93">
        <f>IFERROR(MONTH($A120),"")</f>
        <v/>
      </c>
      <c r="D120" s="46" t="n"/>
      <c r="E120" s="46" t="n"/>
      <c r="G120" s="94">
        <f>IFERROR(($E120-$D120)*24-$F120,"")</f>
        <v/>
      </c>
    </row>
    <row r="121">
      <c r="A121" s="44" t="n"/>
      <c r="B121" s="93">
        <f>IFERROR(MONTH($A121),"")</f>
        <v/>
      </c>
      <c r="D121" s="46" t="n"/>
      <c r="E121" s="46" t="n"/>
      <c r="G121" s="94">
        <f>IFERROR(($E121-$D121)*24-$F121,"")</f>
        <v/>
      </c>
    </row>
    <row r="122">
      <c r="A122" s="44" t="n"/>
      <c r="B122" s="93">
        <f>IFERROR(MONTH($A122),"")</f>
        <v/>
      </c>
      <c r="D122" s="46" t="n"/>
      <c r="E122" s="46" t="n"/>
      <c r="G122" s="94">
        <f>IFERROR(($E122-$D122)*24-$F122,"")</f>
        <v/>
      </c>
    </row>
    <row r="123">
      <c r="A123" s="44" t="n"/>
      <c r="B123" s="93">
        <f>IFERROR(MONTH($A123),"")</f>
        <v/>
      </c>
      <c r="D123" s="46" t="n"/>
      <c r="E123" s="46" t="n"/>
      <c r="G123" s="94">
        <f>IFERROR(($E123-$D123)*24-$F123,"")</f>
        <v/>
      </c>
    </row>
    <row r="124">
      <c r="A124" s="44" t="n"/>
      <c r="B124" s="93">
        <f>IFERROR(MONTH($A124),"")</f>
        <v/>
      </c>
      <c r="D124" s="46" t="n"/>
      <c r="E124" s="46" t="n"/>
      <c r="G124" s="94">
        <f>IFERROR(($E124-$D124)*24-$F124,"")</f>
        <v/>
      </c>
    </row>
    <row r="125">
      <c r="A125" s="44" t="n"/>
      <c r="B125" s="93">
        <f>IFERROR(MONTH($A125),"")</f>
        <v/>
      </c>
      <c r="D125" s="46" t="n"/>
      <c r="E125" s="46" t="n"/>
      <c r="G125" s="94">
        <f>IFERROR(($E125-$D125)*24-$F125,"")</f>
        <v/>
      </c>
    </row>
    <row r="126">
      <c r="A126" s="44" t="n"/>
      <c r="B126" s="93">
        <f>IFERROR(MONTH($A126),"")</f>
        <v/>
      </c>
      <c r="D126" s="46" t="n"/>
      <c r="E126" s="46" t="n"/>
      <c r="G126" s="94">
        <f>IFERROR(($E126-$D126)*24-$F126,"")</f>
        <v/>
      </c>
    </row>
    <row r="127">
      <c r="A127" s="44" t="n"/>
      <c r="B127" s="93">
        <f>IFERROR(MONTH($A127),"")</f>
        <v/>
      </c>
      <c r="D127" s="46" t="n"/>
      <c r="E127" s="46" t="n"/>
      <c r="G127" s="94">
        <f>IFERROR(($E127-$D127)*24-$F127,"")</f>
        <v/>
      </c>
    </row>
    <row r="128">
      <c r="A128" s="44" t="n"/>
      <c r="B128" s="93">
        <f>IFERROR(MONTH($A128),"")</f>
        <v/>
      </c>
      <c r="D128" s="46" t="n"/>
      <c r="E128" s="46" t="n"/>
      <c r="G128" s="94">
        <f>IFERROR(($E128-$D128)*24-$F128,"")</f>
        <v/>
      </c>
    </row>
    <row r="129">
      <c r="A129" s="44" t="n"/>
      <c r="B129" s="93">
        <f>IFERROR(MONTH($A129),"")</f>
        <v/>
      </c>
      <c r="D129" s="46" t="n"/>
      <c r="E129" s="46" t="n"/>
      <c r="G129" s="94">
        <f>IFERROR(($E129-$D129)*24-$F129,"")</f>
        <v/>
      </c>
    </row>
    <row r="130">
      <c r="A130" s="44" t="n"/>
      <c r="B130" s="93">
        <f>IFERROR(MONTH($A130),"")</f>
        <v/>
      </c>
      <c r="D130" s="46" t="n"/>
      <c r="E130" s="46" t="n"/>
      <c r="G130" s="94">
        <f>IFERROR(($E130-$D130)*24-$F130,"")</f>
        <v/>
      </c>
    </row>
    <row r="131">
      <c r="A131" s="44" t="n"/>
      <c r="B131" s="93">
        <f>IFERROR(MONTH($A131),"")</f>
        <v/>
      </c>
      <c r="D131" s="46" t="n"/>
      <c r="E131" s="46" t="n"/>
      <c r="G131" s="94">
        <f>IFERROR(($E131-$D131)*24-$F131,"")</f>
        <v/>
      </c>
    </row>
    <row r="132">
      <c r="A132" s="44" t="n"/>
      <c r="B132" s="93">
        <f>IFERROR(MONTH($A132),"")</f>
        <v/>
      </c>
      <c r="D132" s="46" t="n"/>
      <c r="E132" s="46" t="n"/>
      <c r="G132" s="94">
        <f>IFERROR(($E132-$D132)*24-$F132,"")</f>
        <v/>
      </c>
    </row>
    <row r="133">
      <c r="A133" s="44" t="n"/>
      <c r="B133" s="93">
        <f>IFERROR(MONTH($A133),"")</f>
        <v/>
      </c>
      <c r="D133" s="46" t="n"/>
      <c r="E133" s="46" t="n"/>
      <c r="G133" s="94">
        <f>IFERROR(($E133-$D133)*24-$F133,"")</f>
        <v/>
      </c>
    </row>
    <row r="134">
      <c r="A134" s="44" t="n"/>
      <c r="B134" s="93">
        <f>IFERROR(MONTH($A134),"")</f>
        <v/>
      </c>
      <c r="D134" s="46" t="n"/>
      <c r="E134" s="46" t="n"/>
      <c r="G134" s="94">
        <f>IFERROR(($E134-$D134)*24-$F134,"")</f>
        <v/>
      </c>
    </row>
    <row r="135">
      <c r="A135" s="44" t="n"/>
      <c r="B135" s="93">
        <f>IFERROR(MONTH($A135),"")</f>
        <v/>
      </c>
      <c r="D135" s="46" t="n"/>
      <c r="E135" s="46" t="n"/>
      <c r="G135" s="94">
        <f>IFERROR(($E135-$D135)*24-$F135,"")</f>
        <v/>
      </c>
    </row>
    <row r="136">
      <c r="A136" s="44" t="n"/>
      <c r="B136" s="93">
        <f>IFERROR(MONTH($A136),"")</f>
        <v/>
      </c>
      <c r="D136" s="46" t="n"/>
      <c r="E136" s="46" t="n"/>
      <c r="G136" s="94">
        <f>IFERROR(($E136-$D136)*24-$F136,"")</f>
        <v/>
      </c>
    </row>
    <row r="137">
      <c r="A137" s="44" t="n"/>
      <c r="B137" s="93">
        <f>IFERROR(MONTH($A137),"")</f>
        <v/>
      </c>
      <c r="D137" s="46" t="n"/>
      <c r="E137" s="46" t="n"/>
      <c r="G137" s="94">
        <f>IFERROR(($E137-$D137)*24-$F137,"")</f>
        <v/>
      </c>
    </row>
    <row r="138">
      <c r="A138" s="44" t="n"/>
      <c r="B138" s="93">
        <f>IFERROR(MONTH($A138),"")</f>
        <v/>
      </c>
      <c r="D138" s="46" t="n"/>
      <c r="E138" s="46" t="n"/>
      <c r="G138" s="94">
        <f>IFERROR(($E138-$D138)*24-$F138,"")</f>
        <v/>
      </c>
    </row>
    <row r="139">
      <c r="A139" s="44" t="n"/>
      <c r="B139" s="93">
        <f>IFERROR(MONTH($A139),"")</f>
        <v/>
      </c>
      <c r="D139" s="46" t="n"/>
      <c r="E139" s="46" t="n"/>
      <c r="G139" s="94">
        <f>IFERROR(($E139-$D139)*24-$F139,"")</f>
        <v/>
      </c>
    </row>
    <row r="140">
      <c r="A140" s="44" t="n"/>
      <c r="B140" s="93">
        <f>IFERROR(MONTH($A140),"")</f>
        <v/>
      </c>
      <c r="D140" s="46" t="n"/>
      <c r="E140" s="46" t="n"/>
      <c r="G140" s="94">
        <f>IFERROR(($E140-$D140)*24-$F140,"")</f>
        <v/>
      </c>
    </row>
    <row r="141">
      <c r="A141" s="44" t="n"/>
      <c r="B141" s="93">
        <f>IFERROR(MONTH($A141),"")</f>
        <v/>
      </c>
      <c r="D141" s="46" t="n"/>
      <c r="E141" s="46" t="n"/>
      <c r="G141" s="94">
        <f>IFERROR(($E141-$D141)*24-$F141,"")</f>
        <v/>
      </c>
    </row>
    <row r="142">
      <c r="A142" s="44" t="n"/>
      <c r="B142" s="93">
        <f>IFERROR(MONTH($A142),"")</f>
        <v/>
      </c>
      <c r="D142" s="46" t="n"/>
      <c r="E142" s="46" t="n"/>
      <c r="G142" s="94">
        <f>IFERROR(($E142-$D142)*24-$F142,"")</f>
        <v/>
      </c>
    </row>
    <row r="143">
      <c r="A143" s="44" t="n"/>
      <c r="B143" s="93">
        <f>IFERROR(MONTH($A143),"")</f>
        <v/>
      </c>
      <c r="D143" s="46" t="n"/>
      <c r="E143" s="46" t="n"/>
      <c r="G143" s="94">
        <f>IFERROR(($E143-$D143)*24-$F143,"")</f>
        <v/>
      </c>
    </row>
    <row r="144">
      <c r="A144" s="44" t="n"/>
      <c r="B144" s="93">
        <f>IFERROR(MONTH($A144),"")</f>
        <v/>
      </c>
      <c r="D144" s="46" t="n"/>
      <c r="E144" s="46" t="n"/>
      <c r="G144" s="94">
        <f>IFERROR(($E144-$D144)*24-$F144,"")</f>
        <v/>
      </c>
    </row>
    <row r="145">
      <c r="A145" s="44" t="n"/>
      <c r="B145" s="93">
        <f>IFERROR(MONTH($A145),"")</f>
        <v/>
      </c>
      <c r="D145" s="46" t="n"/>
      <c r="E145" s="46" t="n"/>
      <c r="G145" s="94">
        <f>IFERROR(($E145-$D145)*24-$F145,"")</f>
        <v/>
      </c>
    </row>
    <row r="146">
      <c r="A146" s="44" t="n"/>
      <c r="B146" s="93">
        <f>IFERROR(MONTH($A146),"")</f>
        <v/>
      </c>
      <c r="D146" s="46" t="n"/>
      <c r="E146" s="46" t="n"/>
      <c r="G146" s="94">
        <f>IFERROR(($E146-$D146)*24-$F146,"")</f>
        <v/>
      </c>
    </row>
    <row r="147">
      <c r="A147" s="44" t="n"/>
      <c r="B147" s="93">
        <f>IFERROR(MONTH($A147),"")</f>
        <v/>
      </c>
      <c r="D147" s="46" t="n"/>
      <c r="E147" s="46" t="n"/>
      <c r="G147" s="94">
        <f>IFERROR(($E147-$D147)*24-$F147,"")</f>
        <v/>
      </c>
    </row>
    <row r="148">
      <c r="A148" s="44" t="n"/>
      <c r="B148" s="93">
        <f>IFERROR(MONTH($A148),"")</f>
        <v/>
      </c>
      <c r="D148" s="46" t="n"/>
      <c r="E148" s="46" t="n"/>
      <c r="G148" s="94">
        <f>IFERROR(($E148-$D148)*24-$F148,"")</f>
        <v/>
      </c>
    </row>
    <row r="149">
      <c r="A149" s="44" t="n"/>
      <c r="B149" s="93">
        <f>IFERROR(MONTH($A149),"")</f>
        <v/>
      </c>
      <c r="D149" s="46" t="n"/>
      <c r="E149" s="46" t="n"/>
      <c r="G149" s="94">
        <f>IFERROR(($E149-$D149)*24-$F149,"")</f>
        <v/>
      </c>
    </row>
    <row r="150">
      <c r="A150" s="44" t="n"/>
      <c r="B150" s="93">
        <f>IFERROR(MONTH($A150),"")</f>
        <v/>
      </c>
      <c r="D150" s="46" t="n"/>
      <c r="E150" s="46" t="n"/>
      <c r="G150" s="94">
        <f>IFERROR(($E150-$D150)*24-$F150,"")</f>
        <v/>
      </c>
    </row>
    <row r="151">
      <c r="A151" s="44" t="n"/>
      <c r="B151" s="93">
        <f>IFERROR(MONTH($A151),"")</f>
        <v/>
      </c>
      <c r="D151" s="46" t="n"/>
      <c r="E151" s="46" t="n"/>
      <c r="G151" s="94">
        <f>IFERROR(($E151-$D151)*24-$F151,"")</f>
        <v/>
      </c>
    </row>
    <row r="152">
      <c r="A152" s="44" t="n"/>
      <c r="B152" s="93">
        <f>IFERROR(MONTH($A152),"")</f>
        <v/>
      </c>
      <c r="D152" s="46" t="n"/>
      <c r="E152" s="46" t="n"/>
      <c r="G152" s="94">
        <f>IFERROR(($E152-$D152)*24-$F152,"")</f>
        <v/>
      </c>
    </row>
    <row r="153">
      <c r="A153" s="44" t="n"/>
      <c r="B153" s="93">
        <f>IFERROR(MONTH($A153),"")</f>
        <v/>
      </c>
      <c r="D153" s="46" t="n"/>
      <c r="E153" s="46" t="n"/>
      <c r="G153" s="94">
        <f>IFERROR(($E153-$D153)*24-$F153,"")</f>
        <v/>
      </c>
    </row>
    <row r="154">
      <c r="A154" s="44" t="n"/>
      <c r="B154" s="93">
        <f>IFERROR(MONTH($A154),"")</f>
        <v/>
      </c>
      <c r="D154" s="46" t="n"/>
      <c r="E154" s="46" t="n"/>
      <c r="G154" s="94">
        <f>IFERROR(($E154-$D154)*24-$F154,"")</f>
        <v/>
      </c>
    </row>
    <row r="155">
      <c r="A155" s="44" t="n"/>
      <c r="B155" s="93">
        <f>IFERROR(MONTH($A155),"")</f>
        <v/>
      </c>
      <c r="D155" s="46" t="n"/>
      <c r="E155" s="46" t="n"/>
      <c r="G155" s="94">
        <f>IFERROR(($E155-$D155)*24-$F155,"")</f>
        <v/>
      </c>
    </row>
    <row r="156">
      <c r="A156" s="44" t="n"/>
      <c r="B156" s="93">
        <f>IFERROR(MONTH($A156),"")</f>
        <v/>
      </c>
      <c r="D156" s="46" t="n"/>
      <c r="E156" s="46" t="n"/>
      <c r="G156" s="94">
        <f>IFERROR(($E156-$D156)*24-$F156,"")</f>
        <v/>
      </c>
    </row>
    <row r="157">
      <c r="A157" s="44" t="n"/>
      <c r="B157" s="93">
        <f>IFERROR(MONTH($A157),"")</f>
        <v/>
      </c>
      <c r="D157" s="46" t="n"/>
      <c r="E157" s="46" t="n"/>
      <c r="G157" s="94">
        <f>IFERROR(($E157-$D157)*24-$F157,"")</f>
        <v/>
      </c>
    </row>
    <row r="158">
      <c r="A158" s="44" t="n"/>
      <c r="B158" s="93">
        <f>IFERROR(MONTH($A158),"")</f>
        <v/>
      </c>
      <c r="D158" s="46" t="n"/>
      <c r="E158" s="46" t="n"/>
      <c r="G158" s="94">
        <f>IFERROR(($E158-$D158)*24-$F158,"")</f>
        <v/>
      </c>
    </row>
    <row r="159">
      <c r="A159" s="44" t="n"/>
      <c r="B159" s="93">
        <f>IFERROR(MONTH($A159),"")</f>
        <v/>
      </c>
      <c r="D159" s="46" t="n"/>
      <c r="E159" s="46" t="n"/>
      <c r="G159" s="94">
        <f>IFERROR(($E159-$D159)*24-$F159,"")</f>
        <v/>
      </c>
    </row>
    <row r="160">
      <c r="A160" s="44" t="n"/>
      <c r="B160" s="93">
        <f>IFERROR(MONTH($A160),"")</f>
        <v/>
      </c>
      <c r="D160" s="46" t="n"/>
      <c r="E160" s="46" t="n"/>
      <c r="G160" s="94">
        <f>IFERROR(($E160-$D160)*24-$F160,"")</f>
        <v/>
      </c>
    </row>
    <row r="161">
      <c r="A161" s="44" t="n"/>
      <c r="B161" s="93">
        <f>IFERROR(MONTH($A161),"")</f>
        <v/>
      </c>
      <c r="D161" s="46" t="n"/>
      <c r="E161" s="46" t="n"/>
      <c r="G161" s="94">
        <f>IFERROR(($E161-$D161)*24-$F161,"")</f>
        <v/>
      </c>
    </row>
    <row r="162">
      <c r="A162" s="44" t="n"/>
      <c r="B162" s="93">
        <f>IFERROR(MONTH($A162),"")</f>
        <v/>
      </c>
      <c r="D162" s="46" t="n"/>
      <c r="E162" s="46" t="n"/>
      <c r="G162" s="94">
        <f>IFERROR(($E162-$D162)*24-$F162,"")</f>
        <v/>
      </c>
    </row>
    <row r="163">
      <c r="A163" s="44" t="n"/>
      <c r="B163" s="93">
        <f>IFERROR(MONTH($A163),"")</f>
        <v/>
      </c>
      <c r="D163" s="46" t="n"/>
      <c r="E163" s="46" t="n"/>
      <c r="G163" s="94">
        <f>IFERROR(($E163-$D163)*24-$F163,"")</f>
        <v/>
      </c>
    </row>
    <row r="164">
      <c r="A164" s="44" t="n"/>
      <c r="B164" s="93">
        <f>IFERROR(MONTH($A164),"")</f>
        <v/>
      </c>
      <c r="D164" s="46" t="n"/>
      <c r="E164" s="46" t="n"/>
      <c r="G164" s="94">
        <f>IFERROR(($E164-$D164)*24-$F164,"")</f>
        <v/>
      </c>
    </row>
    <row r="165">
      <c r="A165" s="44" t="n"/>
      <c r="B165" s="93">
        <f>IFERROR(MONTH($A165),"")</f>
        <v/>
      </c>
      <c r="D165" s="46" t="n"/>
      <c r="E165" s="46" t="n"/>
      <c r="G165" s="94">
        <f>IFERROR(($E165-$D165)*24-$F165,"")</f>
        <v/>
      </c>
    </row>
    <row r="166">
      <c r="A166" s="44" t="n"/>
      <c r="B166" s="93">
        <f>IFERROR(MONTH($A166),"")</f>
        <v/>
      </c>
      <c r="D166" s="46" t="n"/>
      <c r="E166" s="46" t="n"/>
      <c r="G166" s="94">
        <f>IFERROR(($E166-$D166)*24-$F166,"")</f>
        <v/>
      </c>
    </row>
    <row r="167">
      <c r="A167" s="44" t="n"/>
      <c r="B167" s="93">
        <f>IFERROR(MONTH($A167),"")</f>
        <v/>
      </c>
      <c r="D167" s="46" t="n"/>
      <c r="E167" s="46" t="n"/>
      <c r="G167" s="94">
        <f>IFERROR(($E167-$D167)*24-$F167,"")</f>
        <v/>
      </c>
    </row>
    <row r="168">
      <c r="A168" s="44" t="n"/>
      <c r="B168" s="93">
        <f>IFERROR(MONTH($A168),"")</f>
        <v/>
      </c>
      <c r="D168" s="46" t="n"/>
      <c r="E168" s="46" t="n"/>
      <c r="G168" s="94">
        <f>IFERROR(($E168-$D168)*24-$F168,"")</f>
        <v/>
      </c>
    </row>
    <row r="169">
      <c r="A169" s="44" t="n"/>
      <c r="B169" s="93">
        <f>IFERROR(MONTH($A169),"")</f>
        <v/>
      </c>
      <c r="D169" s="46" t="n"/>
      <c r="E169" s="46" t="n"/>
      <c r="G169" s="94">
        <f>IFERROR(($E169-$D169)*24-$F169,"")</f>
        <v/>
      </c>
    </row>
    <row r="170">
      <c r="A170" s="44" t="n"/>
      <c r="B170" s="93">
        <f>IFERROR(MONTH($A170),"")</f>
        <v/>
      </c>
      <c r="D170" s="46" t="n"/>
      <c r="E170" s="46" t="n"/>
      <c r="G170" s="94">
        <f>IFERROR(($E170-$D170)*24-$F170,"")</f>
        <v/>
      </c>
    </row>
    <row r="171">
      <c r="A171" s="44" t="n"/>
      <c r="B171" s="93">
        <f>IFERROR(MONTH($A171),"")</f>
        <v/>
      </c>
      <c r="D171" s="46" t="n"/>
      <c r="E171" s="46" t="n"/>
      <c r="G171" s="94">
        <f>IFERROR(($E171-$D171)*24-$F171,"")</f>
        <v/>
      </c>
    </row>
    <row r="172">
      <c r="A172" s="44" t="n"/>
      <c r="B172" s="93">
        <f>IFERROR(MONTH($A172),"")</f>
        <v/>
      </c>
      <c r="D172" s="46" t="n"/>
      <c r="E172" s="46" t="n"/>
      <c r="G172" s="94">
        <f>IFERROR(($E172-$D172)*24-$F172,"")</f>
        <v/>
      </c>
    </row>
    <row r="173">
      <c r="A173" s="44" t="n"/>
      <c r="B173" s="93">
        <f>IFERROR(MONTH($A173),"")</f>
        <v/>
      </c>
      <c r="D173" s="46" t="n"/>
      <c r="E173" s="46" t="n"/>
      <c r="G173" s="94">
        <f>IFERROR(($E173-$D173)*24-$F173,"")</f>
        <v/>
      </c>
    </row>
    <row r="174">
      <c r="A174" s="44" t="n"/>
      <c r="B174" s="93">
        <f>IFERROR(MONTH($A174),"")</f>
        <v/>
      </c>
      <c r="D174" s="46" t="n"/>
      <c r="E174" s="46" t="n"/>
      <c r="G174" s="94">
        <f>IFERROR(($E174-$D174)*24-$F174,"")</f>
        <v/>
      </c>
    </row>
    <row r="175">
      <c r="A175" s="44" t="n"/>
      <c r="B175" s="93">
        <f>IFERROR(MONTH($A175),"")</f>
        <v/>
      </c>
      <c r="D175" s="46" t="n"/>
      <c r="E175" s="46" t="n"/>
      <c r="G175" s="94">
        <f>IFERROR(($E175-$D175)*24-$F175,"")</f>
        <v/>
      </c>
    </row>
    <row r="176">
      <c r="A176" s="44" t="n"/>
      <c r="B176" s="93">
        <f>IFERROR(MONTH($A176),"")</f>
        <v/>
      </c>
      <c r="D176" s="46" t="n"/>
      <c r="E176" s="46" t="n"/>
      <c r="G176" s="94">
        <f>IFERROR(($E176-$D176)*24-$F176,"")</f>
        <v/>
      </c>
    </row>
    <row r="177">
      <c r="A177" s="44" t="n"/>
      <c r="B177" s="93">
        <f>IFERROR(MONTH($A177),"")</f>
        <v/>
      </c>
      <c r="D177" s="46" t="n"/>
      <c r="E177" s="46" t="n"/>
      <c r="G177" s="94">
        <f>IFERROR(($E177-$D177)*24-$F177,"")</f>
        <v/>
      </c>
    </row>
    <row r="178">
      <c r="A178" s="44" t="n"/>
      <c r="B178" s="93">
        <f>IFERROR(MONTH($A178),"")</f>
        <v/>
      </c>
      <c r="D178" s="46" t="n"/>
      <c r="E178" s="46" t="n"/>
      <c r="G178" s="94">
        <f>IFERROR(($E178-$D178)*24-$F178,"")</f>
        <v/>
      </c>
    </row>
    <row r="179">
      <c r="A179" s="44" t="n"/>
      <c r="B179" s="93">
        <f>IFERROR(MONTH($A179),"")</f>
        <v/>
      </c>
      <c r="D179" s="46" t="n"/>
      <c r="E179" s="46" t="n"/>
      <c r="G179" s="94">
        <f>IFERROR(($E179-$D179)*24-$F179,"")</f>
        <v/>
      </c>
    </row>
    <row r="180">
      <c r="A180" s="44" t="n"/>
      <c r="B180" s="93">
        <f>IFERROR(MONTH($A180),"")</f>
        <v/>
      </c>
      <c r="D180" s="46" t="n"/>
      <c r="E180" s="46" t="n"/>
      <c r="G180" s="94">
        <f>IFERROR(($E180-$D180)*24-$F180,"")</f>
        <v/>
      </c>
    </row>
    <row r="181">
      <c r="A181" s="44" t="n"/>
      <c r="B181" s="93">
        <f>IFERROR(MONTH($A181),"")</f>
        <v/>
      </c>
      <c r="D181" s="46" t="n"/>
      <c r="E181" s="46" t="n"/>
      <c r="G181" s="94">
        <f>IFERROR(($E181-$D181)*24-$F181,"")</f>
        <v/>
      </c>
    </row>
    <row r="182">
      <c r="A182" s="44" t="n"/>
      <c r="B182" s="93">
        <f>IFERROR(MONTH($A182),"")</f>
        <v/>
      </c>
      <c r="D182" s="46" t="n"/>
      <c r="E182" s="46" t="n"/>
      <c r="G182" s="94">
        <f>IFERROR(($E182-$D182)*24-$F182,"")</f>
        <v/>
      </c>
    </row>
    <row r="183">
      <c r="A183" s="44" t="n"/>
      <c r="B183" s="93">
        <f>IFERROR(MONTH($A183),"")</f>
        <v/>
      </c>
      <c r="D183" s="46" t="n"/>
      <c r="E183" s="46" t="n"/>
      <c r="G183" s="94">
        <f>IFERROR(($E183-$D183)*24-$F183,"")</f>
        <v/>
      </c>
    </row>
    <row r="184">
      <c r="A184" s="44" t="n"/>
      <c r="B184" s="93">
        <f>IFERROR(MONTH($A184),"")</f>
        <v/>
      </c>
      <c r="D184" s="46" t="n"/>
      <c r="E184" s="46" t="n"/>
      <c r="G184" s="94">
        <f>IFERROR(($E184-$D184)*24-$F184,"")</f>
        <v/>
      </c>
    </row>
    <row r="185">
      <c r="A185" s="44" t="n"/>
      <c r="B185" s="93">
        <f>IFERROR(MONTH($A185),"")</f>
        <v/>
      </c>
      <c r="D185" s="46" t="n"/>
      <c r="E185" s="46" t="n"/>
      <c r="G185" s="94">
        <f>IFERROR(($E185-$D185)*24-$F185,"")</f>
        <v/>
      </c>
    </row>
    <row r="186">
      <c r="A186" s="44" t="n"/>
      <c r="B186" s="93">
        <f>IFERROR(MONTH($A186),"")</f>
        <v/>
      </c>
      <c r="D186" s="46" t="n"/>
      <c r="E186" s="46" t="n"/>
      <c r="G186" s="94">
        <f>IFERROR(($E186-$D186)*24-$F186,"")</f>
        <v/>
      </c>
    </row>
    <row r="187">
      <c r="A187" s="44" t="n"/>
      <c r="B187" s="93">
        <f>IFERROR(MONTH($A187),"")</f>
        <v/>
      </c>
      <c r="D187" s="46" t="n"/>
      <c r="E187" s="46" t="n"/>
      <c r="G187" s="94">
        <f>IFERROR(($E187-$D187)*24-$F187,"")</f>
        <v/>
      </c>
    </row>
    <row r="188">
      <c r="A188" s="44" t="n"/>
      <c r="B188" s="93">
        <f>IFERROR(MONTH($A188),"")</f>
        <v/>
      </c>
      <c r="D188" s="46" t="n"/>
      <c r="E188" s="46" t="n"/>
      <c r="G188" s="94">
        <f>IFERROR(($E188-$D188)*24-$F188,"")</f>
        <v/>
      </c>
    </row>
    <row r="189">
      <c r="A189" s="44" t="n"/>
      <c r="B189" s="93">
        <f>IFERROR(MONTH($A189),"")</f>
        <v/>
      </c>
      <c r="D189" s="46" t="n"/>
      <c r="E189" s="46" t="n"/>
      <c r="G189" s="94">
        <f>IFERROR(($E189-$D189)*24-$F189,"")</f>
        <v/>
      </c>
    </row>
    <row r="190">
      <c r="A190" s="44" t="n"/>
      <c r="B190" s="93">
        <f>IFERROR(MONTH($A190),"")</f>
        <v/>
      </c>
      <c r="D190" s="46" t="n"/>
      <c r="E190" s="46" t="n"/>
      <c r="G190" s="94">
        <f>IFERROR(($E190-$D190)*24-$F190,"")</f>
        <v/>
      </c>
    </row>
    <row r="191">
      <c r="A191" s="44" t="n"/>
      <c r="B191" s="93">
        <f>IFERROR(MONTH($A191),"")</f>
        <v/>
      </c>
      <c r="D191" s="46" t="n"/>
      <c r="E191" s="46" t="n"/>
      <c r="G191" s="94">
        <f>IFERROR(($E191-$D191)*24-$F191,"")</f>
        <v/>
      </c>
    </row>
    <row r="192">
      <c r="A192" s="44" t="n"/>
      <c r="B192" s="93">
        <f>IFERROR(MONTH($A192),"")</f>
        <v/>
      </c>
      <c r="D192" s="46" t="n"/>
      <c r="E192" s="46" t="n"/>
      <c r="G192" s="94">
        <f>IFERROR(($E192-$D192)*24-$F192,"")</f>
        <v/>
      </c>
    </row>
    <row r="193">
      <c r="A193" s="44" t="n"/>
      <c r="B193" s="93">
        <f>IFERROR(MONTH($A193),"")</f>
        <v/>
      </c>
      <c r="D193" s="46" t="n"/>
      <c r="E193" s="46" t="n"/>
      <c r="G193" s="94">
        <f>IFERROR(($E193-$D193)*24-$F193,"")</f>
        <v/>
      </c>
    </row>
    <row r="194">
      <c r="A194" s="44" t="n"/>
      <c r="B194" s="93">
        <f>IFERROR(MONTH($A194),"")</f>
        <v/>
      </c>
      <c r="D194" s="46" t="n"/>
      <c r="E194" s="46" t="n"/>
      <c r="G194" s="94">
        <f>IFERROR(($E194-$D194)*24-$F194,"")</f>
        <v/>
      </c>
    </row>
    <row r="195">
      <c r="A195" s="44" t="n"/>
      <c r="B195" s="93">
        <f>IFERROR(MONTH($A195),"")</f>
        <v/>
      </c>
      <c r="D195" s="46" t="n"/>
      <c r="E195" s="46" t="n"/>
      <c r="G195" s="94">
        <f>IFERROR(($E195-$D195)*24-$F195,"")</f>
        <v/>
      </c>
    </row>
    <row r="196">
      <c r="A196" s="44" t="n"/>
      <c r="B196" s="93">
        <f>IFERROR(MONTH($A196),"")</f>
        <v/>
      </c>
      <c r="D196" s="46" t="n"/>
      <c r="E196" s="46" t="n"/>
      <c r="G196" s="94">
        <f>IFERROR(($E196-$D196)*24-$F196,"")</f>
        <v/>
      </c>
    </row>
    <row r="197">
      <c r="A197" s="44" t="n"/>
      <c r="B197" s="93">
        <f>IFERROR(MONTH($A197),"")</f>
        <v/>
      </c>
      <c r="D197" s="46" t="n"/>
      <c r="E197" s="46" t="n"/>
      <c r="G197" s="94">
        <f>IFERROR(($E197-$D197)*24-$F197,"")</f>
        <v/>
      </c>
    </row>
    <row r="198">
      <c r="A198" s="44" t="n"/>
      <c r="B198" s="93">
        <f>IFERROR(MONTH($A198),"")</f>
        <v/>
      </c>
      <c r="D198" s="46" t="n"/>
      <c r="E198" s="46" t="n"/>
      <c r="G198" s="94">
        <f>IFERROR(($E198-$D198)*24-$F198,"")</f>
        <v/>
      </c>
    </row>
    <row r="199">
      <c r="A199" s="44" t="n"/>
      <c r="B199" s="93">
        <f>IFERROR(MONTH($A199),"")</f>
        <v/>
      </c>
      <c r="D199" s="46" t="n"/>
      <c r="E199" s="46" t="n"/>
      <c r="G199" s="94">
        <f>IFERROR(($E199-$D199)*24-$F199,"")</f>
        <v/>
      </c>
    </row>
    <row r="200">
      <c r="A200" s="44" t="n"/>
      <c r="B200" s="93">
        <f>IFERROR(MONTH($A200),"")</f>
        <v/>
      </c>
      <c r="D200" s="46" t="n"/>
      <c r="E200" s="46" t="n"/>
      <c r="G200" s="94">
        <f>IFERROR(($E200-$D200)*24-$F200,"")</f>
        <v/>
      </c>
    </row>
    <row r="201">
      <c r="A201" s="44" t="n"/>
      <c r="B201" s="93">
        <f>IFERROR(MONTH($A201),"")</f>
        <v/>
      </c>
      <c r="D201" s="46" t="n"/>
      <c r="E201" s="46" t="n"/>
      <c r="G201" s="94">
        <f>IFERROR(($E201-$D201)*24-$F201,"")</f>
        <v/>
      </c>
    </row>
    <row r="202">
      <c r="A202" s="44" t="n"/>
      <c r="B202" s="93">
        <f>IFERROR(MONTH($A202),"")</f>
        <v/>
      </c>
      <c r="D202" s="46" t="n"/>
      <c r="E202" s="46" t="n"/>
      <c r="G202" s="94">
        <f>IFERROR(($E202-$D202)*24-$F202,"")</f>
        <v/>
      </c>
    </row>
    <row r="203">
      <c r="A203" s="44" t="n"/>
      <c r="B203" s="93">
        <f>IFERROR(MONTH($A203),"")</f>
        <v/>
      </c>
      <c r="D203" s="46" t="n"/>
      <c r="E203" s="46" t="n"/>
      <c r="G203" s="94">
        <f>IFERROR(($E203-$D203)*24-$F203,"")</f>
        <v/>
      </c>
    </row>
    <row r="204">
      <c r="A204" s="44" t="n"/>
      <c r="B204" s="93">
        <f>IFERROR(MONTH($A204),"")</f>
        <v/>
      </c>
      <c r="D204" s="46" t="n"/>
      <c r="E204" s="46" t="n"/>
      <c r="G204" s="94">
        <f>IFERROR(($E204-$D204)*24-$F204,"")</f>
        <v/>
      </c>
    </row>
    <row r="205">
      <c r="A205" s="44" t="n"/>
      <c r="B205" s="93">
        <f>IFERROR(MONTH($A205),"")</f>
        <v/>
      </c>
      <c r="D205" s="46" t="n"/>
      <c r="E205" s="46" t="n"/>
      <c r="G205" s="94">
        <f>IFERROR(($E205-$D205)*24-$F205,"")</f>
        <v/>
      </c>
    </row>
    <row r="206">
      <c r="A206" s="44" t="n"/>
      <c r="B206" s="93">
        <f>IFERROR(MONTH($A206),"")</f>
        <v/>
      </c>
      <c r="D206" s="46" t="n"/>
      <c r="E206" s="46" t="n"/>
      <c r="G206" s="94">
        <f>IFERROR(($E206-$D206)*24-$F206,"")</f>
        <v/>
      </c>
    </row>
    <row r="207">
      <c r="A207" s="44" t="n"/>
      <c r="B207" s="93">
        <f>IFERROR(MONTH($A207),"")</f>
        <v/>
      </c>
      <c r="D207" s="46" t="n"/>
      <c r="E207" s="46" t="n"/>
      <c r="G207" s="94">
        <f>IFERROR(($E207-$D207)*24-$F207,"")</f>
        <v/>
      </c>
    </row>
    <row r="208">
      <c r="A208" s="44" t="n"/>
      <c r="B208" s="93">
        <f>IFERROR(MONTH($A208),"")</f>
        <v/>
      </c>
      <c r="D208" s="46" t="n"/>
      <c r="E208" s="46" t="n"/>
      <c r="G208" s="94">
        <f>IFERROR(($E208-$D208)*24-$F208,"")</f>
        <v/>
      </c>
    </row>
    <row r="209">
      <c r="A209" s="44" t="n"/>
      <c r="B209" s="93">
        <f>IFERROR(MONTH($A209),"")</f>
        <v/>
      </c>
      <c r="D209" s="46" t="n"/>
      <c r="E209" s="46" t="n"/>
      <c r="G209" s="94">
        <f>IFERROR(($E209-$D209)*24-$F209,"")</f>
        <v/>
      </c>
    </row>
    <row r="210">
      <c r="A210" s="44" t="n"/>
      <c r="B210" s="93">
        <f>IFERROR(MONTH($A210),"")</f>
        <v/>
      </c>
      <c r="D210" s="46" t="n"/>
      <c r="E210" s="46" t="n"/>
      <c r="G210" s="94">
        <f>IFERROR(($E210-$D210)*24-$F210,"")</f>
        <v/>
      </c>
    </row>
    <row r="211">
      <c r="A211" s="44" t="n"/>
      <c r="B211" s="93">
        <f>IFERROR(MONTH($A211),"")</f>
        <v/>
      </c>
      <c r="D211" s="46" t="n"/>
      <c r="E211" s="46" t="n"/>
      <c r="G211" s="94">
        <f>IFERROR(($E211-$D211)*24-$F211,"")</f>
        <v/>
      </c>
    </row>
    <row r="212">
      <c r="A212" s="44" t="n"/>
      <c r="B212" s="93">
        <f>IFERROR(MONTH($A212),"")</f>
        <v/>
      </c>
      <c r="D212" s="46" t="n"/>
      <c r="E212" s="46" t="n"/>
      <c r="G212" s="94">
        <f>IFERROR(($E212-$D212)*24-$F212,"")</f>
        <v/>
      </c>
    </row>
    <row r="213">
      <c r="A213" s="44" t="n"/>
      <c r="B213" s="93">
        <f>IFERROR(MONTH($A213),"")</f>
        <v/>
      </c>
      <c r="D213" s="46" t="n"/>
      <c r="E213" s="46" t="n"/>
      <c r="G213" s="94">
        <f>IFERROR(($E213-$D213)*24-$F213,"")</f>
        <v/>
      </c>
    </row>
    <row r="214">
      <c r="A214" s="44" t="n"/>
      <c r="B214" s="93">
        <f>IFERROR(MONTH($A214),"")</f>
        <v/>
      </c>
      <c r="D214" s="46" t="n"/>
      <c r="E214" s="46" t="n"/>
      <c r="G214" s="94">
        <f>IFERROR(($E214-$D214)*24-$F214,"")</f>
        <v/>
      </c>
    </row>
    <row r="215">
      <c r="A215" s="44" t="n"/>
      <c r="B215" s="93">
        <f>IFERROR(MONTH($A215),"")</f>
        <v/>
      </c>
      <c r="D215" s="46" t="n"/>
      <c r="E215" s="46" t="n"/>
      <c r="G215" s="94">
        <f>IFERROR(($E215-$D215)*24-$F215,"")</f>
        <v/>
      </c>
    </row>
    <row r="216">
      <c r="A216" s="44" t="n"/>
      <c r="B216" s="93">
        <f>IFERROR(MONTH($A216),"")</f>
        <v/>
      </c>
      <c r="D216" s="46" t="n"/>
      <c r="E216" s="46" t="n"/>
      <c r="G216" s="94">
        <f>IFERROR(($E216-$D216)*24-$F216,"")</f>
        <v/>
      </c>
    </row>
    <row r="217">
      <c r="A217" s="44" t="n"/>
      <c r="B217" s="93">
        <f>IFERROR(MONTH($A217),"")</f>
        <v/>
      </c>
      <c r="D217" s="46" t="n"/>
      <c r="E217" s="46" t="n"/>
      <c r="G217" s="94">
        <f>IFERROR(($E217-$D217)*24-$F217,"")</f>
        <v/>
      </c>
    </row>
    <row r="218">
      <c r="A218" s="44" t="n"/>
      <c r="B218" s="93">
        <f>IFERROR(MONTH($A218),"")</f>
        <v/>
      </c>
      <c r="D218" s="46" t="n"/>
      <c r="E218" s="46" t="n"/>
      <c r="G218" s="94">
        <f>IFERROR(($E218-$D218)*24-$F218,"")</f>
        <v/>
      </c>
    </row>
    <row r="219">
      <c r="A219" s="44" t="n"/>
      <c r="B219" s="93">
        <f>IFERROR(MONTH($A219),"")</f>
        <v/>
      </c>
      <c r="D219" s="46" t="n"/>
      <c r="E219" s="46" t="n"/>
      <c r="G219" s="94">
        <f>IFERROR(($E219-$D219)*24-$F219,"")</f>
        <v/>
      </c>
    </row>
    <row r="220">
      <c r="A220" s="44" t="n"/>
      <c r="B220" s="93">
        <f>IFERROR(MONTH($A220),"")</f>
        <v/>
      </c>
      <c r="D220" s="46" t="n"/>
      <c r="E220" s="46" t="n"/>
      <c r="G220" s="94">
        <f>IFERROR(($E220-$D220)*24-$F220,"")</f>
        <v/>
      </c>
    </row>
    <row r="221">
      <c r="A221" s="44" t="n"/>
      <c r="B221" s="93">
        <f>IFERROR(MONTH($A221),"")</f>
        <v/>
      </c>
      <c r="D221" s="46" t="n"/>
      <c r="E221" s="46" t="n"/>
      <c r="G221" s="94">
        <f>IFERROR(($E221-$D221)*24-$F221,"")</f>
        <v/>
      </c>
    </row>
    <row r="222">
      <c r="A222" s="44" t="n"/>
      <c r="B222" s="93">
        <f>IFERROR(MONTH($A222),"")</f>
        <v/>
      </c>
      <c r="D222" s="46" t="n"/>
      <c r="E222" s="46" t="n"/>
      <c r="G222" s="94">
        <f>IFERROR(($E222-$D222)*24-$F222,"")</f>
        <v/>
      </c>
    </row>
    <row r="223">
      <c r="A223" s="44" t="n"/>
      <c r="B223" s="93">
        <f>IFERROR(MONTH($A223),"")</f>
        <v/>
      </c>
      <c r="D223" s="46" t="n"/>
      <c r="E223" s="46" t="n"/>
      <c r="G223" s="94">
        <f>IFERROR(($E223-$D223)*24-$F223,"")</f>
        <v/>
      </c>
    </row>
    <row r="224">
      <c r="A224" s="44" t="n"/>
      <c r="B224" s="93">
        <f>IFERROR(MONTH($A224),"")</f>
        <v/>
      </c>
      <c r="D224" s="46" t="n"/>
      <c r="E224" s="46" t="n"/>
      <c r="G224" s="94">
        <f>IFERROR(($E224-$D224)*24-$F224,"")</f>
        <v/>
      </c>
    </row>
    <row r="225">
      <c r="A225" s="44" t="n"/>
      <c r="B225" s="93">
        <f>IFERROR(MONTH($A225),"")</f>
        <v/>
      </c>
      <c r="D225" s="46" t="n"/>
      <c r="E225" s="46" t="n"/>
      <c r="G225" s="94">
        <f>IFERROR(($E225-$D225)*24-$F225,"")</f>
        <v/>
      </c>
    </row>
    <row r="226">
      <c r="A226" s="44" t="n"/>
      <c r="B226" s="93">
        <f>IFERROR(MONTH($A226),"")</f>
        <v/>
      </c>
      <c r="D226" s="46" t="n"/>
      <c r="E226" s="46" t="n"/>
      <c r="G226" s="94">
        <f>IFERROR(($E226-$D226)*24-$F226,"")</f>
        <v/>
      </c>
    </row>
    <row r="227">
      <c r="A227" s="44" t="n"/>
      <c r="B227" s="93">
        <f>IFERROR(MONTH($A227),"")</f>
        <v/>
      </c>
      <c r="D227" s="46" t="n"/>
      <c r="E227" s="46" t="n"/>
      <c r="G227" s="94">
        <f>IFERROR(($E227-$D227)*24-$F227,"")</f>
        <v/>
      </c>
    </row>
    <row r="228">
      <c r="A228" s="44" t="n"/>
      <c r="B228" s="93">
        <f>IFERROR(MONTH($A228),"")</f>
        <v/>
      </c>
      <c r="D228" s="46" t="n"/>
      <c r="E228" s="46" t="n"/>
      <c r="G228" s="94">
        <f>IFERROR(($E228-$D228)*24-$F228,"")</f>
        <v/>
      </c>
    </row>
    <row r="229">
      <c r="A229" s="44" t="n"/>
      <c r="B229" s="93">
        <f>IFERROR(MONTH($A229),"")</f>
        <v/>
      </c>
      <c r="D229" s="46" t="n"/>
      <c r="E229" s="46" t="n"/>
      <c r="G229" s="94">
        <f>IFERROR(($E229-$D229)*24-$F229,"")</f>
        <v/>
      </c>
    </row>
    <row r="230">
      <c r="A230" s="44" t="n"/>
      <c r="B230" s="93">
        <f>IFERROR(MONTH($A230),"")</f>
        <v/>
      </c>
      <c r="D230" s="46" t="n"/>
      <c r="E230" s="46" t="n"/>
      <c r="G230" s="94">
        <f>IFERROR(($E230-$D230)*24-$F230,"")</f>
        <v/>
      </c>
    </row>
    <row r="231">
      <c r="A231" s="44" t="n"/>
      <c r="B231" s="93">
        <f>IFERROR(MONTH($A231),"")</f>
        <v/>
      </c>
      <c r="D231" s="46" t="n"/>
      <c r="E231" s="46" t="n"/>
      <c r="G231" s="94">
        <f>IFERROR(($E231-$D231)*24-$F231,"")</f>
        <v/>
      </c>
    </row>
    <row r="232">
      <c r="A232" s="44" t="n"/>
      <c r="B232" s="93">
        <f>IFERROR(MONTH($A232),"")</f>
        <v/>
      </c>
      <c r="D232" s="46" t="n"/>
      <c r="E232" s="46" t="n"/>
      <c r="G232" s="94">
        <f>IFERROR(($E232-$D232)*24-$F232,"")</f>
        <v/>
      </c>
    </row>
    <row r="233">
      <c r="A233" s="44" t="n"/>
      <c r="B233" s="93">
        <f>IFERROR(MONTH($A233),"")</f>
        <v/>
      </c>
      <c r="D233" s="46" t="n"/>
      <c r="E233" s="46" t="n"/>
      <c r="G233" s="94">
        <f>IFERROR(($E233-$D233)*24-$F233,"")</f>
        <v/>
      </c>
    </row>
    <row r="234">
      <c r="A234" s="44" t="n"/>
      <c r="B234" s="93">
        <f>IFERROR(MONTH($A234),"")</f>
        <v/>
      </c>
      <c r="D234" s="46" t="n"/>
      <c r="E234" s="46" t="n"/>
      <c r="G234" s="94">
        <f>IFERROR(($E234-$D234)*24-$F234,"")</f>
        <v/>
      </c>
    </row>
    <row r="235">
      <c r="A235" s="44" t="n"/>
      <c r="B235" s="93">
        <f>IFERROR(MONTH($A235),"")</f>
        <v/>
      </c>
      <c r="D235" s="46" t="n"/>
      <c r="E235" s="46" t="n"/>
      <c r="G235" s="94">
        <f>IFERROR(($E235-$D235)*24-$F235,"")</f>
        <v/>
      </c>
    </row>
    <row r="236">
      <c r="A236" s="44" t="n"/>
      <c r="B236" s="93">
        <f>IFERROR(MONTH($A236),"")</f>
        <v/>
      </c>
      <c r="D236" s="46" t="n"/>
      <c r="E236" s="46" t="n"/>
      <c r="G236" s="94">
        <f>IFERROR(($E236-$D236)*24-$F236,"")</f>
        <v/>
      </c>
    </row>
    <row r="237">
      <c r="A237" s="44" t="n"/>
      <c r="B237" s="93">
        <f>IFERROR(MONTH($A237),"")</f>
        <v/>
      </c>
      <c r="D237" s="46" t="n"/>
      <c r="E237" s="46" t="n"/>
      <c r="G237" s="94">
        <f>IFERROR(($E237-$D237)*24-$F237,"")</f>
        <v/>
      </c>
    </row>
    <row r="238">
      <c r="A238" s="44" t="n"/>
      <c r="B238" s="93">
        <f>IFERROR(MONTH($A238),"")</f>
        <v/>
      </c>
      <c r="D238" s="46" t="n"/>
      <c r="E238" s="46" t="n"/>
      <c r="G238" s="94">
        <f>IFERROR(($E238-$D238)*24-$F238,"")</f>
        <v/>
      </c>
    </row>
    <row r="239">
      <c r="A239" s="44" t="n"/>
      <c r="B239" s="93">
        <f>IFERROR(MONTH($A239),"")</f>
        <v/>
      </c>
      <c r="D239" s="46" t="n"/>
      <c r="E239" s="46" t="n"/>
      <c r="G239" s="94">
        <f>IFERROR(($E239-$D239)*24-$F239,"")</f>
        <v/>
      </c>
    </row>
    <row r="240">
      <c r="A240" s="44" t="n"/>
      <c r="B240" s="93">
        <f>IFERROR(MONTH($A240),"")</f>
        <v/>
      </c>
      <c r="D240" s="46" t="n"/>
      <c r="E240" s="46" t="n"/>
      <c r="G240" s="94">
        <f>IFERROR(($E240-$D240)*24-$F240,"")</f>
        <v/>
      </c>
    </row>
    <row r="241">
      <c r="A241" s="44" t="n"/>
      <c r="B241" s="93">
        <f>IFERROR(MONTH($A241),"")</f>
        <v/>
      </c>
      <c r="D241" s="46" t="n"/>
      <c r="E241" s="46" t="n"/>
      <c r="G241" s="94">
        <f>IFERROR(($E241-$D241)*24-$F241,"")</f>
        <v/>
      </c>
    </row>
    <row r="242">
      <c r="A242" s="44" t="n"/>
      <c r="B242" s="93">
        <f>IFERROR(MONTH($A242),"")</f>
        <v/>
      </c>
      <c r="D242" s="46" t="n"/>
      <c r="E242" s="46" t="n"/>
      <c r="G242" s="94">
        <f>IFERROR(($E242-$D242)*24-$F242,"")</f>
        <v/>
      </c>
    </row>
    <row r="243">
      <c r="A243" s="44" t="n"/>
      <c r="B243" s="93">
        <f>IFERROR(MONTH($A243),"")</f>
        <v/>
      </c>
      <c r="D243" s="46" t="n"/>
      <c r="E243" s="46" t="n"/>
      <c r="G243" s="94">
        <f>IFERROR(($E243-$D243)*24-$F243,"")</f>
        <v/>
      </c>
    </row>
    <row r="244">
      <c r="A244" s="44" t="n"/>
      <c r="B244" s="93">
        <f>IFERROR(MONTH($A244),"")</f>
        <v/>
      </c>
      <c r="D244" s="46" t="n"/>
      <c r="E244" s="46" t="n"/>
      <c r="G244" s="94">
        <f>IFERROR(($E244-$D244)*24-$F244,"")</f>
        <v/>
      </c>
    </row>
    <row r="245">
      <c r="A245" s="44" t="n"/>
      <c r="B245" s="93">
        <f>IFERROR(MONTH($A245),"")</f>
        <v/>
      </c>
      <c r="D245" s="46" t="n"/>
      <c r="E245" s="46" t="n"/>
      <c r="G245" s="94">
        <f>IFERROR(($E245-$D245)*24-$F245,"")</f>
        <v/>
      </c>
    </row>
    <row r="246">
      <c r="A246" s="44" t="n"/>
      <c r="B246" s="93">
        <f>IFERROR(MONTH($A246),"")</f>
        <v/>
      </c>
      <c r="D246" s="46" t="n"/>
      <c r="E246" s="46" t="n"/>
      <c r="G246" s="94">
        <f>IFERROR(($E246-$D246)*24-$F246,"")</f>
        <v/>
      </c>
    </row>
    <row r="247">
      <c r="A247" s="44" t="n"/>
      <c r="B247" s="93">
        <f>IFERROR(MONTH($A247),"")</f>
        <v/>
      </c>
      <c r="D247" s="46" t="n"/>
      <c r="E247" s="46" t="n"/>
      <c r="G247" s="94">
        <f>IFERROR(($E247-$D247)*24-$F247,"")</f>
        <v/>
      </c>
    </row>
    <row r="248">
      <c r="A248" s="44" t="n"/>
      <c r="B248" s="93">
        <f>IFERROR(MONTH($A248),"")</f>
        <v/>
      </c>
      <c r="D248" s="46" t="n"/>
      <c r="E248" s="46" t="n"/>
      <c r="G248" s="94">
        <f>IFERROR(($E248-$D248)*24-$F248,"")</f>
        <v/>
      </c>
    </row>
    <row r="249">
      <c r="A249" s="44" t="n"/>
      <c r="B249" s="93">
        <f>IFERROR(MONTH($A249),"")</f>
        <v/>
      </c>
      <c r="D249" s="46" t="n"/>
      <c r="E249" s="46" t="n"/>
      <c r="G249" s="94">
        <f>IFERROR(($E249-$D249)*24-$F249,"")</f>
        <v/>
      </c>
    </row>
    <row r="250">
      <c r="A250" s="44" t="n"/>
      <c r="B250" s="93">
        <f>IFERROR(MONTH($A250),"")</f>
        <v/>
      </c>
      <c r="D250" s="46" t="n"/>
      <c r="E250" s="46" t="n"/>
      <c r="G250" s="94">
        <f>IFERROR(($E250-$D250)*24-$F250,"")</f>
        <v/>
      </c>
    </row>
    <row r="251">
      <c r="A251" s="44" t="n"/>
      <c r="B251" s="93">
        <f>IFERROR(MONTH($A251),"")</f>
        <v/>
      </c>
      <c r="D251" s="46" t="n"/>
      <c r="E251" s="46" t="n"/>
      <c r="G251" s="94">
        <f>IFERROR(($E251-$D251)*24-$F251,"")</f>
        <v/>
      </c>
    </row>
    <row r="252">
      <c r="A252" s="44" t="n"/>
      <c r="B252" s="93">
        <f>IFERROR(MONTH($A252),"")</f>
        <v/>
      </c>
      <c r="D252" s="46" t="n"/>
      <c r="E252" s="46" t="n"/>
      <c r="G252" s="94">
        <f>IFERROR(($E252-$D252)*24-$F252,"")</f>
        <v/>
      </c>
    </row>
    <row r="253">
      <c r="A253" s="44" t="n"/>
      <c r="B253" s="93">
        <f>IFERROR(MONTH($A253),"")</f>
        <v/>
      </c>
      <c r="D253" s="46" t="n"/>
      <c r="E253" s="46" t="n"/>
      <c r="G253" s="94">
        <f>IFERROR(($E253-$D253)*24-$F253,"")</f>
        <v/>
      </c>
    </row>
    <row r="254">
      <c r="A254" s="44" t="n"/>
      <c r="B254" s="93">
        <f>IFERROR(MONTH($A254),"")</f>
        <v/>
      </c>
      <c r="D254" s="46" t="n"/>
      <c r="E254" s="46" t="n"/>
      <c r="G254" s="94">
        <f>IFERROR(($E254-$D254)*24-$F254,"")</f>
        <v/>
      </c>
    </row>
    <row r="255">
      <c r="A255" s="44" t="n"/>
      <c r="B255" s="93">
        <f>IFERROR(MONTH($A255),"")</f>
        <v/>
      </c>
      <c r="D255" s="46" t="n"/>
      <c r="E255" s="46" t="n"/>
      <c r="G255" s="94">
        <f>IFERROR(($E255-$D255)*24-$F255,"")</f>
        <v/>
      </c>
    </row>
    <row r="256">
      <c r="A256" s="44" t="n"/>
      <c r="B256" s="93">
        <f>IFERROR(MONTH($A256),"")</f>
        <v/>
      </c>
      <c r="D256" s="46" t="n"/>
      <c r="E256" s="46" t="n"/>
      <c r="G256" s="94">
        <f>IFERROR(($E256-$D256)*24-$F256,"")</f>
        <v/>
      </c>
    </row>
    <row r="257">
      <c r="A257" s="44" t="n"/>
      <c r="B257" s="93">
        <f>IFERROR(MONTH($A257),"")</f>
        <v/>
      </c>
      <c r="D257" s="46" t="n"/>
      <c r="E257" s="46" t="n"/>
      <c r="G257" s="94">
        <f>IFERROR(($E257-$D257)*24-$F257,"")</f>
        <v/>
      </c>
    </row>
    <row r="258">
      <c r="A258" s="44" t="n"/>
      <c r="B258" s="93">
        <f>IFERROR(MONTH($A258),"")</f>
        <v/>
      </c>
      <c r="D258" s="46" t="n"/>
      <c r="E258" s="46" t="n"/>
      <c r="G258" s="94">
        <f>IFERROR(($E258-$D258)*24-$F258,"")</f>
        <v/>
      </c>
    </row>
    <row r="259">
      <c r="A259" s="44" t="n"/>
      <c r="B259" s="93">
        <f>IFERROR(MONTH($A259),"")</f>
        <v/>
      </c>
      <c r="D259" s="46" t="n"/>
      <c r="E259" s="46" t="n"/>
      <c r="G259" s="94">
        <f>IFERROR(($E259-$D259)*24-$F259,"")</f>
        <v/>
      </c>
    </row>
    <row r="260">
      <c r="A260" s="44" t="n"/>
      <c r="B260" s="93">
        <f>IFERROR(MONTH($A260),"")</f>
        <v/>
      </c>
      <c r="D260" s="46" t="n"/>
      <c r="E260" s="46" t="n"/>
      <c r="G260" s="94">
        <f>IFERROR(($E260-$D260)*24-$F260,"")</f>
        <v/>
      </c>
    </row>
    <row r="261">
      <c r="A261" s="44" t="n"/>
      <c r="B261" s="93">
        <f>IFERROR(MONTH($A261),"")</f>
        <v/>
      </c>
      <c r="D261" s="46" t="n"/>
      <c r="E261" s="46" t="n"/>
      <c r="G261" s="94">
        <f>IFERROR(($E261-$D261)*24-$F261,"")</f>
        <v/>
      </c>
    </row>
    <row r="262">
      <c r="A262" s="44" t="n"/>
      <c r="B262" s="93">
        <f>IFERROR(MONTH($A262),"")</f>
        <v/>
      </c>
      <c r="D262" s="46" t="n"/>
      <c r="E262" s="46" t="n"/>
      <c r="G262" s="94">
        <f>IFERROR(($E262-$D262)*24-$F262,"")</f>
        <v/>
      </c>
    </row>
    <row r="263">
      <c r="A263" s="44" t="n"/>
      <c r="B263" s="93">
        <f>IFERROR(MONTH($A263),"")</f>
        <v/>
      </c>
      <c r="D263" s="46" t="n"/>
      <c r="E263" s="46" t="n"/>
      <c r="G263" s="94">
        <f>IFERROR(($E263-$D263)*24-$F263,"")</f>
        <v/>
      </c>
    </row>
    <row r="264">
      <c r="A264" s="44" t="n"/>
      <c r="B264" s="93">
        <f>IFERROR(MONTH($A264),"")</f>
        <v/>
      </c>
      <c r="D264" s="46" t="n"/>
      <c r="E264" s="46" t="n"/>
      <c r="G264" s="94">
        <f>IFERROR(($E264-$D264)*24-$F264,"")</f>
        <v/>
      </c>
    </row>
    <row r="265">
      <c r="A265" s="44" t="n"/>
      <c r="B265" s="93">
        <f>IFERROR(MONTH($A265),"")</f>
        <v/>
      </c>
      <c r="D265" s="46" t="n"/>
      <c r="E265" s="46" t="n"/>
      <c r="G265" s="94">
        <f>IFERROR(($E265-$D265)*24-$F265,"")</f>
        <v/>
      </c>
    </row>
    <row r="266">
      <c r="A266" s="44" t="n"/>
      <c r="B266" s="93">
        <f>IFERROR(MONTH($A266),"")</f>
        <v/>
      </c>
      <c r="D266" s="46" t="n"/>
      <c r="E266" s="46" t="n"/>
      <c r="G266" s="94">
        <f>IFERROR(($E266-$D266)*24-$F266,"")</f>
        <v/>
      </c>
    </row>
    <row r="267">
      <c r="A267" s="44" t="n"/>
      <c r="B267" s="93">
        <f>IFERROR(MONTH($A267),"")</f>
        <v/>
      </c>
      <c r="D267" s="46" t="n"/>
      <c r="E267" s="46" t="n"/>
      <c r="G267" s="94">
        <f>IFERROR(($E267-$D267)*24-$F267,"")</f>
        <v/>
      </c>
    </row>
    <row r="268">
      <c r="A268" s="44" t="n"/>
      <c r="B268" s="93">
        <f>IFERROR(MONTH($A268),"")</f>
        <v/>
      </c>
      <c r="D268" s="46" t="n"/>
      <c r="E268" s="46" t="n"/>
      <c r="G268" s="94">
        <f>IFERROR(($E268-$D268)*24-$F268,"")</f>
        <v/>
      </c>
    </row>
    <row r="269">
      <c r="A269" s="44" t="n"/>
      <c r="B269" s="93">
        <f>IFERROR(MONTH($A269),"")</f>
        <v/>
      </c>
      <c r="D269" s="46" t="n"/>
      <c r="E269" s="46" t="n"/>
      <c r="G269" s="94">
        <f>IFERROR(($E269-$D269)*24-$F269,"")</f>
        <v/>
      </c>
    </row>
    <row r="270">
      <c r="A270" s="44" t="n"/>
      <c r="B270" s="93">
        <f>IFERROR(MONTH($A270),"")</f>
        <v/>
      </c>
      <c r="D270" s="46" t="n"/>
      <c r="E270" s="46" t="n"/>
      <c r="G270" s="94">
        <f>IFERROR(($E270-$D270)*24-$F270,"")</f>
        <v/>
      </c>
    </row>
    <row r="271">
      <c r="A271" s="44" t="n"/>
      <c r="B271" s="93">
        <f>IFERROR(MONTH($A271),"")</f>
        <v/>
      </c>
      <c r="D271" s="46" t="n"/>
      <c r="E271" s="46" t="n"/>
      <c r="G271" s="94">
        <f>IFERROR(($E271-$D271)*24-$F271,"")</f>
        <v/>
      </c>
    </row>
    <row r="272">
      <c r="A272" s="44" t="n"/>
      <c r="B272" s="93">
        <f>IFERROR(MONTH($A272),"")</f>
        <v/>
      </c>
      <c r="D272" s="46" t="n"/>
      <c r="E272" s="46" t="n"/>
      <c r="G272" s="94">
        <f>IFERROR(($E272-$D272)*24-$F272,"")</f>
        <v/>
      </c>
    </row>
    <row r="273">
      <c r="A273" s="44" t="n"/>
      <c r="B273" s="93">
        <f>IFERROR(MONTH($A273),"")</f>
        <v/>
      </c>
      <c r="D273" s="46" t="n"/>
      <c r="E273" s="46" t="n"/>
      <c r="G273" s="94">
        <f>IFERROR(($E273-$D273)*24-$F273,"")</f>
        <v/>
      </c>
    </row>
    <row r="274">
      <c r="A274" s="44" t="n"/>
      <c r="B274" s="93">
        <f>IFERROR(MONTH($A274),"")</f>
        <v/>
      </c>
      <c r="D274" s="46" t="n"/>
      <c r="E274" s="46" t="n"/>
      <c r="G274" s="94">
        <f>IFERROR(($E274-$D274)*24-$F274,"")</f>
        <v/>
      </c>
    </row>
    <row r="275">
      <c r="A275" s="44" t="n"/>
      <c r="B275" s="93">
        <f>IFERROR(MONTH($A275),"")</f>
        <v/>
      </c>
      <c r="D275" s="46" t="n"/>
      <c r="E275" s="46" t="n"/>
      <c r="G275" s="94">
        <f>IFERROR(($E275-$D275)*24-$F275,"")</f>
        <v/>
      </c>
    </row>
    <row r="276">
      <c r="A276" s="44" t="n"/>
      <c r="B276" s="93">
        <f>IFERROR(MONTH($A276),"")</f>
        <v/>
      </c>
      <c r="D276" s="46" t="n"/>
      <c r="E276" s="46" t="n"/>
      <c r="G276" s="94">
        <f>IFERROR(($E276-$D276)*24-$F276,"")</f>
        <v/>
      </c>
    </row>
    <row r="277">
      <c r="A277" s="44" t="n"/>
      <c r="B277" s="93">
        <f>IFERROR(MONTH($A277),"")</f>
        <v/>
      </c>
      <c r="D277" s="46" t="n"/>
      <c r="E277" s="46" t="n"/>
      <c r="G277" s="94">
        <f>IFERROR(($E277-$D277)*24-$F277,"")</f>
        <v/>
      </c>
    </row>
    <row r="278">
      <c r="A278" s="44" t="n"/>
      <c r="B278" s="93">
        <f>IFERROR(MONTH($A278),"")</f>
        <v/>
      </c>
      <c r="D278" s="46" t="n"/>
      <c r="E278" s="46" t="n"/>
      <c r="G278" s="94">
        <f>IFERROR(($E278-$D278)*24-$F278,"")</f>
        <v/>
      </c>
    </row>
    <row r="279">
      <c r="A279" s="44" t="n"/>
      <c r="B279" s="93">
        <f>IFERROR(MONTH($A279),"")</f>
        <v/>
      </c>
      <c r="D279" s="46" t="n"/>
      <c r="E279" s="46" t="n"/>
      <c r="G279" s="94">
        <f>IFERROR(($E279-$D279)*24-$F279,"")</f>
        <v/>
      </c>
    </row>
    <row r="280">
      <c r="A280" s="44" t="n"/>
      <c r="B280" s="93">
        <f>IFERROR(MONTH($A280),"")</f>
        <v/>
      </c>
      <c r="D280" s="46" t="n"/>
      <c r="E280" s="46" t="n"/>
      <c r="G280" s="94">
        <f>IFERROR(($E280-$D280)*24-$F280,"")</f>
        <v/>
      </c>
    </row>
    <row r="281">
      <c r="A281" s="44" t="n"/>
      <c r="B281" s="93">
        <f>IFERROR(MONTH($A281),"")</f>
        <v/>
      </c>
      <c r="D281" s="46" t="n"/>
      <c r="E281" s="46" t="n"/>
      <c r="G281" s="94">
        <f>IFERROR(($E281-$D281)*24-$F281,"")</f>
        <v/>
      </c>
    </row>
    <row r="282">
      <c r="A282" s="44" t="n"/>
      <c r="B282" s="93">
        <f>IFERROR(MONTH($A282),"")</f>
        <v/>
      </c>
      <c r="D282" s="46" t="n"/>
      <c r="E282" s="46" t="n"/>
      <c r="G282" s="94">
        <f>IFERROR(($E282-$D282)*24-$F282,"")</f>
        <v/>
      </c>
    </row>
    <row r="283">
      <c r="A283" s="44" t="n"/>
      <c r="B283" s="93">
        <f>IFERROR(MONTH($A283),"")</f>
        <v/>
      </c>
      <c r="D283" s="46" t="n"/>
      <c r="E283" s="46" t="n"/>
      <c r="G283" s="94">
        <f>IFERROR(($E283-$D283)*24-$F283,"")</f>
        <v/>
      </c>
    </row>
    <row r="284">
      <c r="A284" s="44" t="n"/>
      <c r="B284" s="93">
        <f>IFERROR(MONTH($A284),"")</f>
        <v/>
      </c>
      <c r="D284" s="46" t="n"/>
      <c r="E284" s="46" t="n"/>
      <c r="G284" s="94">
        <f>IFERROR(($E284-$D284)*24-$F284,"")</f>
        <v/>
      </c>
    </row>
    <row r="285">
      <c r="A285" s="44" t="n"/>
      <c r="B285" s="93">
        <f>IFERROR(MONTH($A285),"")</f>
        <v/>
      </c>
      <c r="D285" s="46" t="n"/>
      <c r="E285" s="46" t="n"/>
      <c r="G285" s="94">
        <f>IFERROR(($E285-$D285)*24-$F285,"")</f>
        <v/>
      </c>
    </row>
    <row r="286">
      <c r="A286" s="44" t="n"/>
      <c r="B286" s="93">
        <f>IFERROR(MONTH($A286),"")</f>
        <v/>
      </c>
      <c r="D286" s="46" t="n"/>
      <c r="E286" s="46" t="n"/>
      <c r="G286" s="94">
        <f>IFERROR(($E286-$D286)*24-$F286,"")</f>
        <v/>
      </c>
    </row>
    <row r="287">
      <c r="A287" s="44" t="n"/>
      <c r="B287" s="93">
        <f>IFERROR(MONTH($A287),"")</f>
        <v/>
      </c>
      <c r="D287" s="46" t="n"/>
      <c r="E287" s="46" t="n"/>
      <c r="G287" s="94">
        <f>IFERROR(($E287-$D287)*24-$F287,"")</f>
        <v/>
      </c>
    </row>
    <row r="288">
      <c r="A288" s="44" t="n"/>
      <c r="B288" s="93">
        <f>IFERROR(MONTH($A288),"")</f>
        <v/>
      </c>
      <c r="D288" s="46" t="n"/>
      <c r="E288" s="46" t="n"/>
      <c r="G288" s="94">
        <f>IFERROR(($E288-$D288)*24-$F288,"")</f>
        <v/>
      </c>
    </row>
    <row r="289">
      <c r="A289" s="44" t="n"/>
      <c r="B289" s="93">
        <f>IFERROR(MONTH($A289),"")</f>
        <v/>
      </c>
      <c r="D289" s="46" t="n"/>
      <c r="E289" s="46" t="n"/>
      <c r="G289" s="94">
        <f>IFERROR(($E289-$D289)*24-$F289,"")</f>
        <v/>
      </c>
    </row>
    <row r="290">
      <c r="A290" s="44" t="n"/>
      <c r="B290" s="93">
        <f>IFERROR(MONTH($A290),"")</f>
        <v/>
      </c>
      <c r="D290" s="46" t="n"/>
      <c r="E290" s="46" t="n"/>
      <c r="G290" s="94">
        <f>IFERROR(($E290-$D290)*24-$F290,"")</f>
        <v/>
      </c>
    </row>
    <row r="291">
      <c r="A291" s="44" t="n"/>
      <c r="B291" s="93">
        <f>IFERROR(MONTH($A291),"")</f>
        <v/>
      </c>
      <c r="D291" s="46" t="n"/>
      <c r="E291" s="46" t="n"/>
      <c r="G291" s="94">
        <f>IFERROR(($E291-$D291)*24-$F291,"")</f>
        <v/>
      </c>
    </row>
    <row r="292">
      <c r="A292" s="44" t="n"/>
      <c r="B292" s="93">
        <f>IFERROR(MONTH($A292),"")</f>
        <v/>
      </c>
      <c r="D292" s="46" t="n"/>
      <c r="E292" s="46" t="n"/>
      <c r="G292" s="94">
        <f>IFERROR(($E292-$D292)*24-$F292,"")</f>
        <v/>
      </c>
    </row>
    <row r="293">
      <c r="A293" s="44" t="n"/>
      <c r="B293" s="93">
        <f>IFERROR(MONTH($A293),"")</f>
        <v/>
      </c>
      <c r="D293" s="46" t="n"/>
      <c r="E293" s="46" t="n"/>
      <c r="G293" s="94">
        <f>IFERROR(($E293-$D293)*24-$F293,"")</f>
        <v/>
      </c>
    </row>
    <row r="294">
      <c r="A294" s="44" t="n"/>
      <c r="B294" s="93">
        <f>IFERROR(MONTH($A294),"")</f>
        <v/>
      </c>
      <c r="D294" s="46" t="n"/>
      <c r="E294" s="46" t="n"/>
      <c r="G294" s="94">
        <f>IFERROR(($E294-$D294)*24-$F294,"")</f>
        <v/>
      </c>
    </row>
    <row r="295">
      <c r="A295" s="44" t="n"/>
      <c r="B295" s="93">
        <f>IFERROR(MONTH($A295),"")</f>
        <v/>
      </c>
      <c r="D295" s="46" t="n"/>
      <c r="E295" s="46" t="n"/>
      <c r="G295" s="94">
        <f>IFERROR(($E295-$D295)*24-$F295,"")</f>
        <v/>
      </c>
    </row>
    <row r="296">
      <c r="A296" s="44" t="n"/>
      <c r="B296" s="93">
        <f>IFERROR(MONTH($A296),"")</f>
        <v/>
      </c>
      <c r="D296" s="46" t="n"/>
      <c r="E296" s="46" t="n"/>
      <c r="G296" s="94">
        <f>IFERROR(($E296-$D296)*24-$F296,"")</f>
        <v/>
      </c>
    </row>
    <row r="297">
      <c r="A297" s="44" t="n"/>
      <c r="B297" s="93">
        <f>IFERROR(MONTH($A297),"")</f>
        <v/>
      </c>
      <c r="D297" s="46" t="n"/>
      <c r="E297" s="46" t="n"/>
      <c r="G297" s="94">
        <f>IFERROR(($E297-$D297)*24-$F297,"")</f>
        <v/>
      </c>
    </row>
    <row r="298">
      <c r="A298" s="44" t="n"/>
      <c r="B298" s="93">
        <f>IFERROR(MONTH($A298),"")</f>
        <v/>
      </c>
      <c r="D298" s="46" t="n"/>
      <c r="E298" s="46" t="n"/>
      <c r="G298" s="94">
        <f>IFERROR(($E298-$D298)*24-$F298,"")</f>
        <v/>
      </c>
    </row>
    <row r="299">
      <c r="A299" s="44" t="n"/>
      <c r="B299" s="93">
        <f>IFERROR(MONTH($A299),"")</f>
        <v/>
      </c>
      <c r="D299" s="46" t="n"/>
      <c r="E299" s="46" t="n"/>
      <c r="G299" s="94">
        <f>IFERROR(($E299-$D299)*24-$F299,"")</f>
        <v/>
      </c>
    </row>
    <row r="300">
      <c r="A300" s="44" t="n"/>
      <c r="B300" s="93">
        <f>IFERROR(MONTH($A300),"")</f>
        <v/>
      </c>
      <c r="D300" s="46" t="n"/>
      <c r="E300" s="46" t="n"/>
      <c r="G300" s="94">
        <f>IFERROR(($E300-$D300)*24-$F300,"")</f>
        <v/>
      </c>
    </row>
    <row r="301">
      <c r="A301" s="44" t="n"/>
      <c r="B301" s="93">
        <f>IFERROR(MONTH($A301),"")</f>
        <v/>
      </c>
      <c r="D301" s="46" t="n"/>
      <c r="E301" s="46" t="n"/>
      <c r="G301" s="94">
        <f>IFERROR(($E301-$D301)*24-$F301,"")</f>
        <v/>
      </c>
    </row>
    <row r="302">
      <c r="A302" s="44" t="n"/>
      <c r="B302" s="93">
        <f>IFERROR(MONTH($A302),"")</f>
        <v/>
      </c>
      <c r="D302" s="46" t="n"/>
      <c r="E302" s="46" t="n"/>
      <c r="G302" s="94">
        <f>IFERROR(($E302-$D302)*24-$F302,"")</f>
        <v/>
      </c>
    </row>
    <row r="303">
      <c r="A303" s="44" t="n"/>
      <c r="B303" s="93">
        <f>IFERROR(MONTH($A303),"")</f>
        <v/>
      </c>
      <c r="D303" s="46" t="n"/>
      <c r="E303" s="46" t="n"/>
      <c r="G303" s="94">
        <f>IFERROR(($E303-$D303)*24-$F303,"")</f>
        <v/>
      </c>
    </row>
    <row r="304">
      <c r="A304" s="44" t="n"/>
      <c r="B304" s="93">
        <f>IFERROR(MONTH($A304),"")</f>
        <v/>
      </c>
      <c r="D304" s="46" t="n"/>
      <c r="E304" s="46" t="n"/>
      <c r="G304" s="94">
        <f>IFERROR(($E304-$D304)*24-$F304,"")</f>
        <v/>
      </c>
    </row>
    <row r="305">
      <c r="A305" s="44" t="n"/>
      <c r="B305" s="93">
        <f>IFERROR(MONTH($A305),"")</f>
        <v/>
      </c>
      <c r="D305" s="46" t="n"/>
      <c r="E305" s="46" t="n"/>
      <c r="G305" s="94">
        <f>IFERROR(($E305-$D305)*24-$F305,"")</f>
        <v/>
      </c>
    </row>
    <row r="306">
      <c r="A306" s="44" t="n"/>
      <c r="B306" s="93">
        <f>IFERROR(MONTH($A306),"")</f>
        <v/>
      </c>
      <c r="D306" s="46" t="n"/>
      <c r="E306" s="46" t="n"/>
      <c r="G306" s="94">
        <f>IFERROR(($E306-$D306)*24-$F306,"")</f>
        <v/>
      </c>
    </row>
    <row r="307">
      <c r="A307" s="44" t="n"/>
      <c r="B307" s="93">
        <f>IFERROR(MONTH($A307),"")</f>
        <v/>
      </c>
      <c r="D307" s="46" t="n"/>
      <c r="E307" s="46" t="n"/>
      <c r="G307" s="94">
        <f>IFERROR(($E307-$D307)*24-$F307,"")</f>
        <v/>
      </c>
    </row>
    <row r="308">
      <c r="A308" s="44" t="n"/>
      <c r="B308" s="93">
        <f>IFERROR(MONTH($A308),"")</f>
        <v/>
      </c>
      <c r="D308" s="46" t="n"/>
      <c r="E308" s="46" t="n"/>
      <c r="G308" s="94">
        <f>IFERROR(($E308-$D308)*24-$F308,"")</f>
        <v/>
      </c>
    </row>
    <row r="309">
      <c r="A309" s="44" t="n"/>
      <c r="B309" s="93">
        <f>IFERROR(MONTH($A309),"")</f>
        <v/>
      </c>
      <c r="D309" s="46" t="n"/>
      <c r="E309" s="46" t="n"/>
      <c r="G309" s="94">
        <f>IFERROR(($E309-$D309)*24-$F309,"")</f>
        <v/>
      </c>
    </row>
    <row r="310">
      <c r="A310" s="44" t="n"/>
      <c r="B310" s="93">
        <f>IFERROR(MONTH($A310),"")</f>
        <v/>
      </c>
      <c r="D310" s="46" t="n"/>
      <c r="E310" s="46" t="n"/>
      <c r="G310" s="94">
        <f>IFERROR(($E310-$D310)*24-$F310,"")</f>
        <v/>
      </c>
    </row>
    <row r="311">
      <c r="A311" s="44" t="n"/>
      <c r="B311" s="93">
        <f>IFERROR(MONTH($A311),"")</f>
        <v/>
      </c>
      <c r="D311" s="46" t="n"/>
      <c r="E311" s="46" t="n"/>
      <c r="G311" s="94">
        <f>IFERROR(($E311-$D311)*24-$F311,"")</f>
        <v/>
      </c>
    </row>
    <row r="312">
      <c r="A312" s="44" t="n"/>
      <c r="B312" s="93">
        <f>IFERROR(MONTH($A312),"")</f>
        <v/>
      </c>
      <c r="D312" s="46" t="n"/>
      <c r="E312" s="46" t="n"/>
      <c r="G312" s="94">
        <f>IFERROR(($E312-$D312)*24-$F312,"")</f>
        <v/>
      </c>
    </row>
    <row r="313">
      <c r="A313" s="44" t="n"/>
      <c r="B313" s="93">
        <f>IFERROR(MONTH($A313),"")</f>
        <v/>
      </c>
      <c r="D313" s="46" t="n"/>
      <c r="E313" s="46" t="n"/>
      <c r="G313" s="94">
        <f>IFERROR(($E313-$D313)*24-$F313,"")</f>
        <v/>
      </c>
    </row>
    <row r="314">
      <c r="A314" s="44" t="n"/>
      <c r="B314" s="93">
        <f>IFERROR(MONTH($A314),"")</f>
        <v/>
      </c>
      <c r="D314" s="46" t="n"/>
      <c r="E314" s="46" t="n"/>
      <c r="G314" s="94">
        <f>IFERROR(($E314-$D314)*24-$F314,"")</f>
        <v/>
      </c>
    </row>
    <row r="315">
      <c r="A315" s="44" t="n"/>
      <c r="B315" s="93">
        <f>IFERROR(MONTH($A315),"")</f>
        <v/>
      </c>
      <c r="D315" s="46" t="n"/>
      <c r="E315" s="46" t="n"/>
      <c r="G315" s="94">
        <f>IFERROR(($E315-$D315)*24-$F315,"")</f>
        <v/>
      </c>
    </row>
    <row r="316">
      <c r="A316" s="44" t="n"/>
      <c r="B316" s="93">
        <f>IFERROR(MONTH($A316),"")</f>
        <v/>
      </c>
      <c r="D316" s="46" t="n"/>
      <c r="E316" s="46" t="n"/>
      <c r="G316" s="94">
        <f>IFERROR(($E316-$D316)*24-$F316,"")</f>
        <v/>
      </c>
    </row>
    <row r="317">
      <c r="A317" s="44" t="n"/>
      <c r="B317" s="93">
        <f>IFERROR(MONTH($A317),"")</f>
        <v/>
      </c>
      <c r="D317" s="46" t="n"/>
      <c r="E317" s="46" t="n"/>
      <c r="G317" s="94">
        <f>IFERROR(($E317-$D317)*24-$F317,"")</f>
        <v/>
      </c>
    </row>
    <row r="318">
      <c r="A318" s="44" t="n"/>
      <c r="B318" s="93">
        <f>IFERROR(MONTH($A318),"")</f>
        <v/>
      </c>
      <c r="D318" s="46" t="n"/>
      <c r="E318" s="46" t="n"/>
      <c r="G318" s="94">
        <f>IFERROR(($E318-$D318)*24-$F318,"")</f>
        <v/>
      </c>
    </row>
    <row r="319">
      <c r="A319" s="44" t="n"/>
      <c r="B319" s="93">
        <f>IFERROR(MONTH($A319),"")</f>
        <v/>
      </c>
      <c r="D319" s="46" t="n"/>
      <c r="E319" s="46" t="n"/>
      <c r="G319" s="94">
        <f>IFERROR(($E319-$D319)*24-$F319,"")</f>
        <v/>
      </c>
    </row>
    <row r="320">
      <c r="A320" s="44" t="n"/>
      <c r="B320" s="93">
        <f>IFERROR(MONTH($A320),"")</f>
        <v/>
      </c>
      <c r="D320" s="46" t="n"/>
      <c r="E320" s="46" t="n"/>
      <c r="G320" s="94">
        <f>IFERROR(($E320-$D320)*24-$F320,"")</f>
        <v/>
      </c>
    </row>
    <row r="321">
      <c r="A321" s="44" t="n"/>
      <c r="B321" s="93">
        <f>IFERROR(MONTH($A321),"")</f>
        <v/>
      </c>
      <c r="D321" s="46" t="n"/>
      <c r="E321" s="46" t="n"/>
      <c r="G321" s="94">
        <f>IFERROR(($E321-$D321)*24-$F321,"")</f>
        <v/>
      </c>
    </row>
    <row r="322">
      <c r="A322" s="44" t="n"/>
      <c r="B322" s="93">
        <f>IFERROR(MONTH($A322),"")</f>
        <v/>
      </c>
      <c r="D322" s="46" t="n"/>
      <c r="E322" s="46" t="n"/>
      <c r="G322" s="94">
        <f>IFERROR(($E322-$D322)*24-$F322,"")</f>
        <v/>
      </c>
    </row>
    <row r="323">
      <c r="A323" s="44" t="n"/>
      <c r="B323" s="93">
        <f>IFERROR(MONTH($A323),"")</f>
        <v/>
      </c>
      <c r="D323" s="46" t="n"/>
      <c r="E323" s="46" t="n"/>
      <c r="G323" s="94">
        <f>IFERROR(($E323-$D323)*24-$F323,"")</f>
        <v/>
      </c>
    </row>
    <row r="324">
      <c r="A324" s="44" t="n"/>
      <c r="B324" s="93">
        <f>IFERROR(MONTH($A324),"")</f>
        <v/>
      </c>
      <c r="D324" s="46" t="n"/>
      <c r="E324" s="46" t="n"/>
      <c r="G324" s="94">
        <f>IFERROR(($E324-$D324)*24-$F324,"")</f>
        <v/>
      </c>
    </row>
    <row r="325">
      <c r="A325" s="44" t="n"/>
      <c r="B325" s="93">
        <f>IFERROR(MONTH($A325),"")</f>
        <v/>
      </c>
      <c r="D325" s="46" t="n"/>
      <c r="E325" s="46" t="n"/>
      <c r="G325" s="94">
        <f>IFERROR(($E325-$D325)*24-$F325,"")</f>
        <v/>
      </c>
    </row>
    <row r="326">
      <c r="A326" s="44" t="n"/>
      <c r="B326" s="93">
        <f>IFERROR(MONTH($A326),"")</f>
        <v/>
      </c>
      <c r="D326" s="46" t="n"/>
      <c r="E326" s="46" t="n"/>
      <c r="G326" s="94">
        <f>IFERROR(($E326-$D326)*24-$F326,"")</f>
        <v/>
      </c>
    </row>
    <row r="327">
      <c r="A327" s="44" t="n"/>
      <c r="B327" s="93">
        <f>IFERROR(MONTH($A327),"")</f>
        <v/>
      </c>
      <c r="D327" s="46" t="n"/>
      <c r="E327" s="46" t="n"/>
      <c r="G327" s="94">
        <f>IFERROR(($E327-$D327)*24-$F327,"")</f>
        <v/>
      </c>
    </row>
    <row r="328">
      <c r="A328" s="44" t="n"/>
      <c r="B328" s="93">
        <f>IFERROR(MONTH($A328),"")</f>
        <v/>
      </c>
      <c r="D328" s="46" t="n"/>
      <c r="E328" s="46" t="n"/>
      <c r="G328" s="94">
        <f>IFERROR(($E328-$D328)*24-$F328,"")</f>
        <v/>
      </c>
    </row>
    <row r="329">
      <c r="A329" s="44" t="n"/>
      <c r="B329" s="93">
        <f>IFERROR(MONTH($A329),"")</f>
        <v/>
      </c>
      <c r="D329" s="46" t="n"/>
      <c r="E329" s="46" t="n"/>
      <c r="G329" s="94">
        <f>IFERROR(($E329-$D329)*24-$F329,"")</f>
        <v/>
      </c>
    </row>
    <row r="330">
      <c r="A330" s="44" t="n"/>
      <c r="B330" s="93">
        <f>IFERROR(MONTH($A330),"")</f>
        <v/>
      </c>
      <c r="D330" s="46" t="n"/>
      <c r="E330" s="46" t="n"/>
      <c r="G330" s="94">
        <f>IFERROR(($E330-$D330)*24-$F330,"")</f>
        <v/>
      </c>
    </row>
    <row r="331">
      <c r="A331" s="44" t="n"/>
      <c r="B331" s="93">
        <f>IFERROR(MONTH($A331),"")</f>
        <v/>
      </c>
      <c r="D331" s="46" t="n"/>
      <c r="E331" s="46" t="n"/>
      <c r="G331" s="94">
        <f>IFERROR(($E331-$D331)*24-$F331,"")</f>
        <v/>
      </c>
    </row>
    <row r="332">
      <c r="A332" s="44" t="n"/>
      <c r="B332" s="93">
        <f>IFERROR(MONTH($A332),"")</f>
        <v/>
      </c>
      <c r="D332" s="46" t="n"/>
      <c r="E332" s="46" t="n"/>
      <c r="G332" s="94">
        <f>IFERROR(($E332-$D332)*24-$F332,"")</f>
        <v/>
      </c>
    </row>
    <row r="333">
      <c r="A333" s="44" t="n"/>
      <c r="B333" s="93">
        <f>IFERROR(MONTH($A333),"")</f>
        <v/>
      </c>
      <c r="D333" s="46" t="n"/>
      <c r="E333" s="46" t="n"/>
      <c r="G333" s="94">
        <f>IFERROR(($E333-$D333)*24-$F333,"")</f>
        <v/>
      </c>
    </row>
    <row r="334">
      <c r="A334" s="44" t="n"/>
      <c r="B334" s="93">
        <f>IFERROR(MONTH($A334),"")</f>
        <v/>
      </c>
      <c r="D334" s="46" t="n"/>
      <c r="E334" s="46" t="n"/>
      <c r="G334" s="94">
        <f>IFERROR(($E334-$D334)*24-$F334,"")</f>
        <v/>
      </c>
    </row>
    <row r="335">
      <c r="A335" s="44" t="n"/>
      <c r="B335" s="93">
        <f>IFERROR(MONTH($A335),"")</f>
        <v/>
      </c>
      <c r="D335" s="46" t="n"/>
      <c r="E335" s="46" t="n"/>
      <c r="G335" s="94">
        <f>IFERROR(($E335-$D335)*24-$F335,"")</f>
        <v/>
      </c>
    </row>
    <row r="336">
      <c r="A336" s="44" t="n"/>
      <c r="B336" s="93">
        <f>IFERROR(MONTH($A336),"")</f>
        <v/>
      </c>
      <c r="D336" s="46" t="n"/>
      <c r="E336" s="46" t="n"/>
      <c r="G336" s="94">
        <f>IFERROR(($E336-$D336)*24-$F336,"")</f>
        <v/>
      </c>
    </row>
    <row r="337">
      <c r="A337" s="44" t="n"/>
      <c r="B337" s="93">
        <f>IFERROR(MONTH($A337),"")</f>
        <v/>
      </c>
      <c r="D337" s="46" t="n"/>
      <c r="E337" s="46" t="n"/>
      <c r="G337" s="94">
        <f>IFERROR(($E337-$D337)*24-$F337,"")</f>
        <v/>
      </c>
    </row>
    <row r="338">
      <c r="A338" s="44" t="n"/>
      <c r="B338" s="93">
        <f>IFERROR(MONTH($A338),"")</f>
        <v/>
      </c>
      <c r="D338" s="46" t="n"/>
      <c r="E338" s="46" t="n"/>
      <c r="G338" s="94">
        <f>IFERROR(($E338-$D338)*24-$F338,"")</f>
        <v/>
      </c>
    </row>
    <row r="339">
      <c r="A339" s="44" t="n"/>
      <c r="B339" s="93">
        <f>IFERROR(MONTH($A339),"")</f>
        <v/>
      </c>
      <c r="D339" s="46" t="n"/>
      <c r="E339" s="46" t="n"/>
      <c r="G339" s="94">
        <f>IFERROR(($E339-$D339)*24-$F339,"")</f>
        <v/>
      </c>
    </row>
    <row r="340">
      <c r="A340" s="44" t="n"/>
      <c r="B340" s="93">
        <f>IFERROR(MONTH($A340),"")</f>
        <v/>
      </c>
      <c r="D340" s="46" t="n"/>
      <c r="E340" s="46" t="n"/>
      <c r="G340" s="94">
        <f>IFERROR(($E340-$D340)*24-$F340,"")</f>
        <v/>
      </c>
    </row>
    <row r="341">
      <c r="A341" s="44" t="n"/>
      <c r="B341" s="93">
        <f>IFERROR(MONTH($A341),"")</f>
        <v/>
      </c>
      <c r="D341" s="46" t="n"/>
      <c r="E341" s="46" t="n"/>
      <c r="G341" s="94">
        <f>IFERROR(($E341-$D341)*24-$F341,"")</f>
        <v/>
      </c>
    </row>
    <row r="342">
      <c r="A342" s="44" t="n"/>
      <c r="B342" s="93">
        <f>IFERROR(MONTH($A342),"")</f>
        <v/>
      </c>
      <c r="D342" s="46" t="n"/>
      <c r="E342" s="46" t="n"/>
      <c r="G342" s="94">
        <f>IFERROR(($E342-$D342)*24-$F342,"")</f>
        <v/>
      </c>
    </row>
    <row r="343">
      <c r="A343" s="44" t="n"/>
      <c r="B343" s="93">
        <f>IFERROR(MONTH($A343),"")</f>
        <v/>
      </c>
      <c r="D343" s="46" t="n"/>
      <c r="E343" s="46" t="n"/>
      <c r="G343" s="94">
        <f>IFERROR(($E343-$D343)*24-$F343,"")</f>
        <v/>
      </c>
    </row>
    <row r="344">
      <c r="A344" s="44" t="n"/>
      <c r="B344" s="93">
        <f>IFERROR(MONTH($A344),"")</f>
        <v/>
      </c>
      <c r="D344" s="46" t="n"/>
      <c r="E344" s="46" t="n"/>
      <c r="G344" s="94">
        <f>IFERROR(($E344-$D344)*24-$F344,"")</f>
        <v/>
      </c>
    </row>
    <row r="345">
      <c r="A345" s="44" t="n"/>
      <c r="B345" s="93">
        <f>IFERROR(MONTH($A345),"")</f>
        <v/>
      </c>
      <c r="D345" s="46" t="n"/>
      <c r="E345" s="46" t="n"/>
      <c r="G345" s="94">
        <f>IFERROR(($E345-$D345)*24-$F345,"")</f>
        <v/>
      </c>
    </row>
    <row r="346">
      <c r="A346" s="44" t="n"/>
      <c r="B346" s="93">
        <f>IFERROR(MONTH($A346),"")</f>
        <v/>
      </c>
      <c r="D346" s="46" t="n"/>
      <c r="E346" s="46" t="n"/>
      <c r="G346" s="94">
        <f>IFERROR(($E346-$D346)*24-$F346,"")</f>
        <v/>
      </c>
    </row>
    <row r="347">
      <c r="A347" s="44" t="n"/>
      <c r="B347" s="93">
        <f>IFERROR(MONTH($A347),"")</f>
        <v/>
      </c>
      <c r="D347" s="46" t="n"/>
      <c r="E347" s="46" t="n"/>
      <c r="G347" s="94">
        <f>IFERROR(($E347-$D347)*24-$F347,"")</f>
        <v/>
      </c>
    </row>
    <row r="348">
      <c r="A348" s="44" t="n"/>
      <c r="B348" s="93">
        <f>IFERROR(MONTH($A348),"")</f>
        <v/>
      </c>
      <c r="D348" s="46" t="n"/>
      <c r="E348" s="46" t="n"/>
      <c r="G348" s="94">
        <f>IFERROR(($E348-$D348)*24-$F348,"")</f>
        <v/>
      </c>
    </row>
    <row r="349">
      <c r="A349" s="44" t="n"/>
      <c r="B349" s="93">
        <f>IFERROR(MONTH($A349),"")</f>
        <v/>
      </c>
      <c r="D349" s="46" t="n"/>
      <c r="E349" s="46" t="n"/>
      <c r="G349" s="94">
        <f>IFERROR(($E349-$D349)*24-$F349,"")</f>
        <v/>
      </c>
    </row>
    <row r="350">
      <c r="A350" s="44" t="n"/>
      <c r="B350" s="93">
        <f>IFERROR(MONTH($A350),"")</f>
        <v/>
      </c>
      <c r="D350" s="46" t="n"/>
      <c r="E350" s="46" t="n"/>
      <c r="G350" s="94">
        <f>IFERROR(($E350-$D350)*24-$F350,"")</f>
        <v/>
      </c>
    </row>
    <row r="351">
      <c r="A351" s="44" t="n"/>
      <c r="B351" s="93">
        <f>IFERROR(MONTH($A351),"")</f>
        <v/>
      </c>
      <c r="D351" s="46" t="n"/>
      <c r="E351" s="46" t="n"/>
      <c r="G351" s="94">
        <f>IFERROR(($E351-$D351)*24-$F351,"")</f>
        <v/>
      </c>
    </row>
    <row r="352">
      <c r="A352" s="44" t="n"/>
      <c r="B352" s="93">
        <f>IFERROR(MONTH($A352),"")</f>
        <v/>
      </c>
      <c r="D352" s="46" t="n"/>
      <c r="E352" s="46" t="n"/>
      <c r="G352" s="94">
        <f>IFERROR(($E352-$D352)*24-$F352,"")</f>
        <v/>
      </c>
    </row>
    <row r="353">
      <c r="A353" s="44" t="n"/>
      <c r="B353" s="93">
        <f>IFERROR(MONTH($A353),"")</f>
        <v/>
      </c>
      <c r="D353" s="46" t="n"/>
      <c r="E353" s="46" t="n"/>
      <c r="G353" s="94">
        <f>IFERROR(($E353-$D353)*24-$F353,"")</f>
        <v/>
      </c>
    </row>
    <row r="354">
      <c r="A354" s="44" t="n"/>
      <c r="B354" s="93">
        <f>IFERROR(MONTH($A354),"")</f>
        <v/>
      </c>
      <c r="D354" s="46" t="n"/>
      <c r="E354" s="46" t="n"/>
      <c r="G354" s="94">
        <f>IFERROR(($E354-$D354)*24-$F354,"")</f>
        <v/>
      </c>
    </row>
    <row r="355">
      <c r="A355" s="44" t="n"/>
      <c r="B355" s="93">
        <f>IFERROR(MONTH($A355),"")</f>
        <v/>
      </c>
      <c r="D355" s="46" t="n"/>
      <c r="E355" s="46" t="n"/>
      <c r="G355" s="94">
        <f>IFERROR(($E355-$D355)*24-$F355,"")</f>
        <v/>
      </c>
    </row>
    <row r="356">
      <c r="A356" s="44" t="n"/>
      <c r="B356" s="93">
        <f>IFERROR(MONTH($A356),"")</f>
        <v/>
      </c>
      <c r="D356" s="46" t="n"/>
      <c r="E356" s="46" t="n"/>
      <c r="G356" s="94">
        <f>IFERROR(($E356-$D356)*24-$F356,"")</f>
        <v/>
      </c>
    </row>
    <row r="357">
      <c r="A357" s="44" t="n"/>
      <c r="B357" s="93">
        <f>IFERROR(MONTH($A357),"")</f>
        <v/>
      </c>
      <c r="D357" s="46" t="n"/>
      <c r="E357" s="46" t="n"/>
      <c r="G357" s="94">
        <f>IFERROR(($E357-$D357)*24-$F357,"")</f>
        <v/>
      </c>
    </row>
    <row r="358">
      <c r="A358" s="44" t="n"/>
      <c r="B358" s="93">
        <f>IFERROR(MONTH($A358),"")</f>
        <v/>
      </c>
      <c r="D358" s="46" t="n"/>
      <c r="E358" s="46" t="n"/>
      <c r="G358" s="94">
        <f>IFERROR(($E358-$D358)*24-$F358,"")</f>
        <v/>
      </c>
    </row>
    <row r="359">
      <c r="A359" s="44" t="n"/>
      <c r="B359" s="93">
        <f>IFERROR(MONTH($A359),"")</f>
        <v/>
      </c>
      <c r="D359" s="46" t="n"/>
      <c r="E359" s="46" t="n"/>
      <c r="G359" s="94">
        <f>IFERROR(($E359-$D359)*24-$F359,"")</f>
        <v/>
      </c>
    </row>
    <row r="360">
      <c r="A360" s="44" t="n"/>
      <c r="B360" s="93">
        <f>IFERROR(MONTH($A360),"")</f>
        <v/>
      </c>
      <c r="D360" s="46" t="n"/>
      <c r="E360" s="46" t="n"/>
      <c r="G360" s="94">
        <f>IFERROR(($E360-$D360)*24-$F360,"")</f>
        <v/>
      </c>
    </row>
    <row r="361">
      <c r="A361" s="44" t="n"/>
      <c r="B361" s="93">
        <f>IFERROR(MONTH($A361),"")</f>
        <v/>
      </c>
      <c r="D361" s="46" t="n"/>
      <c r="E361" s="46" t="n"/>
      <c r="G361" s="94">
        <f>IFERROR(($E361-$D361)*24-$F361,"")</f>
        <v/>
      </c>
    </row>
    <row r="362">
      <c r="A362" s="44" t="n"/>
      <c r="B362" s="93">
        <f>IFERROR(MONTH($A362),"")</f>
        <v/>
      </c>
      <c r="D362" s="46" t="n"/>
      <c r="E362" s="46" t="n"/>
      <c r="G362" s="94">
        <f>IFERROR(($E362-$D362)*24-$F362,"")</f>
        <v/>
      </c>
    </row>
    <row r="363">
      <c r="A363" s="44" t="n"/>
      <c r="B363" s="93">
        <f>IFERROR(MONTH($A363),"")</f>
        <v/>
      </c>
      <c r="D363" s="46" t="n"/>
      <c r="E363" s="46" t="n"/>
      <c r="G363" s="94">
        <f>IFERROR(($E363-$D363)*24-$F363,"")</f>
        <v/>
      </c>
    </row>
    <row r="364">
      <c r="A364" s="44" t="n"/>
      <c r="B364" s="93">
        <f>IFERROR(MONTH($A364),"")</f>
        <v/>
      </c>
      <c r="D364" s="46" t="n"/>
      <c r="E364" s="46" t="n"/>
      <c r="G364" s="94">
        <f>IFERROR(($E364-$D364)*24-$F364,"")</f>
        <v/>
      </c>
    </row>
    <row r="365">
      <c r="A365" s="44" t="n"/>
      <c r="B365" s="93">
        <f>IFERROR(MONTH($A365),"")</f>
        <v/>
      </c>
      <c r="D365" s="46" t="n"/>
      <c r="E365" s="46" t="n"/>
      <c r="G365" s="94">
        <f>IFERROR(($E365-$D365)*24-$F365,"")</f>
        <v/>
      </c>
    </row>
    <row r="366">
      <c r="A366" s="44" t="n"/>
      <c r="B366" s="93">
        <f>IFERROR(MONTH($A366),"")</f>
        <v/>
      </c>
      <c r="D366" s="46" t="n"/>
      <c r="E366" s="46" t="n"/>
      <c r="G366" s="94">
        <f>IFERROR(($E366-$D366)*24-$F366,"")</f>
        <v/>
      </c>
    </row>
    <row r="367">
      <c r="A367" s="44" t="n"/>
      <c r="B367" s="93">
        <f>IFERROR(MONTH($A367),"")</f>
        <v/>
      </c>
      <c r="D367" s="46" t="n"/>
      <c r="E367" s="46" t="n"/>
      <c r="G367" s="94">
        <f>IFERROR(($E367-$D367)*24-$F367,"")</f>
        <v/>
      </c>
    </row>
    <row r="368">
      <c r="A368" s="44" t="n"/>
      <c r="B368" s="93">
        <f>IFERROR(MONTH($A368),"")</f>
        <v/>
      </c>
      <c r="D368" s="46" t="n"/>
      <c r="E368" s="46" t="n"/>
      <c r="G368" s="94">
        <f>IFERROR(($E368-$D368)*24-$F368,"")</f>
        <v/>
      </c>
    </row>
    <row r="369">
      <c r="A369" s="44" t="n"/>
      <c r="B369" s="93">
        <f>IFERROR(MONTH($A369),"")</f>
        <v/>
      </c>
      <c r="D369" s="46" t="n"/>
      <c r="E369" s="46" t="n"/>
      <c r="G369" s="94">
        <f>IFERROR(($E369-$D369)*24-$F369,"")</f>
        <v/>
      </c>
    </row>
    <row r="370">
      <c r="A370" s="44" t="n"/>
      <c r="B370" s="93">
        <f>IFERROR(MONTH($A370),"")</f>
        <v/>
      </c>
      <c r="D370" s="46" t="n"/>
      <c r="E370" s="46" t="n"/>
      <c r="G370" s="94">
        <f>IFERROR(($E370-$D370)*24-$F370,"")</f>
        <v/>
      </c>
    </row>
    <row r="371">
      <c r="A371" s="44" t="n"/>
      <c r="B371" s="93">
        <f>IFERROR(MONTH($A371),"")</f>
        <v/>
      </c>
      <c r="D371" s="46" t="n"/>
      <c r="E371" s="46" t="n"/>
      <c r="G371" s="94">
        <f>IFERROR(($E371-$D371)*24-$F371,"")</f>
        <v/>
      </c>
    </row>
    <row r="372">
      <c r="A372" s="44" t="n"/>
      <c r="B372" s="93">
        <f>IFERROR(MONTH($A372),"")</f>
        <v/>
      </c>
      <c r="D372" s="46" t="n"/>
      <c r="E372" s="46" t="n"/>
      <c r="G372" s="94">
        <f>IFERROR(($E372-$D372)*24-$F372,"")</f>
        <v/>
      </c>
    </row>
    <row r="373">
      <c r="A373" s="44" t="n"/>
      <c r="B373" s="93">
        <f>IFERROR(MONTH($A373),"")</f>
        <v/>
      </c>
      <c r="D373" s="46" t="n"/>
      <c r="E373" s="46" t="n"/>
      <c r="G373" s="94">
        <f>IFERROR(($E373-$D373)*24-$F373,"")</f>
        <v/>
      </c>
    </row>
    <row r="374">
      <c r="A374" s="44" t="n"/>
      <c r="B374" s="93">
        <f>IFERROR(MONTH($A374),"")</f>
        <v/>
      </c>
      <c r="D374" s="46" t="n"/>
      <c r="E374" s="46" t="n"/>
      <c r="G374" s="94">
        <f>IFERROR(($E374-$D374)*24-$F374,"")</f>
        <v/>
      </c>
    </row>
    <row r="375">
      <c r="A375" s="44" t="n"/>
      <c r="B375" s="93">
        <f>IFERROR(MONTH($A375),"")</f>
        <v/>
      </c>
      <c r="D375" s="46" t="n"/>
      <c r="E375" s="46" t="n"/>
      <c r="G375" s="94">
        <f>IFERROR(($E375-$D375)*24-$F375,"")</f>
        <v/>
      </c>
    </row>
    <row r="376">
      <c r="A376" s="44" t="n"/>
      <c r="B376" s="93">
        <f>IFERROR(MONTH($A376),"")</f>
        <v/>
      </c>
      <c r="D376" s="46" t="n"/>
      <c r="E376" s="46" t="n"/>
      <c r="G376" s="94">
        <f>IFERROR(($E376-$D376)*24-$F376,"")</f>
        <v/>
      </c>
    </row>
    <row r="377">
      <c r="A377" s="44" t="n"/>
      <c r="B377" s="93">
        <f>IFERROR(MONTH($A377),"")</f>
        <v/>
      </c>
      <c r="D377" s="46" t="n"/>
      <c r="E377" s="46" t="n"/>
      <c r="G377" s="94">
        <f>IFERROR(($E377-$D377)*24-$F377,"")</f>
        <v/>
      </c>
    </row>
    <row r="378">
      <c r="A378" s="44" t="n"/>
      <c r="B378" s="93">
        <f>IFERROR(MONTH($A378),"")</f>
        <v/>
      </c>
      <c r="D378" s="46" t="n"/>
      <c r="E378" s="46" t="n"/>
      <c r="G378" s="94">
        <f>IFERROR(($E378-$D378)*24-$F378,"")</f>
        <v/>
      </c>
    </row>
    <row r="379">
      <c r="A379" s="44" t="n"/>
      <c r="B379" s="93">
        <f>IFERROR(MONTH($A379),"")</f>
        <v/>
      </c>
      <c r="D379" s="46" t="n"/>
      <c r="E379" s="46" t="n"/>
      <c r="G379" s="94">
        <f>IFERROR(($E379-$D379)*24-$F379,"")</f>
        <v/>
      </c>
    </row>
    <row r="380">
      <c r="A380" s="44" t="n"/>
      <c r="B380" s="93">
        <f>IFERROR(MONTH($A380),"")</f>
        <v/>
      </c>
      <c r="D380" s="46" t="n"/>
      <c r="E380" s="46" t="n"/>
      <c r="G380" s="94">
        <f>IFERROR(($E380-$D380)*24-$F380,"")</f>
        <v/>
      </c>
    </row>
    <row r="381">
      <c r="A381" s="44" t="n"/>
      <c r="B381" s="93">
        <f>IFERROR(MONTH($A381),"")</f>
        <v/>
      </c>
      <c r="D381" s="46" t="n"/>
      <c r="E381" s="46" t="n"/>
      <c r="G381" s="94">
        <f>IFERROR(($E381-$D381)*24-$F381,"")</f>
        <v/>
      </c>
    </row>
    <row r="382">
      <c r="A382" s="44" t="n"/>
      <c r="B382" s="93">
        <f>IFERROR(MONTH($A382),"")</f>
        <v/>
      </c>
      <c r="D382" s="46" t="n"/>
      <c r="E382" s="46" t="n"/>
      <c r="G382" s="94">
        <f>IFERROR(($E382-$D382)*24-$F382,"")</f>
        <v/>
      </c>
    </row>
    <row r="383">
      <c r="A383" s="44" t="n"/>
      <c r="B383" s="93">
        <f>IFERROR(MONTH($A383),"")</f>
        <v/>
      </c>
      <c r="D383" s="46" t="n"/>
      <c r="E383" s="46" t="n"/>
      <c r="G383" s="94">
        <f>IFERROR(($E383-$D383)*24-$F383,"")</f>
        <v/>
      </c>
    </row>
    <row r="384">
      <c r="A384" s="44" t="n"/>
      <c r="B384" s="93">
        <f>IFERROR(MONTH($A384),"")</f>
        <v/>
      </c>
      <c r="D384" s="46" t="n"/>
      <c r="E384" s="46" t="n"/>
      <c r="G384" s="94">
        <f>IFERROR(($E384-$D384)*24-$F384,"")</f>
        <v/>
      </c>
    </row>
    <row r="385">
      <c r="A385" s="44" t="n"/>
      <c r="B385" s="93">
        <f>IFERROR(MONTH($A385),"")</f>
        <v/>
      </c>
      <c r="D385" s="46" t="n"/>
      <c r="E385" s="46" t="n"/>
      <c r="G385" s="94">
        <f>IFERROR(($E385-$D385)*24-$F385,"")</f>
        <v/>
      </c>
    </row>
    <row r="386">
      <c r="A386" s="44" t="n"/>
      <c r="B386" s="93">
        <f>IFERROR(MONTH($A386),"")</f>
        <v/>
      </c>
      <c r="D386" s="46" t="n"/>
      <c r="E386" s="46" t="n"/>
      <c r="G386" s="94">
        <f>IFERROR(($E386-$D386)*24-$F386,"")</f>
        <v/>
      </c>
    </row>
    <row r="387">
      <c r="A387" s="44" t="n"/>
      <c r="B387" s="93">
        <f>IFERROR(MONTH($A387),"")</f>
        <v/>
      </c>
      <c r="D387" s="46" t="n"/>
      <c r="E387" s="46" t="n"/>
      <c r="G387" s="94">
        <f>IFERROR(($E387-$D387)*24-$F387,"")</f>
        <v/>
      </c>
    </row>
    <row r="388">
      <c r="A388" s="44" t="n"/>
      <c r="B388" s="93">
        <f>IFERROR(MONTH($A388),"")</f>
        <v/>
      </c>
      <c r="D388" s="46" t="n"/>
      <c r="E388" s="46" t="n"/>
      <c r="G388" s="94">
        <f>IFERROR(($E388-$D388)*24-$F388,"")</f>
        <v/>
      </c>
    </row>
    <row r="389">
      <c r="A389" s="44" t="n"/>
      <c r="B389" s="93">
        <f>IFERROR(MONTH($A389),"")</f>
        <v/>
      </c>
      <c r="D389" s="46" t="n"/>
      <c r="E389" s="46" t="n"/>
      <c r="G389" s="94">
        <f>IFERROR(($E389-$D389)*24-$F389,"")</f>
        <v/>
      </c>
    </row>
    <row r="390">
      <c r="A390" s="44" t="n"/>
      <c r="B390" s="93">
        <f>IFERROR(MONTH($A390),"")</f>
        <v/>
      </c>
      <c r="D390" s="46" t="n"/>
      <c r="E390" s="46" t="n"/>
      <c r="G390" s="94">
        <f>IFERROR(($E390-$D390)*24-$F390,"")</f>
        <v/>
      </c>
    </row>
    <row r="391">
      <c r="A391" s="44" t="n"/>
      <c r="B391" s="93">
        <f>IFERROR(MONTH($A391),"")</f>
        <v/>
      </c>
      <c r="D391" s="46" t="n"/>
      <c r="E391" s="46" t="n"/>
      <c r="G391" s="94">
        <f>IFERROR(($E391-$D391)*24-$F391,"")</f>
        <v/>
      </c>
    </row>
    <row r="392">
      <c r="A392" s="44" t="n"/>
      <c r="B392" s="93">
        <f>IFERROR(MONTH($A392),"")</f>
        <v/>
      </c>
      <c r="D392" s="46" t="n"/>
      <c r="E392" s="46" t="n"/>
      <c r="G392" s="94">
        <f>IFERROR(($E392-$D392)*24-$F392,"")</f>
        <v/>
      </c>
    </row>
    <row r="393">
      <c r="A393" s="44" t="n"/>
      <c r="B393" s="93">
        <f>IFERROR(MONTH($A393),"")</f>
        <v/>
      </c>
      <c r="D393" s="46" t="n"/>
      <c r="E393" s="46" t="n"/>
      <c r="G393" s="94">
        <f>IFERROR(($E393-$D393)*24-$F393,"")</f>
        <v/>
      </c>
    </row>
    <row r="394">
      <c r="A394" s="44" t="n"/>
      <c r="B394" s="93">
        <f>IFERROR(MONTH($A394),"")</f>
        <v/>
      </c>
      <c r="D394" s="46" t="n"/>
      <c r="E394" s="46" t="n"/>
      <c r="G394" s="94">
        <f>IFERROR(($E394-$D394)*24-$F394,"")</f>
        <v/>
      </c>
    </row>
    <row r="395">
      <c r="A395" s="44" t="n"/>
      <c r="B395" s="93">
        <f>IFERROR(MONTH($A395),"")</f>
        <v/>
      </c>
      <c r="D395" s="46" t="n"/>
      <c r="E395" s="46" t="n"/>
      <c r="G395" s="94">
        <f>IFERROR(($E395-$D395)*24-$F395,"")</f>
        <v/>
      </c>
    </row>
    <row r="396">
      <c r="A396" s="44" t="n"/>
      <c r="B396" s="93">
        <f>IFERROR(MONTH($A396),"")</f>
        <v/>
      </c>
      <c r="D396" s="46" t="n"/>
      <c r="E396" s="46" t="n"/>
      <c r="G396" s="94">
        <f>IFERROR(($E396-$D396)*24-$F396,"")</f>
        <v/>
      </c>
    </row>
    <row r="397">
      <c r="A397" s="44" t="n"/>
      <c r="B397" s="93">
        <f>IFERROR(MONTH($A397),"")</f>
        <v/>
      </c>
      <c r="D397" s="46" t="n"/>
      <c r="E397" s="46" t="n"/>
      <c r="G397" s="94">
        <f>IFERROR(($E397-$D397)*24-$F397,"")</f>
        <v/>
      </c>
    </row>
    <row r="398">
      <c r="A398" s="44" t="n"/>
      <c r="B398" s="93">
        <f>IFERROR(MONTH($A398),"")</f>
        <v/>
      </c>
      <c r="D398" s="46" t="n"/>
      <c r="E398" s="46" t="n"/>
      <c r="G398" s="94">
        <f>IFERROR(($E398-$D398)*24-$F398,"")</f>
        <v/>
      </c>
    </row>
    <row r="399">
      <c r="A399" s="44" t="n"/>
      <c r="B399" s="93">
        <f>IFERROR(MONTH($A399),"")</f>
        <v/>
      </c>
      <c r="D399" s="46" t="n"/>
      <c r="E399" s="46" t="n"/>
      <c r="G399" s="94">
        <f>IFERROR(($E399-$D399)*24-$F399,"")</f>
        <v/>
      </c>
    </row>
    <row r="400">
      <c r="A400" s="44" t="n"/>
      <c r="B400" s="93">
        <f>IFERROR(MONTH($A400),"")</f>
        <v/>
      </c>
      <c r="D400" s="46" t="n"/>
      <c r="E400" s="46" t="n"/>
      <c r="G400" s="94">
        <f>IFERROR(($E400-$D400)*24-$F400,"")</f>
        <v/>
      </c>
    </row>
    <row r="401">
      <c r="A401" s="44" t="n"/>
      <c r="B401" s="93">
        <f>IFERROR(MONTH($A401),"")</f>
        <v/>
      </c>
      <c r="D401" s="46" t="n"/>
      <c r="E401" s="46" t="n"/>
      <c r="G401" s="94">
        <f>IFERROR(($E401-$D401)*24-$F401,"")</f>
        <v/>
      </c>
    </row>
    <row r="402">
      <c r="A402" s="44" t="n"/>
      <c r="B402" s="93">
        <f>IFERROR(MONTH($A402),"")</f>
        <v/>
      </c>
      <c r="D402" s="46" t="n"/>
      <c r="E402" s="46" t="n"/>
      <c r="G402" s="94">
        <f>IFERROR(($E402-$D402)*24-$F402,"")</f>
        <v/>
      </c>
    </row>
    <row r="403">
      <c r="A403" s="44" t="n"/>
      <c r="B403" s="93">
        <f>IFERROR(MONTH($A403),"")</f>
        <v/>
      </c>
      <c r="D403" s="46" t="n"/>
      <c r="E403" s="46" t="n"/>
      <c r="G403" s="94">
        <f>IFERROR(($E403-$D403)*24-$F403,"")</f>
        <v/>
      </c>
    </row>
    <row r="404">
      <c r="A404" s="44" t="n"/>
      <c r="B404" s="93">
        <f>IFERROR(MONTH($A404),"")</f>
        <v/>
      </c>
      <c r="D404" s="46" t="n"/>
      <c r="E404" s="46" t="n"/>
      <c r="G404" s="94">
        <f>IFERROR(($E404-$D404)*24-$F404,"")</f>
        <v/>
      </c>
    </row>
    <row r="405">
      <c r="A405" s="44" t="n"/>
      <c r="B405" s="93">
        <f>IFERROR(MONTH($A405),"")</f>
        <v/>
      </c>
      <c r="D405" s="46" t="n"/>
      <c r="E405" s="46" t="n"/>
      <c r="G405" s="94">
        <f>IFERROR(($E405-$D405)*24-$F405,"")</f>
        <v/>
      </c>
    </row>
    <row r="406">
      <c r="A406" s="44" t="n"/>
      <c r="B406" s="93">
        <f>IFERROR(MONTH($A406),"")</f>
        <v/>
      </c>
      <c r="D406" s="46" t="n"/>
      <c r="E406" s="46" t="n"/>
      <c r="G406" s="94">
        <f>IFERROR(($E406-$D406)*24-$F406,"")</f>
        <v/>
      </c>
    </row>
    <row r="407">
      <c r="A407" s="44" t="n"/>
      <c r="B407" s="93">
        <f>IFERROR(MONTH($A407),"")</f>
        <v/>
      </c>
      <c r="D407" s="46" t="n"/>
      <c r="E407" s="46" t="n"/>
      <c r="G407" s="94">
        <f>IFERROR(($E407-$D407)*24-$F407,"")</f>
        <v/>
      </c>
    </row>
    <row r="408">
      <c r="A408" s="44" t="n"/>
      <c r="B408" s="93">
        <f>IFERROR(MONTH($A408),"")</f>
        <v/>
      </c>
      <c r="D408" s="46" t="n"/>
      <c r="E408" s="46" t="n"/>
      <c r="G408" s="94">
        <f>IFERROR(($E408-$D408)*24-$F408,"")</f>
        <v/>
      </c>
    </row>
    <row r="409">
      <c r="A409" s="44" t="n"/>
      <c r="B409" s="93">
        <f>IFERROR(MONTH($A409),"")</f>
        <v/>
      </c>
      <c r="D409" s="46" t="n"/>
      <c r="E409" s="46" t="n"/>
      <c r="G409" s="94">
        <f>IFERROR(($E409-$D409)*24-$F409,"")</f>
        <v/>
      </c>
    </row>
    <row r="410">
      <c r="A410" s="44" t="n"/>
      <c r="B410" s="93">
        <f>IFERROR(MONTH($A410),"")</f>
        <v/>
      </c>
      <c r="D410" s="46" t="n"/>
      <c r="E410" s="46" t="n"/>
      <c r="G410" s="94">
        <f>IFERROR(($E410-$D410)*24-$F410,"")</f>
        <v/>
      </c>
    </row>
    <row r="411">
      <c r="A411" s="44" t="n"/>
      <c r="B411" s="93">
        <f>IFERROR(MONTH($A411),"")</f>
        <v/>
      </c>
      <c r="D411" s="46" t="n"/>
      <c r="E411" s="46" t="n"/>
      <c r="G411" s="94">
        <f>IFERROR(($E411-$D411)*24-$F411,"")</f>
        <v/>
      </c>
    </row>
    <row r="412">
      <c r="A412" s="44" t="n"/>
      <c r="B412" s="93">
        <f>IFERROR(MONTH($A412),"")</f>
        <v/>
      </c>
      <c r="D412" s="46" t="n"/>
      <c r="E412" s="46" t="n"/>
      <c r="G412" s="94">
        <f>IFERROR(($E412-$D412)*24-$F412,"")</f>
        <v/>
      </c>
    </row>
    <row r="413">
      <c r="A413" s="44" t="n"/>
      <c r="B413" s="93">
        <f>IFERROR(MONTH($A413),"")</f>
        <v/>
      </c>
      <c r="D413" s="46" t="n"/>
      <c r="E413" s="46" t="n"/>
      <c r="G413" s="94">
        <f>IFERROR(($E413-$D413)*24-$F413,"")</f>
        <v/>
      </c>
    </row>
    <row r="414">
      <c r="A414" s="44" t="n"/>
      <c r="B414" s="93">
        <f>IFERROR(MONTH($A414),"")</f>
        <v/>
      </c>
      <c r="D414" s="46" t="n"/>
      <c r="E414" s="46" t="n"/>
      <c r="G414" s="94">
        <f>IFERROR(($E414-$D414)*24-$F414,"")</f>
        <v/>
      </c>
    </row>
    <row r="415">
      <c r="A415" s="44" t="n"/>
      <c r="B415" s="93">
        <f>IFERROR(MONTH($A415),"")</f>
        <v/>
      </c>
      <c r="D415" s="46" t="n"/>
      <c r="E415" s="46" t="n"/>
      <c r="G415" s="94">
        <f>IFERROR(($E415-$D415)*24-$F415,"")</f>
        <v/>
      </c>
    </row>
    <row r="416">
      <c r="A416" s="44" t="n"/>
      <c r="B416" s="93">
        <f>IFERROR(MONTH($A416),"")</f>
        <v/>
      </c>
      <c r="D416" s="46" t="n"/>
      <c r="E416" s="46" t="n"/>
      <c r="G416" s="94">
        <f>IFERROR(($E416-$D416)*24-$F416,"")</f>
        <v/>
      </c>
    </row>
    <row r="417">
      <c r="A417" s="44" t="n"/>
      <c r="B417" s="93">
        <f>IFERROR(MONTH($A417),"")</f>
        <v/>
      </c>
      <c r="D417" s="46" t="n"/>
      <c r="E417" s="46" t="n"/>
      <c r="G417" s="94">
        <f>IFERROR(($E417-$D417)*24-$F417,"")</f>
        <v/>
      </c>
    </row>
    <row r="418">
      <c r="A418" s="44" t="n"/>
      <c r="B418" s="93">
        <f>IFERROR(MONTH($A418),"")</f>
        <v/>
      </c>
      <c r="D418" s="46" t="n"/>
      <c r="E418" s="46" t="n"/>
      <c r="G418" s="94">
        <f>IFERROR(($E418-$D418)*24-$F418,"")</f>
        <v/>
      </c>
    </row>
    <row r="419">
      <c r="A419" s="44" t="n"/>
      <c r="B419" s="93">
        <f>IFERROR(MONTH($A419),"")</f>
        <v/>
      </c>
      <c r="D419" s="46" t="n"/>
      <c r="E419" s="46" t="n"/>
      <c r="G419" s="94">
        <f>IFERROR(($E419-$D419)*24-$F419,"")</f>
        <v/>
      </c>
    </row>
    <row r="420">
      <c r="A420" s="44" t="n"/>
      <c r="B420" s="93">
        <f>IFERROR(MONTH($A420),"")</f>
        <v/>
      </c>
      <c r="D420" s="46" t="n"/>
      <c r="E420" s="46" t="n"/>
      <c r="G420" s="94">
        <f>IFERROR(($E420-$D420)*24-$F420,"")</f>
        <v/>
      </c>
    </row>
    <row r="421">
      <c r="A421" s="44" t="n"/>
      <c r="B421" s="93">
        <f>IFERROR(MONTH($A421),"")</f>
        <v/>
      </c>
      <c r="D421" s="46" t="n"/>
      <c r="E421" s="46" t="n"/>
      <c r="G421" s="94">
        <f>IFERROR(($E421-$D421)*24-$F421,"")</f>
        <v/>
      </c>
    </row>
    <row r="422">
      <c r="A422" s="44" t="n"/>
      <c r="B422" s="93">
        <f>IFERROR(MONTH($A422),"")</f>
        <v/>
      </c>
      <c r="D422" s="46" t="n"/>
      <c r="E422" s="46" t="n"/>
      <c r="G422" s="94">
        <f>IFERROR(($E422-$D422)*24-$F422,"")</f>
        <v/>
      </c>
    </row>
    <row r="423">
      <c r="A423" s="44" t="n"/>
      <c r="B423" s="93">
        <f>IFERROR(MONTH($A423),"")</f>
        <v/>
      </c>
      <c r="D423" s="46" t="n"/>
      <c r="E423" s="46" t="n"/>
      <c r="G423" s="94">
        <f>IFERROR(($E423-$D423)*24-$F423,"")</f>
        <v/>
      </c>
    </row>
    <row r="424">
      <c r="A424" s="44" t="n"/>
      <c r="B424" s="93">
        <f>IFERROR(MONTH($A424),"")</f>
        <v/>
      </c>
      <c r="D424" s="46" t="n"/>
      <c r="E424" s="46" t="n"/>
      <c r="G424" s="94">
        <f>IFERROR(($E424-$D424)*24-$F424,"")</f>
        <v/>
      </c>
    </row>
    <row r="425">
      <c r="A425" s="44" t="n"/>
      <c r="B425" s="93">
        <f>IFERROR(MONTH($A425),"")</f>
        <v/>
      </c>
      <c r="D425" s="46" t="n"/>
      <c r="E425" s="46" t="n"/>
      <c r="G425" s="94">
        <f>IFERROR(($E425-$D425)*24-$F425,"")</f>
        <v/>
      </c>
    </row>
    <row r="426">
      <c r="A426" s="44" t="n"/>
      <c r="B426" s="93">
        <f>IFERROR(MONTH($A426),"")</f>
        <v/>
      </c>
      <c r="D426" s="46" t="n"/>
      <c r="E426" s="46" t="n"/>
      <c r="G426" s="94">
        <f>IFERROR(($E426-$D426)*24-$F426,"")</f>
        <v/>
      </c>
    </row>
    <row r="427">
      <c r="A427" s="44" t="n"/>
      <c r="B427" s="93">
        <f>IFERROR(MONTH($A427),"")</f>
        <v/>
      </c>
      <c r="D427" s="46" t="n"/>
      <c r="E427" s="46" t="n"/>
      <c r="G427" s="94">
        <f>IFERROR(($E427-$D427)*24-$F427,"")</f>
        <v/>
      </c>
    </row>
    <row r="428">
      <c r="A428" s="44" t="n"/>
      <c r="B428" s="93">
        <f>IFERROR(MONTH($A428),"")</f>
        <v/>
      </c>
      <c r="D428" s="46" t="n"/>
      <c r="E428" s="46" t="n"/>
      <c r="G428" s="94">
        <f>IFERROR(($E428-$D428)*24-$F428,"")</f>
        <v/>
      </c>
    </row>
    <row r="429">
      <c r="A429" s="44" t="n"/>
      <c r="B429" s="93">
        <f>IFERROR(MONTH($A429),"")</f>
        <v/>
      </c>
      <c r="D429" s="46" t="n"/>
      <c r="E429" s="46" t="n"/>
      <c r="G429" s="94">
        <f>IFERROR(($E429-$D429)*24-$F429,"")</f>
        <v/>
      </c>
    </row>
    <row r="430">
      <c r="A430" s="44" t="n"/>
      <c r="B430" s="93">
        <f>IFERROR(MONTH($A430),"")</f>
        <v/>
      </c>
      <c r="D430" s="46" t="n"/>
      <c r="E430" s="46" t="n"/>
      <c r="G430" s="94">
        <f>IFERROR(($E430-$D430)*24-$F430,"")</f>
        <v/>
      </c>
    </row>
    <row r="431">
      <c r="A431" s="44" t="n"/>
      <c r="B431" s="93">
        <f>IFERROR(MONTH($A431),"")</f>
        <v/>
      </c>
      <c r="D431" s="46" t="n"/>
      <c r="E431" s="46" t="n"/>
      <c r="G431" s="94">
        <f>IFERROR(($E431-$D431)*24-$F431,"")</f>
        <v/>
      </c>
    </row>
    <row r="432">
      <c r="A432" s="44" t="n"/>
      <c r="B432" s="93">
        <f>IFERROR(MONTH($A432),"")</f>
        <v/>
      </c>
      <c r="D432" s="46" t="n"/>
      <c r="E432" s="46" t="n"/>
      <c r="G432" s="94">
        <f>IFERROR(($E432-$D432)*24-$F432,"")</f>
        <v/>
      </c>
    </row>
    <row r="433">
      <c r="A433" s="44" t="n"/>
      <c r="B433" s="93">
        <f>IFERROR(MONTH($A433),"")</f>
        <v/>
      </c>
      <c r="D433" s="46" t="n"/>
      <c r="E433" s="46" t="n"/>
      <c r="G433" s="94">
        <f>IFERROR(($E433-$D433)*24-$F433,"")</f>
        <v/>
      </c>
    </row>
    <row r="434">
      <c r="A434" s="44" t="n"/>
      <c r="B434" s="93">
        <f>IFERROR(MONTH($A434),"")</f>
        <v/>
      </c>
      <c r="D434" s="46" t="n"/>
      <c r="E434" s="46" t="n"/>
      <c r="G434" s="94">
        <f>IFERROR(($E434-$D434)*24-$F434,"")</f>
        <v/>
      </c>
    </row>
    <row r="435">
      <c r="A435" s="44" t="n"/>
      <c r="B435" s="93">
        <f>IFERROR(MONTH($A435),"")</f>
        <v/>
      </c>
      <c r="D435" s="46" t="n"/>
      <c r="E435" s="46" t="n"/>
      <c r="G435" s="94">
        <f>IFERROR(($E435-$D435)*24-$F435,"")</f>
        <v/>
      </c>
    </row>
    <row r="436">
      <c r="A436" s="44" t="n"/>
      <c r="B436" s="93">
        <f>IFERROR(MONTH($A436),"")</f>
        <v/>
      </c>
      <c r="D436" s="46" t="n"/>
      <c r="E436" s="46" t="n"/>
      <c r="G436" s="94">
        <f>IFERROR(($E436-$D436)*24-$F436,"")</f>
        <v/>
      </c>
    </row>
    <row r="437">
      <c r="A437" s="44" t="n"/>
      <c r="B437" s="93">
        <f>IFERROR(MONTH($A437),"")</f>
        <v/>
      </c>
      <c r="D437" s="46" t="n"/>
      <c r="E437" s="46" t="n"/>
      <c r="G437" s="94">
        <f>IFERROR(($E437-$D437)*24-$F437,"")</f>
        <v/>
      </c>
    </row>
    <row r="438">
      <c r="A438" s="44" t="n"/>
      <c r="B438" s="93">
        <f>IFERROR(MONTH($A438),"")</f>
        <v/>
      </c>
      <c r="D438" s="46" t="n"/>
      <c r="E438" s="46" t="n"/>
      <c r="G438" s="94">
        <f>IFERROR(($E438-$D438)*24-$F438,"")</f>
        <v/>
      </c>
    </row>
    <row r="439">
      <c r="A439" s="44" t="n"/>
      <c r="B439" s="93">
        <f>IFERROR(MONTH($A439),"")</f>
        <v/>
      </c>
      <c r="D439" s="46" t="n"/>
      <c r="E439" s="46" t="n"/>
      <c r="G439" s="94">
        <f>IFERROR(($E439-$D439)*24-$F439,"")</f>
        <v/>
      </c>
    </row>
    <row r="440">
      <c r="A440" s="44" t="n"/>
      <c r="B440" s="93">
        <f>IFERROR(MONTH($A440),"")</f>
        <v/>
      </c>
      <c r="D440" s="46" t="n"/>
      <c r="E440" s="46" t="n"/>
      <c r="G440" s="94">
        <f>IFERROR(($E440-$D440)*24-$F440,"")</f>
        <v/>
      </c>
    </row>
    <row r="441">
      <c r="A441" s="44" t="n"/>
      <c r="B441" s="93">
        <f>IFERROR(MONTH($A441),"")</f>
        <v/>
      </c>
      <c r="D441" s="46" t="n"/>
      <c r="E441" s="46" t="n"/>
      <c r="G441" s="94">
        <f>IFERROR(($E441-$D441)*24-$F441,"")</f>
        <v/>
      </c>
    </row>
    <row r="442">
      <c r="A442" s="44" t="n"/>
      <c r="B442" s="93">
        <f>IFERROR(MONTH($A442),"")</f>
        <v/>
      </c>
      <c r="D442" s="46" t="n"/>
      <c r="E442" s="46" t="n"/>
      <c r="G442" s="94">
        <f>IFERROR(($E442-$D442)*24-$F442,"")</f>
        <v/>
      </c>
    </row>
    <row r="443">
      <c r="A443" s="44" t="n"/>
      <c r="B443" s="93">
        <f>IFERROR(MONTH($A443),"")</f>
        <v/>
      </c>
      <c r="D443" s="46" t="n"/>
      <c r="E443" s="46" t="n"/>
      <c r="G443" s="94">
        <f>IFERROR(($E443-$D443)*24-$F443,"")</f>
        <v/>
      </c>
    </row>
    <row r="444">
      <c r="A444" s="44" t="n"/>
      <c r="B444" s="93">
        <f>IFERROR(MONTH($A444),"")</f>
        <v/>
      </c>
      <c r="D444" s="46" t="n"/>
      <c r="E444" s="46" t="n"/>
      <c r="G444" s="94">
        <f>IFERROR(($E444-$D444)*24-$F444,"")</f>
        <v/>
      </c>
    </row>
    <row r="445">
      <c r="A445" s="44" t="n"/>
      <c r="B445" s="93">
        <f>IFERROR(MONTH($A445),"")</f>
        <v/>
      </c>
      <c r="D445" s="46" t="n"/>
      <c r="E445" s="46" t="n"/>
      <c r="G445" s="94">
        <f>IFERROR(($E445-$D445)*24-$F445,"")</f>
        <v/>
      </c>
    </row>
    <row r="446">
      <c r="A446" s="44" t="n"/>
      <c r="B446" s="93">
        <f>IFERROR(MONTH($A446),"")</f>
        <v/>
      </c>
      <c r="D446" s="46" t="n"/>
      <c r="E446" s="46" t="n"/>
      <c r="G446" s="94">
        <f>IFERROR(($E446-$D446)*24-$F446,"")</f>
        <v/>
      </c>
    </row>
    <row r="447">
      <c r="A447" s="44" t="n"/>
      <c r="B447" s="93">
        <f>IFERROR(MONTH($A447),"")</f>
        <v/>
      </c>
      <c r="D447" s="46" t="n"/>
      <c r="E447" s="46" t="n"/>
      <c r="G447" s="94">
        <f>IFERROR(($E447-$D447)*24-$F447,"")</f>
        <v/>
      </c>
    </row>
    <row r="448">
      <c r="A448" s="44" t="n"/>
      <c r="B448" s="93">
        <f>IFERROR(MONTH($A448),"")</f>
        <v/>
      </c>
      <c r="D448" s="46" t="n"/>
      <c r="E448" s="46" t="n"/>
      <c r="G448" s="94">
        <f>IFERROR(($E448-$D448)*24-$F448,"")</f>
        <v/>
      </c>
    </row>
    <row r="449">
      <c r="A449" s="44" t="n"/>
      <c r="B449" s="93">
        <f>IFERROR(MONTH($A449),"")</f>
        <v/>
      </c>
      <c r="D449" s="46" t="n"/>
      <c r="E449" s="46" t="n"/>
      <c r="G449" s="94">
        <f>IFERROR(($E449-$D449)*24-$F449,"")</f>
        <v/>
      </c>
    </row>
    <row r="450">
      <c r="A450" s="44" t="n"/>
      <c r="B450" s="93">
        <f>IFERROR(MONTH($A450),"")</f>
        <v/>
      </c>
      <c r="D450" s="46" t="n"/>
      <c r="E450" s="46" t="n"/>
      <c r="G450" s="94">
        <f>IFERROR(($E450-$D450)*24-$F450,"")</f>
        <v/>
      </c>
    </row>
    <row r="451">
      <c r="A451" s="44" t="n"/>
      <c r="B451" s="93">
        <f>IFERROR(MONTH($A451),"")</f>
        <v/>
      </c>
      <c r="D451" s="46" t="n"/>
      <c r="E451" s="46" t="n"/>
      <c r="G451" s="94">
        <f>IFERROR(($E451-$D451)*24-$F451,"")</f>
        <v/>
      </c>
    </row>
    <row r="452">
      <c r="A452" s="44" t="n"/>
      <c r="B452" s="93">
        <f>IFERROR(MONTH($A452),"")</f>
        <v/>
      </c>
      <c r="D452" s="46" t="n"/>
      <c r="E452" s="46" t="n"/>
      <c r="G452" s="94">
        <f>IFERROR(($E452-$D452)*24-$F452,"")</f>
        <v/>
      </c>
    </row>
    <row r="453">
      <c r="A453" s="44" t="n"/>
      <c r="B453" s="93">
        <f>IFERROR(MONTH($A453),"")</f>
        <v/>
      </c>
      <c r="D453" s="46" t="n"/>
      <c r="E453" s="46" t="n"/>
      <c r="G453" s="94">
        <f>IFERROR(($E453-$D453)*24-$F453,"")</f>
        <v/>
      </c>
    </row>
    <row r="454">
      <c r="A454" s="44" t="n"/>
      <c r="B454" s="93">
        <f>IFERROR(MONTH($A454),"")</f>
        <v/>
      </c>
      <c r="D454" s="46" t="n"/>
      <c r="E454" s="46" t="n"/>
      <c r="G454" s="94">
        <f>IFERROR(($E454-$D454)*24-$F454,"")</f>
        <v/>
      </c>
    </row>
    <row r="455">
      <c r="A455" s="44" t="n"/>
      <c r="B455" s="93">
        <f>IFERROR(MONTH($A455),"")</f>
        <v/>
      </c>
      <c r="D455" s="46" t="n"/>
      <c r="E455" s="46" t="n"/>
      <c r="G455" s="94">
        <f>IFERROR(($E455-$D455)*24-$F455,"")</f>
        <v/>
      </c>
    </row>
    <row r="456">
      <c r="A456" s="44" t="n"/>
      <c r="B456" s="93">
        <f>IFERROR(MONTH($A456),"")</f>
        <v/>
      </c>
      <c r="D456" s="46" t="n"/>
      <c r="E456" s="46" t="n"/>
      <c r="G456" s="94">
        <f>IFERROR(($E456-$D456)*24-$F456,"")</f>
        <v/>
      </c>
    </row>
    <row r="457">
      <c r="A457" s="44" t="n"/>
      <c r="B457" s="93">
        <f>IFERROR(MONTH($A457),"")</f>
        <v/>
      </c>
      <c r="D457" s="46" t="n"/>
      <c r="E457" s="46" t="n"/>
      <c r="G457" s="94">
        <f>IFERROR(($E457-$D457)*24-$F457,"")</f>
        <v/>
      </c>
    </row>
    <row r="458">
      <c r="A458" s="44" t="n"/>
      <c r="B458" s="93">
        <f>IFERROR(MONTH($A458),"")</f>
        <v/>
      </c>
      <c r="D458" s="46" t="n"/>
      <c r="E458" s="46" t="n"/>
      <c r="G458" s="94">
        <f>IFERROR(($E458-$D458)*24-$F458,"")</f>
        <v/>
      </c>
    </row>
    <row r="459">
      <c r="A459" s="44" t="n"/>
      <c r="B459" s="93">
        <f>IFERROR(MONTH($A459),"")</f>
        <v/>
      </c>
      <c r="D459" s="46" t="n"/>
      <c r="E459" s="46" t="n"/>
      <c r="G459" s="94">
        <f>IFERROR(($E459-$D459)*24-$F459,"")</f>
        <v/>
      </c>
    </row>
    <row r="460">
      <c r="A460" s="44" t="n"/>
      <c r="B460" s="93">
        <f>IFERROR(MONTH($A460),"")</f>
        <v/>
      </c>
      <c r="D460" s="46" t="n"/>
      <c r="E460" s="46" t="n"/>
      <c r="G460" s="94">
        <f>IFERROR(($E460-$D460)*24-$F460,"")</f>
        <v/>
      </c>
    </row>
    <row r="461">
      <c r="A461" s="44" t="n"/>
      <c r="B461" s="93">
        <f>IFERROR(MONTH($A461),"")</f>
        <v/>
      </c>
      <c r="D461" s="46" t="n"/>
      <c r="E461" s="46" t="n"/>
      <c r="G461" s="94">
        <f>IFERROR(($E461-$D461)*24-$F461,"")</f>
        <v/>
      </c>
    </row>
    <row r="462">
      <c r="A462" s="44" t="n"/>
      <c r="B462" s="93">
        <f>IFERROR(MONTH($A462),"")</f>
        <v/>
      </c>
      <c r="D462" s="46" t="n"/>
      <c r="E462" s="46" t="n"/>
      <c r="G462" s="94">
        <f>IFERROR(($E462-$D462)*24-$F462,"")</f>
        <v/>
      </c>
    </row>
    <row r="463">
      <c r="A463" s="44" t="n"/>
      <c r="B463" s="93">
        <f>IFERROR(MONTH($A463),"")</f>
        <v/>
      </c>
      <c r="D463" s="46" t="n"/>
      <c r="E463" s="46" t="n"/>
      <c r="G463" s="94">
        <f>IFERROR(($E463-$D463)*24-$F463,"")</f>
        <v/>
      </c>
    </row>
    <row r="464">
      <c r="A464" s="44" t="n"/>
      <c r="B464" s="93">
        <f>IFERROR(MONTH($A464),"")</f>
        <v/>
      </c>
      <c r="D464" s="46" t="n"/>
      <c r="E464" s="46" t="n"/>
      <c r="G464" s="94">
        <f>IFERROR(($E464-$D464)*24-$F464,"")</f>
        <v/>
      </c>
    </row>
    <row r="465">
      <c r="A465" s="44" t="n"/>
      <c r="B465" s="93">
        <f>IFERROR(MONTH($A465),"")</f>
        <v/>
      </c>
      <c r="D465" s="46" t="n"/>
      <c r="E465" s="46" t="n"/>
      <c r="G465" s="94">
        <f>IFERROR(($E465-$D465)*24-$F465,"")</f>
        <v/>
      </c>
    </row>
    <row r="466">
      <c r="A466" s="44" t="n"/>
      <c r="B466" s="93">
        <f>IFERROR(MONTH($A466),"")</f>
        <v/>
      </c>
      <c r="D466" s="46" t="n"/>
      <c r="E466" s="46" t="n"/>
      <c r="G466" s="94">
        <f>IFERROR(($E466-$D466)*24-$F466,"")</f>
        <v/>
      </c>
    </row>
    <row r="467">
      <c r="A467" s="44" t="n"/>
      <c r="B467" s="93">
        <f>IFERROR(MONTH($A467),"")</f>
        <v/>
      </c>
      <c r="D467" s="46" t="n"/>
      <c r="E467" s="46" t="n"/>
      <c r="G467" s="94">
        <f>IFERROR(($E467-$D467)*24-$F467,"")</f>
        <v/>
      </c>
    </row>
    <row r="468">
      <c r="A468" s="44" t="n"/>
      <c r="B468" s="93">
        <f>IFERROR(MONTH($A468),"")</f>
        <v/>
      </c>
      <c r="D468" s="46" t="n"/>
      <c r="E468" s="46" t="n"/>
      <c r="G468" s="94">
        <f>IFERROR(($E468-$D468)*24-$F468,"")</f>
        <v/>
      </c>
    </row>
    <row r="469">
      <c r="A469" s="44" t="n"/>
      <c r="B469" s="93">
        <f>IFERROR(MONTH($A469),"")</f>
        <v/>
      </c>
      <c r="D469" s="46" t="n"/>
      <c r="E469" s="46" t="n"/>
      <c r="G469" s="94">
        <f>IFERROR(($E469-$D469)*24-$F469,"")</f>
        <v/>
      </c>
    </row>
    <row r="470">
      <c r="A470" s="44" t="n"/>
      <c r="B470" s="93">
        <f>IFERROR(MONTH($A470),"")</f>
        <v/>
      </c>
      <c r="D470" s="46" t="n"/>
      <c r="E470" s="46" t="n"/>
      <c r="G470" s="94">
        <f>IFERROR(($E470-$D470)*24-$F470,"")</f>
        <v/>
      </c>
    </row>
    <row r="471">
      <c r="A471" s="44" t="n"/>
      <c r="B471" s="93">
        <f>IFERROR(MONTH($A471),"")</f>
        <v/>
      </c>
      <c r="D471" s="46" t="n"/>
      <c r="E471" s="46" t="n"/>
      <c r="G471" s="94">
        <f>IFERROR(($E471-$D471)*24-$F471,"")</f>
        <v/>
      </c>
    </row>
    <row r="472">
      <c r="A472" s="44" t="n"/>
      <c r="B472" s="93">
        <f>IFERROR(MONTH($A472),"")</f>
        <v/>
      </c>
      <c r="D472" s="46" t="n"/>
      <c r="E472" s="46" t="n"/>
      <c r="G472" s="94">
        <f>IFERROR(($E472-$D472)*24-$F472,"")</f>
        <v/>
      </c>
    </row>
    <row r="473">
      <c r="A473" s="44" t="n"/>
      <c r="B473" s="93">
        <f>IFERROR(MONTH($A473),"")</f>
        <v/>
      </c>
      <c r="D473" s="46" t="n"/>
      <c r="E473" s="46" t="n"/>
      <c r="G473" s="94">
        <f>IFERROR(($E473-$D473)*24-$F473,"")</f>
        <v/>
      </c>
    </row>
    <row r="474">
      <c r="A474" s="44" t="n"/>
      <c r="B474" s="93">
        <f>IFERROR(MONTH($A474),"")</f>
        <v/>
      </c>
      <c r="D474" s="46" t="n"/>
      <c r="E474" s="46" t="n"/>
      <c r="G474" s="94">
        <f>IFERROR(($E474-$D474)*24-$F474,"")</f>
        <v/>
      </c>
    </row>
    <row r="475">
      <c r="A475" s="44" t="n"/>
      <c r="B475" s="93">
        <f>IFERROR(MONTH($A475),"")</f>
        <v/>
      </c>
      <c r="D475" s="46" t="n"/>
      <c r="E475" s="46" t="n"/>
      <c r="G475" s="94">
        <f>IFERROR(($E475-$D475)*24-$F475,"")</f>
        <v/>
      </c>
    </row>
    <row r="476">
      <c r="A476" s="44" t="n"/>
      <c r="B476" s="93">
        <f>IFERROR(MONTH($A476),"")</f>
        <v/>
      </c>
      <c r="D476" s="46" t="n"/>
      <c r="E476" s="46" t="n"/>
      <c r="G476" s="94">
        <f>IFERROR(($E476-$D476)*24-$F476,"")</f>
        <v/>
      </c>
    </row>
    <row r="477">
      <c r="A477" s="44" t="n"/>
      <c r="B477" s="93">
        <f>IFERROR(MONTH($A477),"")</f>
        <v/>
      </c>
      <c r="D477" s="46" t="n"/>
      <c r="E477" s="46" t="n"/>
      <c r="G477" s="94">
        <f>IFERROR(($E477-$D477)*24-$F477,"")</f>
        <v/>
      </c>
    </row>
    <row r="478">
      <c r="A478" s="44" t="n"/>
      <c r="B478" s="93">
        <f>IFERROR(MONTH($A478),"")</f>
        <v/>
      </c>
      <c r="D478" s="46" t="n"/>
      <c r="E478" s="46" t="n"/>
      <c r="G478" s="94">
        <f>IFERROR(($E478-$D478)*24-$F478,"")</f>
        <v/>
      </c>
    </row>
    <row r="479">
      <c r="A479" s="44" t="n"/>
      <c r="B479" s="93">
        <f>IFERROR(MONTH($A479),"")</f>
        <v/>
      </c>
      <c r="D479" s="46" t="n"/>
      <c r="E479" s="46" t="n"/>
      <c r="G479" s="94">
        <f>IFERROR(($E479-$D479)*24-$F479,"")</f>
        <v/>
      </c>
    </row>
    <row r="480">
      <c r="A480" s="44" t="n"/>
      <c r="B480" s="93">
        <f>IFERROR(MONTH($A480),"")</f>
        <v/>
      </c>
      <c r="D480" s="46" t="n"/>
      <c r="E480" s="46" t="n"/>
      <c r="G480" s="94">
        <f>IFERROR(($E480-$D480)*24-$F480,"")</f>
        <v/>
      </c>
    </row>
    <row r="481">
      <c r="A481" s="44" t="n"/>
      <c r="B481" s="93">
        <f>IFERROR(MONTH($A481),"")</f>
        <v/>
      </c>
      <c r="D481" s="46" t="n"/>
      <c r="E481" s="46" t="n"/>
      <c r="G481" s="94">
        <f>IFERROR(($E481-$D481)*24-$F481,"")</f>
        <v/>
      </c>
    </row>
    <row r="482">
      <c r="A482" s="44" t="n"/>
      <c r="B482" s="93">
        <f>IFERROR(MONTH($A482),"")</f>
        <v/>
      </c>
      <c r="D482" s="46" t="n"/>
      <c r="E482" s="46" t="n"/>
      <c r="G482" s="94">
        <f>IFERROR(($E482-$D482)*24-$F482,"")</f>
        <v/>
      </c>
    </row>
    <row r="483">
      <c r="A483" s="44" t="n"/>
      <c r="B483" s="93">
        <f>IFERROR(MONTH($A483),"")</f>
        <v/>
      </c>
      <c r="D483" s="46" t="n"/>
      <c r="E483" s="46" t="n"/>
      <c r="G483" s="94">
        <f>IFERROR(($E483-$D483)*24-$F483,"")</f>
        <v/>
      </c>
    </row>
    <row r="484">
      <c r="A484" s="44" t="n"/>
      <c r="B484" s="93">
        <f>IFERROR(MONTH($A484),"")</f>
        <v/>
      </c>
      <c r="D484" s="46" t="n"/>
      <c r="E484" s="46" t="n"/>
      <c r="G484" s="94">
        <f>IFERROR(($E484-$D484)*24-$F484,"")</f>
        <v/>
      </c>
    </row>
    <row r="485">
      <c r="A485" s="44" t="n"/>
      <c r="B485" s="93">
        <f>IFERROR(MONTH($A485),"")</f>
        <v/>
      </c>
      <c r="D485" s="46" t="n"/>
      <c r="E485" s="46" t="n"/>
      <c r="G485" s="94">
        <f>IFERROR(($E485-$D485)*24-$F485,"")</f>
        <v/>
      </c>
    </row>
    <row r="486">
      <c r="A486" s="44" t="n"/>
      <c r="B486" s="93">
        <f>IFERROR(MONTH($A486),"")</f>
        <v/>
      </c>
      <c r="D486" s="46" t="n"/>
      <c r="E486" s="46" t="n"/>
      <c r="G486" s="94">
        <f>IFERROR(($E486-$D486)*24-$F486,"")</f>
        <v/>
      </c>
    </row>
    <row r="487">
      <c r="A487" s="44" t="n"/>
      <c r="B487" s="93">
        <f>IFERROR(MONTH($A487),"")</f>
        <v/>
      </c>
      <c r="D487" s="46" t="n"/>
      <c r="E487" s="46" t="n"/>
      <c r="G487" s="94">
        <f>IFERROR(($E487-$D487)*24-$F487,"")</f>
        <v/>
      </c>
    </row>
    <row r="488">
      <c r="A488" s="44" t="n"/>
      <c r="B488" s="93">
        <f>IFERROR(MONTH($A488),"")</f>
        <v/>
      </c>
      <c r="D488" s="46" t="n"/>
      <c r="E488" s="46" t="n"/>
      <c r="G488" s="94">
        <f>IFERROR(($E488-$D488)*24-$F488,"")</f>
        <v/>
      </c>
    </row>
    <row r="489">
      <c r="A489" s="44" t="n"/>
      <c r="B489" s="93">
        <f>IFERROR(MONTH($A489),"")</f>
        <v/>
      </c>
      <c r="D489" s="46" t="n"/>
      <c r="E489" s="46" t="n"/>
      <c r="G489" s="94">
        <f>IFERROR(($E489-$D489)*24-$F489,"")</f>
        <v/>
      </c>
    </row>
    <row r="490">
      <c r="A490" s="44" t="n"/>
      <c r="B490" s="93">
        <f>IFERROR(MONTH($A490),"")</f>
        <v/>
      </c>
      <c r="D490" s="46" t="n"/>
      <c r="E490" s="46" t="n"/>
      <c r="G490" s="94">
        <f>IFERROR(($E490-$D490)*24-$F490,"")</f>
        <v/>
      </c>
    </row>
    <row r="491">
      <c r="A491" s="44" t="n"/>
      <c r="B491" s="93">
        <f>IFERROR(MONTH($A491),"")</f>
        <v/>
      </c>
      <c r="D491" s="46" t="n"/>
      <c r="E491" s="46" t="n"/>
      <c r="G491" s="94">
        <f>IFERROR(($E491-$D491)*24-$F491,"")</f>
        <v/>
      </c>
    </row>
    <row r="492">
      <c r="A492" s="44" t="n"/>
      <c r="B492" s="93">
        <f>IFERROR(MONTH($A492),"")</f>
        <v/>
      </c>
      <c r="D492" s="46" t="n"/>
      <c r="E492" s="46" t="n"/>
      <c r="G492" s="94">
        <f>IFERROR(($E492-$D492)*24-$F492,"")</f>
        <v/>
      </c>
    </row>
    <row r="493">
      <c r="A493" s="44" t="n"/>
      <c r="B493" s="93">
        <f>IFERROR(MONTH($A493),"")</f>
        <v/>
      </c>
      <c r="D493" s="46" t="n"/>
      <c r="E493" s="46" t="n"/>
      <c r="G493" s="94">
        <f>IFERROR(($E493-$D493)*24-$F493,"")</f>
        <v/>
      </c>
    </row>
    <row r="494">
      <c r="A494" s="44" t="n"/>
      <c r="B494" s="93">
        <f>IFERROR(MONTH($A494),"")</f>
        <v/>
      </c>
      <c r="D494" s="46" t="n"/>
      <c r="E494" s="46" t="n"/>
      <c r="G494" s="94">
        <f>IFERROR(($E494-$D494)*24-$F494,"")</f>
        <v/>
      </c>
    </row>
    <row r="495">
      <c r="A495" s="44" t="n"/>
      <c r="B495" s="93">
        <f>IFERROR(MONTH($A495),"")</f>
        <v/>
      </c>
      <c r="D495" s="46" t="n"/>
      <c r="E495" s="46" t="n"/>
      <c r="G495" s="94">
        <f>IFERROR(($E495-$D495)*24-$F495,"")</f>
        <v/>
      </c>
    </row>
    <row r="496">
      <c r="A496" s="44" t="n"/>
      <c r="B496" s="93">
        <f>IFERROR(MONTH($A496),"")</f>
        <v/>
      </c>
      <c r="D496" s="46" t="n"/>
      <c r="E496" s="46" t="n"/>
      <c r="G496" s="94">
        <f>IFERROR(($E496-$D496)*24-$F496,"")</f>
        <v/>
      </c>
    </row>
    <row r="497">
      <c r="A497" s="44" t="n"/>
      <c r="B497" s="93">
        <f>IFERROR(MONTH($A497),"")</f>
        <v/>
      </c>
      <c r="D497" s="46" t="n"/>
      <c r="E497" s="46" t="n"/>
      <c r="G497" s="94">
        <f>IFERROR(($E497-$D497)*24-$F497,"")</f>
        <v/>
      </c>
    </row>
    <row r="498">
      <c r="A498" s="44" t="n"/>
      <c r="B498" s="93">
        <f>IFERROR(MONTH($A498),"")</f>
        <v/>
      </c>
      <c r="D498" s="46" t="n"/>
      <c r="E498" s="46" t="n"/>
      <c r="G498" s="94">
        <f>IFERROR(($E498-$D498)*24-$F498,"")</f>
        <v/>
      </c>
    </row>
    <row r="499">
      <c r="A499" s="44" t="n"/>
      <c r="B499" s="93">
        <f>IFERROR(MONTH($A499),"")</f>
        <v/>
      </c>
      <c r="D499" s="46" t="n"/>
      <c r="E499" s="46" t="n"/>
      <c r="G499" s="94">
        <f>IFERROR(($E499-$D499)*24-$F499,"")</f>
        <v/>
      </c>
    </row>
    <row r="500">
      <c r="A500" s="44" t="n"/>
      <c r="B500" s="93">
        <f>IFERROR(MONTH($A500),"")</f>
        <v/>
      </c>
      <c r="D500" s="46" t="n"/>
      <c r="E500" s="46" t="n"/>
      <c r="G500" s="94">
        <f>IFERROR(($E500-$D500)*24-$F500,"")</f>
        <v/>
      </c>
    </row>
    <row r="501">
      <c r="A501" s="44" t="n"/>
      <c r="B501" s="93">
        <f>IFERROR(MONTH($A501),"")</f>
        <v/>
      </c>
      <c r="D501" s="46" t="n"/>
      <c r="E501" s="46" t="n"/>
      <c r="G501" s="94">
        <f>IFERROR(($E501-$D501)*24-$F501,"")</f>
        <v/>
      </c>
    </row>
    <row r="502">
      <c r="A502" s="44" t="n"/>
      <c r="B502" s="93">
        <f>IFERROR(MONTH($A502),"")</f>
        <v/>
      </c>
      <c r="D502" s="46" t="n"/>
      <c r="E502" s="46" t="n"/>
      <c r="G502" s="94">
        <f>IFERROR(($E502-$D502)*24-$F502,"")</f>
        <v/>
      </c>
    </row>
    <row r="503">
      <c r="A503" s="44" t="n"/>
      <c r="B503" s="93">
        <f>IFERROR(MONTH($A503),"")</f>
        <v/>
      </c>
      <c r="D503" s="46" t="n"/>
      <c r="E503" s="46" t="n"/>
      <c r="G503" s="94">
        <f>IFERROR(($E503-$D503)*24-$F503,"")</f>
        <v/>
      </c>
    </row>
    <row r="504">
      <c r="A504" s="44" t="n"/>
      <c r="B504" s="93">
        <f>IFERROR(MONTH($A504),"")</f>
        <v/>
      </c>
      <c r="D504" s="46" t="n"/>
      <c r="E504" s="46" t="n"/>
      <c r="G504" s="94">
        <f>IFERROR(($E504-$D504)*24-$F504,"")</f>
        <v/>
      </c>
    </row>
    <row r="505">
      <c r="A505" s="44" t="n"/>
      <c r="B505" s="93">
        <f>IFERROR(MONTH($A505),"")</f>
        <v/>
      </c>
      <c r="D505" s="46" t="n"/>
      <c r="E505" s="46" t="n"/>
      <c r="G505" s="94">
        <f>IFERROR(($E505-$D505)*24-$F505,"")</f>
        <v/>
      </c>
    </row>
    <row r="506">
      <c r="A506" s="44" t="n"/>
      <c r="B506" s="93">
        <f>IFERROR(MONTH($A506),"")</f>
        <v/>
      </c>
      <c r="D506" s="46" t="n"/>
      <c r="E506" s="46" t="n"/>
      <c r="G506" s="94">
        <f>IFERROR(($E506-$D506)*24-$F506,"")</f>
        <v/>
      </c>
    </row>
    <row r="507">
      <c r="A507" s="44" t="n"/>
      <c r="B507" s="93">
        <f>IFERROR(MONTH($A507),"")</f>
        <v/>
      </c>
      <c r="D507" s="46" t="n"/>
      <c r="E507" s="46" t="n"/>
      <c r="G507" s="94">
        <f>IFERROR(($E507-$D507)*24-$F507,"")</f>
        <v/>
      </c>
    </row>
    <row r="508">
      <c r="A508" s="44" t="n"/>
      <c r="B508" s="93">
        <f>IFERROR(MONTH($A508),"")</f>
        <v/>
      </c>
      <c r="D508" s="46" t="n"/>
      <c r="E508" s="46" t="n"/>
      <c r="G508" s="94">
        <f>IFERROR(($E508-$D508)*24-$F508,"")</f>
        <v/>
      </c>
    </row>
    <row r="509">
      <c r="A509" s="44" t="n"/>
      <c r="B509" s="93">
        <f>IFERROR(MONTH($A509),"")</f>
        <v/>
      </c>
      <c r="D509" s="46" t="n"/>
      <c r="E509" s="46" t="n"/>
      <c r="G509" s="94">
        <f>IFERROR(($E509-$D509)*24-$F509,"")</f>
        <v/>
      </c>
    </row>
    <row r="510">
      <c r="A510" s="44" t="n"/>
      <c r="B510" s="93">
        <f>IFERROR(MONTH($A510),"")</f>
        <v/>
      </c>
      <c r="D510" s="46" t="n"/>
      <c r="E510" s="46" t="n"/>
      <c r="G510" s="94">
        <f>IFERROR(($E510-$D510)*24-$F510,"")</f>
        <v/>
      </c>
    </row>
    <row r="511">
      <c r="A511" s="44" t="n"/>
      <c r="B511" s="93">
        <f>IFERROR(MONTH($A511),"")</f>
        <v/>
      </c>
      <c r="D511" s="46" t="n"/>
      <c r="E511" s="46" t="n"/>
      <c r="G511" s="94">
        <f>IFERROR(($E511-$D511)*24-$F511,"")</f>
        <v/>
      </c>
    </row>
    <row r="512">
      <c r="A512" s="44" t="n"/>
      <c r="B512" s="93">
        <f>IFERROR(MONTH($A512),"")</f>
        <v/>
      </c>
      <c r="D512" s="46" t="n"/>
      <c r="E512" s="46" t="n"/>
      <c r="G512" s="94">
        <f>IFERROR(($E512-$D512)*24-$F512,"")</f>
        <v/>
      </c>
    </row>
    <row r="513">
      <c r="A513" s="44" t="n"/>
      <c r="B513" s="93">
        <f>IFERROR(MONTH($A513),"")</f>
        <v/>
      </c>
      <c r="D513" s="46" t="n"/>
      <c r="E513" s="46" t="n"/>
      <c r="G513" s="94">
        <f>IFERROR(($E513-$D513)*24-$F513,"")</f>
        <v/>
      </c>
    </row>
    <row r="514">
      <c r="A514" s="44" t="n"/>
      <c r="B514" s="93">
        <f>IFERROR(MONTH($A514),"")</f>
        <v/>
      </c>
      <c r="D514" s="46" t="n"/>
      <c r="E514" s="46" t="n"/>
      <c r="G514" s="94">
        <f>IFERROR(($E514-$D514)*24-$F514,"")</f>
        <v/>
      </c>
    </row>
    <row r="515">
      <c r="A515" s="44" t="n"/>
      <c r="B515" s="93">
        <f>IFERROR(MONTH($A515),"")</f>
        <v/>
      </c>
      <c r="D515" s="46" t="n"/>
      <c r="E515" s="46" t="n"/>
      <c r="G515" s="94">
        <f>IFERROR(($E515-$D515)*24-$F515,"")</f>
        <v/>
      </c>
    </row>
    <row r="516">
      <c r="A516" s="44" t="n"/>
      <c r="B516" s="93">
        <f>IFERROR(MONTH($A516),"")</f>
        <v/>
      </c>
      <c r="D516" s="46" t="n"/>
      <c r="E516" s="46" t="n"/>
      <c r="G516" s="94">
        <f>IFERROR(($E516-$D516)*24-$F516,"")</f>
        <v/>
      </c>
    </row>
    <row r="517">
      <c r="A517" s="44" t="n"/>
      <c r="B517" s="93">
        <f>IFERROR(MONTH($A517),"")</f>
        <v/>
      </c>
      <c r="D517" s="46" t="n"/>
      <c r="E517" s="46" t="n"/>
      <c r="G517" s="94">
        <f>IFERROR(($E517-$D517)*24-$F517,"")</f>
        <v/>
      </c>
    </row>
    <row r="518">
      <c r="A518" s="44" t="n"/>
      <c r="B518" s="93">
        <f>IFERROR(MONTH($A518),"")</f>
        <v/>
      </c>
      <c r="D518" s="46" t="n"/>
      <c r="E518" s="46" t="n"/>
      <c r="G518" s="94">
        <f>IFERROR(($E518-$D518)*24-$F518,"")</f>
        <v/>
      </c>
    </row>
    <row r="519">
      <c r="A519" s="44" t="n"/>
      <c r="B519" s="93">
        <f>IFERROR(MONTH($A519),"")</f>
        <v/>
      </c>
      <c r="D519" s="46" t="n"/>
      <c r="E519" s="46" t="n"/>
      <c r="G519" s="94">
        <f>IFERROR(($E519-$D519)*24-$F519,"")</f>
        <v/>
      </c>
    </row>
    <row r="520">
      <c r="A520" s="44" t="n"/>
      <c r="B520" s="93">
        <f>IFERROR(MONTH($A520),"")</f>
        <v/>
      </c>
      <c r="D520" s="46" t="n"/>
      <c r="E520" s="46" t="n"/>
      <c r="G520" s="94">
        <f>IFERROR(($E520-$D520)*24-$F520,"")</f>
        <v/>
      </c>
    </row>
    <row r="521">
      <c r="A521" s="44" t="n"/>
      <c r="B521" s="93">
        <f>IFERROR(MONTH($A521),"")</f>
        <v/>
      </c>
      <c r="D521" s="46" t="n"/>
      <c r="E521" s="46" t="n"/>
      <c r="G521" s="94">
        <f>IFERROR(($E521-$D521)*24-$F521,"")</f>
        <v/>
      </c>
    </row>
    <row r="522">
      <c r="A522" s="44" t="n"/>
      <c r="B522" s="93">
        <f>IFERROR(MONTH($A522),"")</f>
        <v/>
      </c>
      <c r="D522" s="46" t="n"/>
      <c r="E522" s="46" t="n"/>
      <c r="G522" s="94">
        <f>IFERROR(($E522-$D522)*24-$F522,"")</f>
        <v/>
      </c>
    </row>
    <row r="523">
      <c r="A523" s="44" t="n"/>
      <c r="B523" s="93">
        <f>IFERROR(MONTH($A523),"")</f>
        <v/>
      </c>
      <c r="D523" s="46" t="n"/>
      <c r="E523" s="46" t="n"/>
      <c r="G523" s="94">
        <f>IFERROR(($E523-$D523)*24-$F523,"")</f>
        <v/>
      </c>
    </row>
    <row r="524">
      <c r="A524" s="44" t="n"/>
      <c r="B524" s="93">
        <f>IFERROR(MONTH($A524),"")</f>
        <v/>
      </c>
      <c r="D524" s="46" t="n"/>
      <c r="E524" s="46" t="n"/>
      <c r="G524" s="94">
        <f>IFERROR(($E524-$D524)*24-$F524,"")</f>
        <v/>
      </c>
    </row>
    <row r="525">
      <c r="A525" s="44" t="n"/>
      <c r="B525" s="93">
        <f>IFERROR(MONTH($A525),"")</f>
        <v/>
      </c>
      <c r="D525" s="46" t="n"/>
      <c r="E525" s="46" t="n"/>
      <c r="G525" s="94">
        <f>IFERROR(($E525-$D525)*24-$F525,"")</f>
        <v/>
      </c>
    </row>
    <row r="526">
      <c r="A526" s="44" t="n"/>
      <c r="B526" s="93">
        <f>IFERROR(MONTH($A526),"")</f>
        <v/>
      </c>
      <c r="D526" s="46" t="n"/>
      <c r="E526" s="46" t="n"/>
      <c r="G526" s="94">
        <f>IFERROR(($E526-$D526)*24-$F526,"")</f>
        <v/>
      </c>
    </row>
    <row r="527">
      <c r="A527" s="44" t="n"/>
      <c r="B527" s="93">
        <f>IFERROR(MONTH($A527),"")</f>
        <v/>
      </c>
      <c r="D527" s="46" t="n"/>
      <c r="E527" s="46" t="n"/>
      <c r="G527" s="94">
        <f>IFERROR(($E527-$D527)*24-$F527,"")</f>
        <v/>
      </c>
    </row>
    <row r="528">
      <c r="A528" s="44" t="n"/>
      <c r="B528" s="93">
        <f>IFERROR(MONTH($A528),"")</f>
        <v/>
      </c>
      <c r="D528" s="46" t="n"/>
      <c r="E528" s="46" t="n"/>
      <c r="G528" s="94">
        <f>IFERROR(($E528-$D528)*24-$F528,"")</f>
        <v/>
      </c>
    </row>
    <row r="529">
      <c r="A529" s="44" t="n"/>
      <c r="B529" s="93">
        <f>IFERROR(MONTH($A529),"")</f>
        <v/>
      </c>
      <c r="D529" s="46" t="n"/>
      <c r="E529" s="46" t="n"/>
      <c r="G529" s="94">
        <f>IFERROR(($E529-$D529)*24-$F529,"")</f>
        <v/>
      </c>
    </row>
    <row r="530">
      <c r="A530" s="44" t="n"/>
      <c r="B530" s="93">
        <f>IFERROR(MONTH($A530),"")</f>
        <v/>
      </c>
      <c r="D530" s="46" t="n"/>
      <c r="E530" s="46" t="n"/>
      <c r="G530" s="94">
        <f>IFERROR(($E530-$D530)*24-$F530,"")</f>
        <v/>
      </c>
    </row>
    <row r="531">
      <c r="A531" s="44" t="n"/>
      <c r="B531" s="93">
        <f>IFERROR(MONTH($A531),"")</f>
        <v/>
      </c>
      <c r="D531" s="46" t="n"/>
      <c r="E531" s="46" t="n"/>
      <c r="G531" s="94">
        <f>IFERROR(($E531-$D531)*24-$F531,"")</f>
        <v/>
      </c>
    </row>
    <row r="532">
      <c r="A532" s="44" t="n"/>
      <c r="B532" s="93">
        <f>IFERROR(MONTH($A532),"")</f>
        <v/>
      </c>
      <c r="D532" s="46" t="n"/>
      <c r="E532" s="46" t="n"/>
      <c r="G532" s="94">
        <f>IFERROR(($E532-$D532)*24-$F532,"")</f>
        <v/>
      </c>
    </row>
    <row r="533">
      <c r="A533" s="44" t="n"/>
      <c r="B533" s="93">
        <f>IFERROR(MONTH($A533),"")</f>
        <v/>
      </c>
      <c r="D533" s="46" t="n"/>
      <c r="E533" s="46" t="n"/>
      <c r="G533" s="94">
        <f>IFERROR(($E533-$D533)*24-$F533,"")</f>
        <v/>
      </c>
    </row>
    <row r="534">
      <c r="A534" s="44" t="n"/>
      <c r="B534" s="93">
        <f>IFERROR(MONTH($A534),"")</f>
        <v/>
      </c>
      <c r="D534" s="46" t="n"/>
      <c r="E534" s="46" t="n"/>
      <c r="G534" s="94">
        <f>IFERROR(($E534-$D534)*24-$F534,"")</f>
        <v/>
      </c>
    </row>
    <row r="535">
      <c r="A535" s="44" t="n"/>
      <c r="B535" s="93">
        <f>IFERROR(MONTH($A535),"")</f>
        <v/>
      </c>
      <c r="D535" s="46" t="n"/>
      <c r="E535" s="46" t="n"/>
      <c r="G535" s="94">
        <f>IFERROR(($E535-$D535)*24-$F535,"")</f>
        <v/>
      </c>
    </row>
    <row r="536">
      <c r="A536" s="44" t="n"/>
      <c r="B536" s="93">
        <f>IFERROR(MONTH($A536),"")</f>
        <v/>
      </c>
      <c r="D536" s="46" t="n"/>
      <c r="E536" s="46" t="n"/>
      <c r="G536" s="94">
        <f>IFERROR(($E536-$D536)*24-$F536,"")</f>
        <v/>
      </c>
    </row>
    <row r="537">
      <c r="A537" s="44" t="n"/>
      <c r="B537" s="93">
        <f>IFERROR(MONTH($A537),"")</f>
        <v/>
      </c>
      <c r="D537" s="46" t="n"/>
      <c r="E537" s="46" t="n"/>
      <c r="G537" s="94">
        <f>IFERROR(($E537-$D537)*24-$F537,"")</f>
        <v/>
      </c>
    </row>
    <row r="538">
      <c r="A538" s="44" t="n"/>
      <c r="B538" s="93">
        <f>IFERROR(MONTH($A538),"")</f>
        <v/>
      </c>
      <c r="D538" s="46" t="n"/>
      <c r="E538" s="46" t="n"/>
      <c r="G538" s="94">
        <f>IFERROR(($E538-$D538)*24-$F538,"")</f>
        <v/>
      </c>
    </row>
    <row r="539">
      <c r="A539" s="44" t="n"/>
      <c r="B539" s="93">
        <f>IFERROR(MONTH($A539),"")</f>
        <v/>
      </c>
      <c r="D539" s="46" t="n"/>
      <c r="E539" s="46" t="n"/>
      <c r="G539" s="94">
        <f>IFERROR(($E539-$D539)*24-$F539,"")</f>
        <v/>
      </c>
    </row>
    <row r="540">
      <c r="A540" s="44" t="n"/>
      <c r="B540" s="93">
        <f>IFERROR(MONTH($A540),"")</f>
        <v/>
      </c>
      <c r="D540" s="46" t="n"/>
      <c r="E540" s="46" t="n"/>
      <c r="G540" s="94">
        <f>IFERROR(($E540-$D540)*24-$F540,"")</f>
        <v/>
      </c>
    </row>
    <row r="541">
      <c r="A541" s="44" t="n"/>
      <c r="B541" s="93">
        <f>IFERROR(MONTH($A541),"")</f>
        <v/>
      </c>
      <c r="D541" s="46" t="n"/>
      <c r="E541" s="46" t="n"/>
      <c r="G541" s="94">
        <f>IFERROR(($E541-$D541)*24-$F541,"")</f>
        <v/>
      </c>
    </row>
    <row r="542">
      <c r="A542" s="44" t="n"/>
      <c r="B542" s="93">
        <f>IFERROR(MONTH($A542),"")</f>
        <v/>
      </c>
      <c r="D542" s="46" t="n"/>
      <c r="E542" s="46" t="n"/>
      <c r="G542" s="94">
        <f>IFERROR(($E542-$D542)*24-$F542,"")</f>
        <v/>
      </c>
    </row>
    <row r="543">
      <c r="A543" s="44" t="n"/>
      <c r="B543" s="93">
        <f>IFERROR(MONTH($A543),"")</f>
        <v/>
      </c>
      <c r="D543" s="46" t="n"/>
      <c r="E543" s="46" t="n"/>
      <c r="G543" s="94">
        <f>IFERROR(($E543-$D543)*24-$F543,"")</f>
        <v/>
      </c>
    </row>
    <row r="544">
      <c r="A544" s="44" t="n"/>
      <c r="B544" s="93">
        <f>IFERROR(MONTH($A544),"")</f>
        <v/>
      </c>
      <c r="D544" s="46" t="n"/>
      <c r="E544" s="46" t="n"/>
      <c r="G544" s="94">
        <f>IFERROR(($E544-$D544)*24-$F544,"")</f>
        <v/>
      </c>
    </row>
    <row r="545">
      <c r="A545" s="44" t="n"/>
      <c r="B545" s="93">
        <f>IFERROR(MONTH($A545),"")</f>
        <v/>
      </c>
      <c r="D545" s="46" t="n"/>
      <c r="E545" s="46" t="n"/>
      <c r="G545" s="94">
        <f>IFERROR(($E545-$D545)*24-$F545,"")</f>
        <v/>
      </c>
    </row>
    <row r="546">
      <c r="A546" s="44" t="n"/>
      <c r="B546" s="93">
        <f>IFERROR(MONTH($A546),"")</f>
        <v/>
      </c>
      <c r="D546" s="46" t="n"/>
      <c r="E546" s="46" t="n"/>
      <c r="G546" s="94">
        <f>IFERROR(($E546-$D546)*24-$F546,"")</f>
        <v/>
      </c>
    </row>
    <row r="547">
      <c r="A547" s="44" t="n"/>
      <c r="B547" s="93">
        <f>IFERROR(MONTH($A547),"")</f>
        <v/>
      </c>
      <c r="D547" s="46" t="n"/>
      <c r="E547" s="46" t="n"/>
      <c r="G547" s="94">
        <f>IFERROR(($E547-$D547)*24-$F547,"")</f>
        <v/>
      </c>
    </row>
    <row r="548">
      <c r="A548" s="44" t="n"/>
      <c r="B548" s="93">
        <f>IFERROR(MONTH($A548),"")</f>
        <v/>
      </c>
      <c r="D548" s="46" t="n"/>
      <c r="E548" s="46" t="n"/>
      <c r="G548" s="94">
        <f>IFERROR(($E548-$D548)*24-$F548,"")</f>
        <v/>
      </c>
    </row>
    <row r="549">
      <c r="A549" s="44" t="n"/>
      <c r="B549" s="93">
        <f>IFERROR(MONTH($A549),"")</f>
        <v/>
      </c>
      <c r="D549" s="46" t="n"/>
      <c r="E549" s="46" t="n"/>
      <c r="G549" s="94">
        <f>IFERROR(($E549-$D549)*24-$F549,"")</f>
        <v/>
      </c>
    </row>
    <row r="550">
      <c r="A550" s="44" t="n"/>
      <c r="B550" s="93">
        <f>IFERROR(MONTH($A550),"")</f>
        <v/>
      </c>
      <c r="D550" s="46" t="n"/>
      <c r="E550" s="46" t="n"/>
      <c r="G550" s="94">
        <f>IFERROR(($E550-$D550)*24-$F550,"")</f>
        <v/>
      </c>
    </row>
    <row r="551">
      <c r="A551" s="44" t="n"/>
      <c r="B551" s="93">
        <f>IFERROR(MONTH($A551),"")</f>
        <v/>
      </c>
      <c r="D551" s="46" t="n"/>
      <c r="E551" s="46" t="n"/>
      <c r="G551" s="94">
        <f>IFERROR(($E551-$D551)*24-$F551,"")</f>
        <v/>
      </c>
    </row>
    <row r="552">
      <c r="A552" s="44" t="n"/>
      <c r="B552" s="93">
        <f>IFERROR(MONTH($A552),"")</f>
        <v/>
      </c>
      <c r="D552" s="46" t="n"/>
      <c r="E552" s="46" t="n"/>
      <c r="G552" s="94">
        <f>IFERROR(($E552-$D552)*24-$F552,"")</f>
        <v/>
      </c>
    </row>
    <row r="553">
      <c r="A553" s="44" t="n"/>
      <c r="B553" s="93">
        <f>IFERROR(MONTH($A553),"")</f>
        <v/>
      </c>
      <c r="D553" s="46" t="n"/>
      <c r="E553" s="46" t="n"/>
      <c r="G553" s="94">
        <f>IFERROR(($E553-$D553)*24-$F553,"")</f>
        <v/>
      </c>
    </row>
    <row r="554">
      <c r="A554" s="44" t="n"/>
      <c r="B554" s="93">
        <f>IFERROR(MONTH($A554),"")</f>
        <v/>
      </c>
      <c r="D554" s="46" t="n"/>
      <c r="E554" s="46" t="n"/>
      <c r="G554" s="94">
        <f>IFERROR(($E554-$D554)*24-$F554,"")</f>
        <v/>
      </c>
    </row>
    <row r="555">
      <c r="A555" s="44" t="n"/>
      <c r="B555" s="93">
        <f>IFERROR(MONTH($A555),"")</f>
        <v/>
      </c>
      <c r="D555" s="46" t="n"/>
      <c r="E555" s="46" t="n"/>
      <c r="G555" s="94">
        <f>IFERROR(($E555-$D555)*24-$F555,"")</f>
        <v/>
      </c>
    </row>
    <row r="556">
      <c r="A556" s="44" t="n"/>
      <c r="B556" s="93">
        <f>IFERROR(MONTH($A556),"")</f>
        <v/>
      </c>
      <c r="D556" s="46" t="n"/>
      <c r="E556" s="46" t="n"/>
      <c r="G556" s="94">
        <f>IFERROR(($E556-$D556)*24-$F556,"")</f>
        <v/>
      </c>
    </row>
    <row r="557">
      <c r="A557" s="44" t="n"/>
      <c r="B557" s="93">
        <f>IFERROR(MONTH($A557),"")</f>
        <v/>
      </c>
      <c r="D557" s="46" t="n"/>
      <c r="E557" s="46" t="n"/>
      <c r="G557" s="94">
        <f>IFERROR(($E557-$D557)*24-$F557,"")</f>
        <v/>
      </c>
    </row>
    <row r="558">
      <c r="A558" s="44" t="n"/>
      <c r="B558" s="93">
        <f>IFERROR(MONTH($A558),"")</f>
        <v/>
      </c>
      <c r="D558" s="46" t="n"/>
      <c r="E558" s="46" t="n"/>
      <c r="G558" s="94">
        <f>IFERROR(($E558-$D558)*24-$F558,"")</f>
        <v/>
      </c>
    </row>
    <row r="559">
      <c r="A559" s="44" t="n"/>
      <c r="B559" s="93">
        <f>IFERROR(MONTH($A559),"")</f>
        <v/>
      </c>
      <c r="D559" s="46" t="n"/>
      <c r="E559" s="46" t="n"/>
      <c r="G559" s="94">
        <f>IFERROR(($E559-$D559)*24-$F559,"")</f>
        <v/>
      </c>
    </row>
    <row r="560">
      <c r="A560" s="44" t="n"/>
      <c r="B560" s="93">
        <f>IFERROR(MONTH($A560),"")</f>
        <v/>
      </c>
      <c r="D560" s="46" t="n"/>
      <c r="E560" s="46" t="n"/>
      <c r="G560" s="94">
        <f>IFERROR(($E560-$D560)*24-$F560,"")</f>
        <v/>
      </c>
    </row>
    <row r="561">
      <c r="A561" s="44" t="n"/>
      <c r="B561" s="93">
        <f>IFERROR(MONTH($A561),"")</f>
        <v/>
      </c>
      <c r="D561" s="46" t="n"/>
      <c r="E561" s="46" t="n"/>
      <c r="G561" s="94">
        <f>IFERROR(($E561-$D561)*24-$F561,"")</f>
        <v/>
      </c>
    </row>
    <row r="562">
      <c r="A562" s="44" t="n"/>
      <c r="B562" s="93">
        <f>IFERROR(MONTH($A562),"")</f>
        <v/>
      </c>
      <c r="D562" s="46" t="n"/>
      <c r="E562" s="46" t="n"/>
      <c r="G562" s="94">
        <f>IFERROR(($E562-$D562)*24-$F562,"")</f>
        <v/>
      </c>
    </row>
    <row r="563">
      <c r="A563" s="44" t="n"/>
      <c r="B563" s="93">
        <f>IFERROR(MONTH($A563),"")</f>
        <v/>
      </c>
      <c r="D563" s="46" t="n"/>
      <c r="E563" s="46" t="n"/>
      <c r="G563" s="94">
        <f>IFERROR(($E563-$D563)*24-$F563,"")</f>
        <v/>
      </c>
    </row>
    <row r="564">
      <c r="A564" s="44" t="n"/>
      <c r="B564" s="93">
        <f>IFERROR(MONTH($A564),"")</f>
        <v/>
      </c>
      <c r="D564" s="46" t="n"/>
      <c r="E564" s="46" t="n"/>
      <c r="G564" s="94">
        <f>IFERROR(($E564-$D564)*24-$F564,"")</f>
        <v/>
      </c>
    </row>
    <row r="565">
      <c r="A565" s="44" t="n"/>
      <c r="B565" s="93">
        <f>IFERROR(MONTH($A565),"")</f>
        <v/>
      </c>
      <c r="D565" s="46" t="n"/>
      <c r="E565" s="46" t="n"/>
      <c r="G565" s="94">
        <f>IFERROR(($E565-$D565)*24-$F565,"")</f>
        <v/>
      </c>
    </row>
    <row r="566">
      <c r="A566" s="44" t="n"/>
      <c r="B566" s="93">
        <f>IFERROR(MONTH($A566),"")</f>
        <v/>
      </c>
      <c r="D566" s="46" t="n"/>
      <c r="E566" s="46" t="n"/>
      <c r="G566" s="94">
        <f>IFERROR(($E566-$D566)*24-$F566,"")</f>
        <v/>
      </c>
    </row>
    <row r="567">
      <c r="A567" s="44" t="n"/>
      <c r="B567" s="93">
        <f>IFERROR(MONTH($A567),"")</f>
        <v/>
      </c>
      <c r="D567" s="46" t="n"/>
      <c r="E567" s="46" t="n"/>
      <c r="G567" s="94">
        <f>IFERROR(($E567-$D567)*24-$F567,"")</f>
        <v/>
      </c>
    </row>
    <row r="568">
      <c r="A568" s="44" t="n"/>
      <c r="B568" s="93">
        <f>IFERROR(MONTH($A568),"")</f>
        <v/>
      </c>
      <c r="D568" s="46" t="n"/>
      <c r="E568" s="46" t="n"/>
      <c r="G568" s="94">
        <f>IFERROR(($E568-$D568)*24-$F568,"")</f>
        <v/>
      </c>
    </row>
    <row r="569">
      <c r="A569" s="44" t="n"/>
      <c r="B569" s="93">
        <f>IFERROR(MONTH($A569),"")</f>
        <v/>
      </c>
      <c r="D569" s="46" t="n"/>
      <c r="E569" s="46" t="n"/>
      <c r="G569" s="94">
        <f>IFERROR(($E569-$D569)*24-$F569,"")</f>
        <v/>
      </c>
    </row>
    <row r="570">
      <c r="A570" s="44" t="n"/>
      <c r="B570" s="93">
        <f>IFERROR(MONTH($A570),"")</f>
        <v/>
      </c>
      <c r="D570" s="46" t="n"/>
      <c r="E570" s="46" t="n"/>
      <c r="G570" s="94">
        <f>IFERROR(($E570-$D570)*24-$F570,"")</f>
        <v/>
      </c>
    </row>
    <row r="571">
      <c r="A571" s="44" t="n"/>
      <c r="B571" s="93">
        <f>IFERROR(MONTH($A571),"")</f>
        <v/>
      </c>
      <c r="D571" s="46" t="n"/>
      <c r="E571" s="46" t="n"/>
      <c r="G571" s="94">
        <f>IFERROR(($E571-$D571)*24-$F571,"")</f>
        <v/>
      </c>
    </row>
    <row r="572">
      <c r="A572" s="44" t="n"/>
      <c r="B572" s="93">
        <f>IFERROR(MONTH($A572),"")</f>
        <v/>
      </c>
      <c r="D572" s="46" t="n"/>
      <c r="E572" s="46" t="n"/>
      <c r="G572" s="94">
        <f>IFERROR(($E572-$D572)*24-$F572,"")</f>
        <v/>
      </c>
    </row>
    <row r="573">
      <c r="A573" s="44" t="n"/>
      <c r="B573" s="93">
        <f>IFERROR(MONTH($A573),"")</f>
        <v/>
      </c>
      <c r="D573" s="46" t="n"/>
      <c r="E573" s="46" t="n"/>
      <c r="G573" s="94">
        <f>IFERROR(($E573-$D573)*24-$F573,"")</f>
        <v/>
      </c>
    </row>
    <row r="574">
      <c r="A574" s="44" t="n"/>
      <c r="B574" s="93">
        <f>IFERROR(MONTH($A574),"")</f>
        <v/>
      </c>
      <c r="D574" s="46" t="n"/>
      <c r="E574" s="46" t="n"/>
      <c r="G574" s="94">
        <f>IFERROR(($E574-$D574)*24-$F574,"")</f>
        <v/>
      </c>
    </row>
    <row r="575">
      <c r="A575" s="44" t="n"/>
      <c r="B575" s="93">
        <f>IFERROR(MONTH($A575),"")</f>
        <v/>
      </c>
      <c r="D575" s="46" t="n"/>
      <c r="E575" s="46" t="n"/>
      <c r="G575" s="94">
        <f>IFERROR(($E575-$D575)*24-$F575,"")</f>
        <v/>
      </c>
    </row>
    <row r="576">
      <c r="A576" s="44" t="n"/>
      <c r="B576" s="93">
        <f>IFERROR(MONTH($A576),"")</f>
        <v/>
      </c>
      <c r="D576" s="46" t="n"/>
      <c r="E576" s="46" t="n"/>
      <c r="G576" s="94">
        <f>IFERROR(($E576-$D576)*24-$F576,"")</f>
        <v/>
      </c>
    </row>
    <row r="577">
      <c r="A577" s="44" t="n"/>
      <c r="B577" s="93">
        <f>IFERROR(MONTH($A577),"")</f>
        <v/>
      </c>
      <c r="D577" s="46" t="n"/>
      <c r="E577" s="46" t="n"/>
      <c r="G577" s="94">
        <f>IFERROR(($E577-$D577)*24-$F577,"")</f>
        <v/>
      </c>
    </row>
    <row r="578">
      <c r="A578" s="44" t="n"/>
      <c r="B578" s="93">
        <f>IFERROR(MONTH($A578),"")</f>
        <v/>
      </c>
      <c r="D578" s="46" t="n"/>
      <c r="E578" s="46" t="n"/>
      <c r="G578" s="94">
        <f>IFERROR(($E578-$D578)*24-$F578,"")</f>
        <v/>
      </c>
    </row>
    <row r="579">
      <c r="A579" s="44" t="n"/>
      <c r="B579" s="93">
        <f>IFERROR(MONTH($A579),"")</f>
        <v/>
      </c>
      <c r="D579" s="46" t="n"/>
      <c r="E579" s="46" t="n"/>
      <c r="G579" s="94">
        <f>IFERROR(($E579-$D579)*24-$F579,"")</f>
        <v/>
      </c>
    </row>
    <row r="580">
      <c r="A580" s="44" t="n"/>
      <c r="B580" s="93">
        <f>IFERROR(MONTH($A580),"")</f>
        <v/>
      </c>
      <c r="D580" s="46" t="n"/>
      <c r="E580" s="46" t="n"/>
      <c r="G580" s="94">
        <f>IFERROR(($E580-$D580)*24-$F580,"")</f>
        <v/>
      </c>
    </row>
    <row r="581">
      <c r="A581" s="44" t="n"/>
      <c r="B581" s="93">
        <f>IFERROR(MONTH($A581),"")</f>
        <v/>
      </c>
      <c r="D581" s="46" t="n"/>
      <c r="E581" s="46" t="n"/>
      <c r="G581" s="94">
        <f>IFERROR(($E581-$D581)*24-$F581,"")</f>
        <v/>
      </c>
    </row>
    <row r="582">
      <c r="A582" s="44" t="n"/>
      <c r="B582" s="93">
        <f>IFERROR(MONTH($A582),"")</f>
        <v/>
      </c>
      <c r="D582" s="46" t="n"/>
      <c r="E582" s="46" t="n"/>
      <c r="G582" s="94">
        <f>IFERROR(($E582-$D582)*24-$F582,"")</f>
        <v/>
      </c>
    </row>
    <row r="583">
      <c r="A583" s="44" t="n"/>
      <c r="B583" s="93">
        <f>IFERROR(MONTH($A583),"")</f>
        <v/>
      </c>
      <c r="D583" s="46" t="n"/>
      <c r="E583" s="46" t="n"/>
      <c r="G583" s="94">
        <f>IFERROR(($E583-$D583)*24-$F583,"")</f>
        <v/>
      </c>
    </row>
    <row r="584">
      <c r="A584" s="44" t="n"/>
      <c r="B584" s="93">
        <f>IFERROR(MONTH($A584),"")</f>
        <v/>
      </c>
      <c r="D584" s="46" t="n"/>
      <c r="E584" s="46" t="n"/>
      <c r="G584" s="94">
        <f>IFERROR(($E584-$D584)*24-$F584,"")</f>
        <v/>
      </c>
    </row>
    <row r="585">
      <c r="A585" s="44" t="n"/>
      <c r="B585" s="93">
        <f>IFERROR(MONTH($A585),"")</f>
        <v/>
      </c>
      <c r="D585" s="46" t="n"/>
      <c r="E585" s="46" t="n"/>
      <c r="G585" s="94">
        <f>IFERROR(($E585-$D585)*24-$F585,"")</f>
        <v/>
      </c>
    </row>
    <row r="586">
      <c r="A586" s="44" t="n"/>
      <c r="B586" s="93">
        <f>IFERROR(MONTH($A586),"")</f>
        <v/>
      </c>
      <c r="D586" s="46" t="n"/>
      <c r="E586" s="46" t="n"/>
      <c r="G586" s="94">
        <f>IFERROR(($E586-$D586)*24-$F586,"")</f>
        <v/>
      </c>
    </row>
    <row r="587">
      <c r="A587" s="44" t="n"/>
      <c r="B587" s="93">
        <f>IFERROR(MONTH($A587),"")</f>
        <v/>
      </c>
      <c r="D587" s="46" t="n"/>
      <c r="E587" s="46" t="n"/>
      <c r="G587" s="94">
        <f>IFERROR(($E587-$D587)*24-$F587,"")</f>
        <v/>
      </c>
    </row>
    <row r="588">
      <c r="A588" s="44" t="n"/>
      <c r="B588" s="93">
        <f>IFERROR(MONTH($A588),"")</f>
        <v/>
      </c>
      <c r="D588" s="46" t="n"/>
      <c r="E588" s="46" t="n"/>
      <c r="G588" s="94">
        <f>IFERROR(($E588-$D588)*24-$F588,"")</f>
        <v/>
      </c>
    </row>
    <row r="589">
      <c r="A589" s="44" t="n"/>
      <c r="B589" s="93">
        <f>IFERROR(MONTH($A589),"")</f>
        <v/>
      </c>
      <c r="D589" s="46" t="n"/>
      <c r="E589" s="46" t="n"/>
      <c r="G589" s="94">
        <f>IFERROR(($E589-$D589)*24-$F589,"")</f>
        <v/>
      </c>
    </row>
    <row r="590">
      <c r="A590" s="44" t="n"/>
      <c r="B590" s="93">
        <f>IFERROR(MONTH($A590),"")</f>
        <v/>
      </c>
      <c r="D590" s="46" t="n"/>
      <c r="E590" s="46" t="n"/>
      <c r="G590" s="94">
        <f>IFERROR(($E590-$D590)*24-$F590,"")</f>
        <v/>
      </c>
    </row>
    <row r="591">
      <c r="A591" s="44" t="n"/>
      <c r="B591" s="93">
        <f>IFERROR(MONTH($A591),"")</f>
        <v/>
      </c>
      <c r="D591" s="46" t="n"/>
      <c r="E591" s="46" t="n"/>
      <c r="G591" s="94">
        <f>IFERROR(($E591-$D591)*24-$F591,"")</f>
        <v/>
      </c>
    </row>
    <row r="592">
      <c r="A592" s="44" t="n"/>
      <c r="B592" s="93">
        <f>IFERROR(MONTH($A592),"")</f>
        <v/>
      </c>
      <c r="D592" s="46" t="n"/>
      <c r="E592" s="46" t="n"/>
      <c r="G592" s="94">
        <f>IFERROR(($E592-$D592)*24-$F592,"")</f>
        <v/>
      </c>
    </row>
    <row r="593">
      <c r="A593" s="44" t="n"/>
      <c r="B593" s="93">
        <f>IFERROR(MONTH($A593),"")</f>
        <v/>
      </c>
      <c r="D593" s="46" t="n"/>
      <c r="E593" s="46" t="n"/>
      <c r="G593" s="94">
        <f>IFERROR(($E593-$D593)*24-$F593,"")</f>
        <v/>
      </c>
    </row>
    <row r="594">
      <c r="A594" s="44" t="n"/>
      <c r="B594" s="93">
        <f>IFERROR(MONTH($A594),"")</f>
        <v/>
      </c>
      <c r="D594" s="46" t="n"/>
      <c r="E594" s="46" t="n"/>
      <c r="G594" s="94">
        <f>IFERROR(($E594-$D594)*24-$F594,"")</f>
        <v/>
      </c>
    </row>
    <row r="595">
      <c r="A595" s="44" t="n"/>
      <c r="B595" s="93">
        <f>IFERROR(MONTH($A595),"")</f>
        <v/>
      </c>
      <c r="D595" s="46" t="n"/>
      <c r="E595" s="46" t="n"/>
      <c r="G595" s="94">
        <f>IFERROR(($E595-$D595)*24-$F595,"")</f>
        <v/>
      </c>
    </row>
    <row r="596">
      <c r="A596" s="44" t="n"/>
      <c r="B596" s="93">
        <f>IFERROR(MONTH($A596),"")</f>
        <v/>
      </c>
      <c r="D596" s="46" t="n"/>
      <c r="E596" s="46" t="n"/>
      <c r="G596" s="94">
        <f>IFERROR(($E596-$D596)*24-$F596,"")</f>
        <v/>
      </c>
    </row>
    <row r="597">
      <c r="A597" s="44" t="n"/>
      <c r="B597" s="93">
        <f>IFERROR(MONTH($A597),"")</f>
        <v/>
      </c>
      <c r="D597" s="46" t="n"/>
      <c r="E597" s="46" t="n"/>
      <c r="G597" s="94">
        <f>IFERROR(($E597-$D597)*24-$F597,"")</f>
        <v/>
      </c>
    </row>
    <row r="598">
      <c r="A598" s="44" t="n"/>
      <c r="B598" s="93">
        <f>IFERROR(MONTH($A598),"")</f>
        <v/>
      </c>
      <c r="D598" s="46" t="n"/>
      <c r="E598" s="46" t="n"/>
      <c r="G598" s="94">
        <f>IFERROR(($E598-$D598)*24-$F598,"")</f>
        <v/>
      </c>
    </row>
    <row r="599">
      <c r="A599" s="44" t="n"/>
      <c r="B599" s="93">
        <f>IFERROR(MONTH($A599),"")</f>
        <v/>
      </c>
      <c r="D599" s="46" t="n"/>
      <c r="E599" s="46" t="n"/>
      <c r="G599" s="94">
        <f>IFERROR(($E599-$D599)*24-$F599,"")</f>
        <v/>
      </c>
    </row>
    <row r="600">
      <c r="A600" s="44" t="n"/>
      <c r="B600" s="93">
        <f>IFERROR(MONTH($A600),"")</f>
        <v/>
      </c>
      <c r="D600" s="46" t="n"/>
      <c r="E600" s="46" t="n"/>
      <c r="G600" s="94">
        <f>IFERROR(($E600-$D600)*24-$F600,"")</f>
        <v/>
      </c>
    </row>
    <row r="601">
      <c r="A601" s="44" t="n"/>
      <c r="B601" s="93">
        <f>IFERROR(MONTH($A601),"")</f>
        <v/>
      </c>
      <c r="D601" s="46" t="n"/>
      <c r="E601" s="46" t="n"/>
      <c r="G601" s="94">
        <f>IFERROR(($E601-$D601)*24-$F601,"")</f>
        <v/>
      </c>
    </row>
    <row r="602">
      <c r="A602" s="44" t="n"/>
      <c r="B602" s="93">
        <f>IFERROR(MONTH($A602),"")</f>
        <v/>
      </c>
      <c r="D602" s="46" t="n"/>
      <c r="E602" s="46" t="n"/>
      <c r="G602" s="94">
        <f>IFERROR(($E602-$D602)*24-$F602,"")</f>
        <v/>
      </c>
    </row>
    <row r="603">
      <c r="A603" s="44" t="n"/>
      <c r="B603" s="93">
        <f>IFERROR(MONTH($A603),"")</f>
        <v/>
      </c>
      <c r="D603" s="46" t="n"/>
      <c r="E603" s="46" t="n"/>
      <c r="G603" s="94">
        <f>IFERROR(($E603-$D603)*24-$F603,"")</f>
        <v/>
      </c>
    </row>
    <row r="604">
      <c r="A604" s="44" t="n"/>
      <c r="B604" s="93">
        <f>IFERROR(MONTH($A604),"")</f>
        <v/>
      </c>
      <c r="D604" s="46" t="n"/>
      <c r="E604" s="46" t="n"/>
      <c r="G604" s="94">
        <f>IFERROR(($E604-$D604)*24-$F604,"")</f>
        <v/>
      </c>
    </row>
    <row r="605">
      <c r="A605" s="44" t="n"/>
      <c r="B605" s="93">
        <f>IFERROR(MONTH($A605),"")</f>
        <v/>
      </c>
      <c r="D605" s="46" t="n"/>
      <c r="E605" s="46" t="n"/>
      <c r="G605" s="94">
        <f>IFERROR(($E605-$D605)*24-$F605,"")</f>
        <v/>
      </c>
    </row>
    <row r="606">
      <c r="A606" s="44" t="n"/>
      <c r="B606" s="93">
        <f>IFERROR(MONTH($A606),"")</f>
        <v/>
      </c>
      <c r="D606" s="46" t="n"/>
      <c r="E606" s="46" t="n"/>
      <c r="G606" s="94">
        <f>IFERROR(($E606-$D606)*24-$F606,"")</f>
        <v/>
      </c>
    </row>
    <row r="607">
      <c r="A607" s="44" t="n"/>
      <c r="B607" s="93">
        <f>IFERROR(MONTH($A607),"")</f>
        <v/>
      </c>
      <c r="D607" s="46" t="n"/>
      <c r="E607" s="46" t="n"/>
      <c r="G607" s="94">
        <f>IFERROR(($E607-$D607)*24-$F607,"")</f>
        <v/>
      </c>
    </row>
    <row r="608">
      <c r="A608" s="44" t="n"/>
      <c r="B608" s="93">
        <f>IFERROR(MONTH($A608),"")</f>
        <v/>
      </c>
      <c r="D608" s="46" t="n"/>
      <c r="E608" s="46" t="n"/>
      <c r="G608" s="94">
        <f>IFERROR(($E608-$D608)*24-$F608,"")</f>
        <v/>
      </c>
    </row>
    <row r="609">
      <c r="A609" s="44" t="n"/>
      <c r="B609" s="93">
        <f>IFERROR(MONTH($A609),"")</f>
        <v/>
      </c>
      <c r="D609" s="46" t="n"/>
      <c r="E609" s="46" t="n"/>
      <c r="G609" s="94">
        <f>IFERROR(($E609-$D609)*24-$F609,"")</f>
        <v/>
      </c>
    </row>
    <row r="610">
      <c r="A610" s="44" t="n"/>
      <c r="B610" s="93">
        <f>IFERROR(MONTH($A610),"")</f>
        <v/>
      </c>
      <c r="D610" s="46" t="n"/>
      <c r="E610" s="46" t="n"/>
      <c r="G610" s="94">
        <f>IFERROR(($E610-$D610)*24-$F610,"")</f>
        <v/>
      </c>
    </row>
    <row r="611">
      <c r="A611" s="44" t="n"/>
      <c r="B611" s="93">
        <f>IFERROR(MONTH($A611),"")</f>
        <v/>
      </c>
      <c r="D611" s="46" t="n"/>
      <c r="E611" s="46" t="n"/>
      <c r="G611" s="94">
        <f>IFERROR(($E611-$D611)*24-$F611,"")</f>
        <v/>
      </c>
    </row>
    <row r="612">
      <c r="A612" s="44" t="n"/>
      <c r="B612" s="93">
        <f>IFERROR(MONTH($A612),"")</f>
        <v/>
      </c>
      <c r="D612" s="46" t="n"/>
      <c r="E612" s="46" t="n"/>
      <c r="G612" s="94">
        <f>IFERROR(($E612-$D612)*24-$F612,"")</f>
        <v/>
      </c>
    </row>
    <row r="613">
      <c r="A613" s="44" t="n"/>
      <c r="B613" s="93">
        <f>IFERROR(MONTH($A613),"")</f>
        <v/>
      </c>
      <c r="D613" s="46" t="n"/>
      <c r="E613" s="46" t="n"/>
      <c r="G613" s="94">
        <f>IFERROR(($E613-$D613)*24-$F613,"")</f>
        <v/>
      </c>
    </row>
    <row r="614">
      <c r="A614" s="44" t="n"/>
      <c r="B614" s="93">
        <f>IFERROR(MONTH($A614),"")</f>
        <v/>
      </c>
      <c r="D614" s="46" t="n"/>
      <c r="E614" s="46" t="n"/>
      <c r="G614" s="94">
        <f>IFERROR(($E614-$D614)*24-$F614,"")</f>
        <v/>
      </c>
    </row>
    <row r="615">
      <c r="A615" s="44" t="n"/>
      <c r="B615" s="93">
        <f>IFERROR(MONTH($A615),"")</f>
        <v/>
      </c>
      <c r="D615" s="46" t="n"/>
      <c r="E615" s="46" t="n"/>
      <c r="G615" s="94">
        <f>IFERROR(($E615-$D615)*24-$F615,"")</f>
        <v/>
      </c>
    </row>
    <row r="616">
      <c r="A616" s="44" t="n"/>
      <c r="B616" s="93">
        <f>IFERROR(MONTH($A616),"")</f>
        <v/>
      </c>
      <c r="D616" s="46" t="n"/>
      <c r="E616" s="46" t="n"/>
      <c r="G616" s="94">
        <f>IFERROR(($E616-$D616)*24-$F616,"")</f>
        <v/>
      </c>
    </row>
    <row r="617">
      <c r="A617" s="44" t="n"/>
      <c r="B617" s="93">
        <f>IFERROR(MONTH($A617),"")</f>
        <v/>
      </c>
      <c r="D617" s="46" t="n"/>
      <c r="E617" s="46" t="n"/>
      <c r="G617" s="94">
        <f>IFERROR(($E617-$D617)*24-$F617,"")</f>
        <v/>
      </c>
    </row>
    <row r="618">
      <c r="A618" s="44" t="n"/>
      <c r="B618" s="93">
        <f>IFERROR(MONTH($A618),"")</f>
        <v/>
      </c>
      <c r="D618" s="46" t="n"/>
      <c r="E618" s="46" t="n"/>
      <c r="G618" s="94">
        <f>IFERROR(($E618-$D618)*24-$F618,"")</f>
        <v/>
      </c>
    </row>
    <row r="619">
      <c r="A619" s="44" t="n"/>
      <c r="B619" s="93">
        <f>IFERROR(MONTH($A619),"")</f>
        <v/>
      </c>
      <c r="D619" s="46" t="n"/>
      <c r="E619" s="46" t="n"/>
      <c r="G619" s="94">
        <f>IFERROR(($E619-$D619)*24-$F619,"")</f>
        <v/>
      </c>
    </row>
    <row r="620">
      <c r="A620" s="44" t="n"/>
      <c r="B620" s="93">
        <f>IFERROR(MONTH($A620),"")</f>
        <v/>
      </c>
      <c r="D620" s="46" t="n"/>
      <c r="E620" s="46" t="n"/>
      <c r="G620" s="94">
        <f>IFERROR(($E620-$D620)*24-$F620,"")</f>
        <v/>
      </c>
    </row>
    <row r="621">
      <c r="A621" s="44" t="n"/>
      <c r="B621" s="93">
        <f>IFERROR(MONTH($A621),"")</f>
        <v/>
      </c>
      <c r="D621" s="46" t="n"/>
      <c r="E621" s="46" t="n"/>
      <c r="G621" s="94">
        <f>IFERROR(($E621-$D621)*24-$F621,"")</f>
        <v/>
      </c>
    </row>
    <row r="622">
      <c r="A622" s="44" t="n"/>
      <c r="B622" s="93">
        <f>IFERROR(MONTH($A622),"")</f>
        <v/>
      </c>
      <c r="D622" s="46" t="n"/>
      <c r="E622" s="46" t="n"/>
      <c r="G622" s="94">
        <f>IFERROR(($E622-$D622)*24-$F622,"")</f>
        <v/>
      </c>
    </row>
    <row r="623">
      <c r="A623" s="44" t="n"/>
      <c r="B623" s="93">
        <f>IFERROR(MONTH($A623),"")</f>
        <v/>
      </c>
      <c r="D623" s="46" t="n"/>
      <c r="E623" s="46" t="n"/>
      <c r="G623" s="94">
        <f>IFERROR(($E623-$D623)*24-$F623,"")</f>
        <v/>
      </c>
    </row>
    <row r="624">
      <c r="A624" s="44" t="n"/>
      <c r="B624" s="93">
        <f>IFERROR(MONTH($A624),"")</f>
        <v/>
      </c>
      <c r="D624" s="46" t="n"/>
      <c r="E624" s="46" t="n"/>
      <c r="G624" s="94">
        <f>IFERROR(($E624-$D624)*24-$F624,"")</f>
        <v/>
      </c>
    </row>
    <row r="625">
      <c r="A625" s="44" t="n"/>
      <c r="B625" s="93">
        <f>IFERROR(MONTH($A625),"")</f>
        <v/>
      </c>
      <c r="D625" s="46" t="n"/>
      <c r="E625" s="46" t="n"/>
      <c r="G625" s="94">
        <f>IFERROR(($E625-$D625)*24-$F625,"")</f>
        <v/>
      </c>
    </row>
    <row r="626">
      <c r="A626" s="44" t="n"/>
      <c r="B626" s="93">
        <f>IFERROR(MONTH($A626),"")</f>
        <v/>
      </c>
      <c r="D626" s="46" t="n"/>
      <c r="E626" s="46" t="n"/>
      <c r="G626" s="94">
        <f>IFERROR(($E626-$D626)*24-$F626,"")</f>
        <v/>
      </c>
    </row>
    <row r="627">
      <c r="A627" s="44" t="n"/>
      <c r="B627" s="93">
        <f>IFERROR(MONTH($A627),"")</f>
        <v/>
      </c>
      <c r="D627" s="46" t="n"/>
      <c r="E627" s="46" t="n"/>
      <c r="G627" s="94">
        <f>IFERROR(($E627-$D627)*24-$F627,"")</f>
        <v/>
      </c>
    </row>
    <row r="628">
      <c r="A628" s="44" t="n"/>
      <c r="B628" s="93">
        <f>IFERROR(MONTH($A628),"")</f>
        <v/>
      </c>
      <c r="D628" s="46" t="n"/>
      <c r="E628" s="46" t="n"/>
      <c r="G628" s="94">
        <f>IFERROR(($E628-$D628)*24-$F628,"")</f>
        <v/>
      </c>
    </row>
    <row r="629">
      <c r="A629" s="44" t="n"/>
      <c r="B629" s="93">
        <f>IFERROR(MONTH($A629),"")</f>
        <v/>
      </c>
      <c r="D629" s="46" t="n"/>
      <c r="E629" s="46" t="n"/>
      <c r="G629" s="94">
        <f>IFERROR(($E629-$D629)*24-$F629,"")</f>
        <v/>
      </c>
    </row>
    <row r="630">
      <c r="A630" s="44" t="n"/>
      <c r="B630" s="93">
        <f>IFERROR(MONTH($A630),"")</f>
        <v/>
      </c>
      <c r="D630" s="46" t="n"/>
      <c r="E630" s="46" t="n"/>
      <c r="G630" s="94">
        <f>IFERROR(($E630-$D630)*24-$F630,"")</f>
        <v/>
      </c>
    </row>
    <row r="631">
      <c r="A631" s="44" t="n"/>
      <c r="B631" s="93">
        <f>IFERROR(MONTH($A631),"")</f>
        <v/>
      </c>
      <c r="D631" s="46" t="n"/>
      <c r="E631" s="46" t="n"/>
      <c r="G631" s="94">
        <f>IFERROR(($E631-$D631)*24-$F631,"")</f>
        <v/>
      </c>
    </row>
    <row r="632">
      <c r="A632" s="44" t="n"/>
      <c r="B632" s="93">
        <f>IFERROR(MONTH($A632),"")</f>
        <v/>
      </c>
      <c r="D632" s="46" t="n"/>
      <c r="E632" s="46" t="n"/>
      <c r="G632" s="94">
        <f>IFERROR(($E632-$D632)*24-$F632,"")</f>
        <v/>
      </c>
    </row>
    <row r="633">
      <c r="A633" s="44" t="n"/>
      <c r="B633" s="93">
        <f>IFERROR(MONTH($A633),"")</f>
        <v/>
      </c>
      <c r="D633" s="46" t="n"/>
      <c r="E633" s="46" t="n"/>
      <c r="G633" s="94">
        <f>IFERROR(($E633-$D633)*24-$F633,"")</f>
        <v/>
      </c>
    </row>
    <row r="634">
      <c r="A634" s="44" t="n"/>
      <c r="B634" s="93">
        <f>IFERROR(MONTH($A634),"")</f>
        <v/>
      </c>
      <c r="D634" s="46" t="n"/>
      <c r="E634" s="46" t="n"/>
      <c r="G634" s="94">
        <f>IFERROR(($E634-$D634)*24-$F634,"")</f>
        <v/>
      </c>
    </row>
    <row r="635">
      <c r="A635" s="44" t="n"/>
      <c r="B635" s="93">
        <f>IFERROR(MONTH($A635),"")</f>
        <v/>
      </c>
      <c r="D635" s="46" t="n"/>
      <c r="E635" s="46" t="n"/>
      <c r="G635" s="94">
        <f>IFERROR(($E635-$D635)*24-$F635,"")</f>
        <v/>
      </c>
    </row>
    <row r="636">
      <c r="A636" s="44" t="n"/>
      <c r="B636" s="93">
        <f>IFERROR(MONTH($A636),"")</f>
        <v/>
      </c>
      <c r="D636" s="46" t="n"/>
      <c r="E636" s="46" t="n"/>
      <c r="G636" s="94">
        <f>IFERROR(($E636-$D636)*24-$F636,"")</f>
        <v/>
      </c>
    </row>
    <row r="637">
      <c r="A637" s="44" t="n"/>
      <c r="B637" s="93">
        <f>IFERROR(MONTH($A637),"")</f>
        <v/>
      </c>
      <c r="D637" s="46" t="n"/>
      <c r="E637" s="46" t="n"/>
      <c r="G637" s="94">
        <f>IFERROR(($E637-$D637)*24-$F637,"")</f>
        <v/>
      </c>
    </row>
    <row r="638">
      <c r="A638" s="44" t="n"/>
      <c r="B638" s="93">
        <f>IFERROR(MONTH($A638),"")</f>
        <v/>
      </c>
      <c r="D638" s="46" t="n"/>
      <c r="E638" s="46" t="n"/>
      <c r="G638" s="94">
        <f>IFERROR(($E638-$D638)*24-$F638,"")</f>
        <v/>
      </c>
    </row>
    <row r="639">
      <c r="A639" s="44" t="n"/>
      <c r="B639" s="93">
        <f>IFERROR(MONTH($A639),"")</f>
        <v/>
      </c>
      <c r="D639" s="46" t="n"/>
      <c r="E639" s="46" t="n"/>
      <c r="G639" s="94">
        <f>IFERROR(($E639-$D639)*24-$F639,"")</f>
        <v/>
      </c>
    </row>
    <row r="640">
      <c r="A640" s="44" t="n"/>
      <c r="B640" s="93">
        <f>IFERROR(MONTH($A640),"")</f>
        <v/>
      </c>
      <c r="D640" s="46" t="n"/>
      <c r="E640" s="46" t="n"/>
      <c r="G640" s="94">
        <f>IFERROR(($E640-$D640)*24-$F640,"")</f>
        <v/>
      </c>
    </row>
    <row r="641">
      <c r="A641" s="44" t="n"/>
      <c r="B641" s="93">
        <f>IFERROR(MONTH($A641),"")</f>
        <v/>
      </c>
      <c r="D641" s="46" t="n"/>
      <c r="E641" s="46" t="n"/>
      <c r="G641" s="94">
        <f>IFERROR(($E641-$D641)*24-$F641,"")</f>
        <v/>
      </c>
    </row>
    <row r="642">
      <c r="A642" s="44" t="n"/>
      <c r="B642" s="93">
        <f>IFERROR(MONTH($A642),"")</f>
        <v/>
      </c>
      <c r="D642" s="46" t="n"/>
      <c r="E642" s="46" t="n"/>
      <c r="G642" s="94">
        <f>IFERROR(($E642-$D642)*24-$F642,"")</f>
        <v/>
      </c>
    </row>
    <row r="643">
      <c r="A643" s="44" t="n"/>
      <c r="B643" s="93">
        <f>IFERROR(MONTH($A643),"")</f>
        <v/>
      </c>
      <c r="D643" s="46" t="n"/>
      <c r="E643" s="46" t="n"/>
      <c r="G643" s="94">
        <f>IFERROR(($E643-$D643)*24-$F643,"")</f>
        <v/>
      </c>
    </row>
    <row r="644">
      <c r="A644" s="44" t="n"/>
      <c r="B644" s="93">
        <f>IFERROR(MONTH($A644),"")</f>
        <v/>
      </c>
      <c r="D644" s="46" t="n"/>
      <c r="E644" s="46" t="n"/>
      <c r="G644" s="94">
        <f>IFERROR(($E644-$D644)*24-$F644,"")</f>
        <v/>
      </c>
    </row>
    <row r="645">
      <c r="A645" s="44" t="n"/>
      <c r="B645" s="93">
        <f>IFERROR(MONTH($A645),"")</f>
        <v/>
      </c>
      <c r="D645" s="46" t="n"/>
      <c r="E645" s="46" t="n"/>
      <c r="G645" s="94">
        <f>IFERROR(($E645-$D645)*24-$F645,"")</f>
        <v/>
      </c>
    </row>
    <row r="646">
      <c r="A646" s="44" t="n"/>
      <c r="B646" s="93">
        <f>IFERROR(MONTH($A646),"")</f>
        <v/>
      </c>
      <c r="D646" s="46" t="n"/>
      <c r="E646" s="46" t="n"/>
      <c r="G646" s="94">
        <f>IFERROR(($E646-$D646)*24-$F646,"")</f>
        <v/>
      </c>
    </row>
    <row r="647">
      <c r="A647" s="44" t="n"/>
      <c r="B647" s="93">
        <f>IFERROR(MONTH($A647),"")</f>
        <v/>
      </c>
      <c r="D647" s="46" t="n"/>
      <c r="E647" s="46" t="n"/>
      <c r="G647" s="94">
        <f>IFERROR(($E647-$D647)*24-$F647,"")</f>
        <v/>
      </c>
    </row>
    <row r="648">
      <c r="A648" s="44" t="n"/>
      <c r="B648" s="93">
        <f>IFERROR(MONTH($A648),"")</f>
        <v/>
      </c>
      <c r="D648" s="46" t="n"/>
      <c r="E648" s="46" t="n"/>
      <c r="G648" s="94">
        <f>IFERROR(($E648-$D648)*24-$F648,"")</f>
        <v/>
      </c>
    </row>
    <row r="649">
      <c r="A649" s="44" t="n"/>
      <c r="B649" s="93">
        <f>IFERROR(MONTH($A649),"")</f>
        <v/>
      </c>
      <c r="D649" s="46" t="n"/>
      <c r="E649" s="46" t="n"/>
      <c r="G649" s="94">
        <f>IFERROR(($E649-$D649)*24-$F649,"")</f>
        <v/>
      </c>
    </row>
    <row r="650">
      <c r="A650" s="44" t="n"/>
      <c r="B650" s="93">
        <f>IFERROR(MONTH($A650),"")</f>
        <v/>
      </c>
      <c r="D650" s="46" t="n"/>
      <c r="E650" s="46" t="n"/>
      <c r="G650" s="94">
        <f>IFERROR(($E650-$D650)*24-$F650,"")</f>
        <v/>
      </c>
    </row>
    <row r="651">
      <c r="A651" s="44" t="n"/>
      <c r="B651" s="93">
        <f>IFERROR(MONTH($A651),"")</f>
        <v/>
      </c>
      <c r="D651" s="46" t="n"/>
      <c r="E651" s="46" t="n"/>
      <c r="G651" s="94">
        <f>IFERROR(($E651-$D651)*24-$F651,"")</f>
        <v/>
      </c>
    </row>
    <row r="652">
      <c r="A652" s="44" t="n"/>
      <c r="B652" s="93">
        <f>IFERROR(MONTH($A652),"")</f>
        <v/>
      </c>
      <c r="D652" s="46" t="n"/>
      <c r="E652" s="46" t="n"/>
      <c r="G652" s="94">
        <f>IFERROR(($E652-$D652)*24-$F652,"")</f>
        <v/>
      </c>
    </row>
    <row r="653">
      <c r="A653" s="44" t="n"/>
      <c r="B653" s="93">
        <f>IFERROR(MONTH($A653),"")</f>
        <v/>
      </c>
      <c r="D653" s="46" t="n"/>
      <c r="E653" s="46" t="n"/>
      <c r="G653" s="94">
        <f>IFERROR(($E653-$D653)*24-$F653,"")</f>
        <v/>
      </c>
    </row>
    <row r="654">
      <c r="A654" s="44" t="n"/>
      <c r="B654" s="93">
        <f>IFERROR(MONTH($A654),"")</f>
        <v/>
      </c>
      <c r="D654" s="46" t="n"/>
      <c r="E654" s="46" t="n"/>
      <c r="G654" s="94">
        <f>IFERROR(($E654-$D654)*24-$F654,"")</f>
        <v/>
      </c>
    </row>
    <row r="655">
      <c r="A655" s="44" t="n"/>
      <c r="B655" s="93">
        <f>IFERROR(MONTH($A655),"")</f>
        <v/>
      </c>
      <c r="D655" s="46" t="n"/>
      <c r="E655" s="46" t="n"/>
      <c r="G655" s="94">
        <f>IFERROR(($E655-$D655)*24-$F655,"")</f>
        <v/>
      </c>
    </row>
    <row r="656">
      <c r="A656" s="44" t="n"/>
      <c r="B656" s="93">
        <f>IFERROR(MONTH($A656),"")</f>
        <v/>
      </c>
      <c r="D656" s="46" t="n"/>
      <c r="E656" s="46" t="n"/>
      <c r="G656" s="94">
        <f>IFERROR(($E656-$D656)*24-$F656,"")</f>
        <v/>
      </c>
    </row>
    <row r="657">
      <c r="A657" s="44" t="n"/>
      <c r="B657" s="93">
        <f>IFERROR(MONTH($A657),"")</f>
        <v/>
      </c>
      <c r="D657" s="46" t="n"/>
      <c r="E657" s="46" t="n"/>
      <c r="G657" s="94">
        <f>IFERROR(($E657-$D657)*24-$F657,"")</f>
        <v/>
      </c>
    </row>
    <row r="658">
      <c r="A658" s="44" t="n"/>
      <c r="B658" s="93">
        <f>IFERROR(MONTH($A658),"")</f>
        <v/>
      </c>
      <c r="D658" s="46" t="n"/>
      <c r="E658" s="46" t="n"/>
      <c r="G658" s="94">
        <f>IFERROR(($E658-$D658)*24-$F658,"")</f>
        <v/>
      </c>
    </row>
    <row r="659">
      <c r="A659" s="44" t="n"/>
      <c r="B659" s="93">
        <f>IFERROR(MONTH($A659),"")</f>
        <v/>
      </c>
      <c r="D659" s="46" t="n"/>
      <c r="E659" s="46" t="n"/>
      <c r="G659" s="94">
        <f>IFERROR(($E659-$D659)*24-$F659,"")</f>
        <v/>
      </c>
    </row>
    <row r="660">
      <c r="A660" s="44" t="n"/>
      <c r="B660" s="93">
        <f>IFERROR(MONTH($A660),"")</f>
        <v/>
      </c>
      <c r="D660" s="46" t="n"/>
      <c r="E660" s="46" t="n"/>
      <c r="G660" s="94">
        <f>IFERROR(($E660-$D660)*24-$F660,"")</f>
        <v/>
      </c>
    </row>
    <row r="661">
      <c r="A661" s="44" t="n"/>
      <c r="B661" s="93">
        <f>IFERROR(MONTH($A661),"")</f>
        <v/>
      </c>
      <c r="D661" s="46" t="n"/>
      <c r="E661" s="46" t="n"/>
      <c r="G661" s="94">
        <f>IFERROR(($E661-$D661)*24-$F661,"")</f>
        <v/>
      </c>
    </row>
    <row r="662">
      <c r="A662" s="44" t="n"/>
      <c r="B662" s="93">
        <f>IFERROR(MONTH($A662),"")</f>
        <v/>
      </c>
      <c r="D662" s="46" t="n"/>
      <c r="E662" s="46" t="n"/>
      <c r="G662" s="94">
        <f>IFERROR(($E662-$D662)*24-$F662,"")</f>
        <v/>
      </c>
    </row>
    <row r="663">
      <c r="A663" s="44" t="n"/>
      <c r="B663" s="93">
        <f>IFERROR(MONTH($A663),"")</f>
        <v/>
      </c>
      <c r="D663" s="46" t="n"/>
      <c r="E663" s="46" t="n"/>
      <c r="G663" s="94">
        <f>IFERROR(($E663-$D663)*24-$F663,"")</f>
        <v/>
      </c>
    </row>
    <row r="664">
      <c r="A664" s="44" t="n"/>
      <c r="B664" s="93">
        <f>IFERROR(MONTH($A664),"")</f>
        <v/>
      </c>
      <c r="D664" s="46" t="n"/>
      <c r="E664" s="46" t="n"/>
      <c r="G664" s="94">
        <f>IFERROR(($E664-$D664)*24-$F664,"")</f>
        <v/>
      </c>
    </row>
    <row r="665">
      <c r="A665" s="44" t="n"/>
      <c r="B665" s="93">
        <f>IFERROR(MONTH($A665),"")</f>
        <v/>
      </c>
      <c r="D665" s="46" t="n"/>
      <c r="E665" s="46" t="n"/>
      <c r="G665" s="94">
        <f>IFERROR(($E665-$D665)*24-$F665,"")</f>
        <v/>
      </c>
    </row>
    <row r="666">
      <c r="A666" s="44" t="n"/>
      <c r="B666" s="93">
        <f>IFERROR(MONTH($A666),"")</f>
        <v/>
      </c>
      <c r="D666" s="46" t="n"/>
      <c r="E666" s="46" t="n"/>
      <c r="G666" s="94">
        <f>IFERROR(($E666-$D666)*24-$F666,"")</f>
        <v/>
      </c>
    </row>
    <row r="667">
      <c r="A667" s="44" t="n"/>
      <c r="B667" s="93">
        <f>IFERROR(MONTH($A667),"")</f>
        <v/>
      </c>
      <c r="D667" s="46" t="n"/>
      <c r="E667" s="46" t="n"/>
      <c r="G667" s="94">
        <f>IFERROR(($E667-$D667)*24-$F667,"")</f>
        <v/>
      </c>
    </row>
    <row r="668">
      <c r="A668" s="44" t="n"/>
      <c r="B668" s="93">
        <f>IFERROR(MONTH($A668),"")</f>
        <v/>
      </c>
      <c r="D668" s="46" t="n"/>
      <c r="E668" s="46" t="n"/>
      <c r="G668" s="94">
        <f>IFERROR(($E668-$D668)*24-$F668,"")</f>
        <v/>
      </c>
    </row>
    <row r="669">
      <c r="A669" s="44" t="n"/>
      <c r="B669" s="93">
        <f>IFERROR(MONTH($A669),"")</f>
        <v/>
      </c>
      <c r="D669" s="46" t="n"/>
      <c r="E669" s="46" t="n"/>
      <c r="G669" s="94">
        <f>IFERROR(($E669-$D669)*24-$F669,"")</f>
        <v/>
      </c>
    </row>
    <row r="670">
      <c r="A670" s="44" t="n"/>
      <c r="B670" s="93">
        <f>IFERROR(MONTH($A670),"")</f>
        <v/>
      </c>
      <c r="D670" s="46" t="n"/>
      <c r="E670" s="46" t="n"/>
      <c r="G670" s="94">
        <f>IFERROR(($E670-$D670)*24-$F670,"")</f>
        <v/>
      </c>
    </row>
    <row r="671">
      <c r="A671" s="44" t="n"/>
      <c r="B671" s="93">
        <f>IFERROR(MONTH($A671),"")</f>
        <v/>
      </c>
      <c r="D671" s="46" t="n"/>
      <c r="E671" s="46" t="n"/>
      <c r="G671" s="94">
        <f>IFERROR(($E671-$D671)*24-$F671,"")</f>
        <v/>
      </c>
    </row>
    <row r="672">
      <c r="A672" s="44" t="n"/>
      <c r="B672" s="93">
        <f>IFERROR(MONTH($A672),"")</f>
        <v/>
      </c>
      <c r="D672" s="46" t="n"/>
      <c r="E672" s="46" t="n"/>
      <c r="G672" s="94">
        <f>IFERROR(($E672-$D672)*24-$F672,"")</f>
        <v/>
      </c>
    </row>
    <row r="673">
      <c r="A673" s="44" t="n"/>
      <c r="B673" s="93">
        <f>IFERROR(MONTH($A673),"")</f>
        <v/>
      </c>
      <c r="D673" s="46" t="n"/>
      <c r="E673" s="46" t="n"/>
      <c r="G673" s="94">
        <f>IFERROR(($E673-$D673)*24-$F673,"")</f>
        <v/>
      </c>
    </row>
    <row r="674">
      <c r="A674" s="44" t="n"/>
      <c r="B674" s="93">
        <f>IFERROR(MONTH($A674),"")</f>
        <v/>
      </c>
      <c r="D674" s="46" t="n"/>
      <c r="E674" s="46" t="n"/>
      <c r="G674" s="94">
        <f>IFERROR(($E674-$D674)*24-$F674,"")</f>
        <v/>
      </c>
    </row>
    <row r="675">
      <c r="A675" s="44" t="n"/>
      <c r="B675" s="93">
        <f>IFERROR(MONTH($A675),"")</f>
        <v/>
      </c>
      <c r="D675" s="46" t="n"/>
      <c r="E675" s="46" t="n"/>
      <c r="G675" s="94">
        <f>IFERROR(($E675-$D675)*24-$F675,"")</f>
        <v/>
      </c>
    </row>
    <row r="676">
      <c r="A676" s="44" t="n"/>
      <c r="B676" s="93">
        <f>IFERROR(MONTH($A676),"")</f>
        <v/>
      </c>
      <c r="D676" s="46" t="n"/>
      <c r="E676" s="46" t="n"/>
      <c r="G676" s="94">
        <f>IFERROR(($E676-$D676)*24-$F676,"")</f>
        <v/>
      </c>
    </row>
    <row r="677">
      <c r="A677" s="44" t="n"/>
      <c r="B677" s="93">
        <f>IFERROR(MONTH($A677),"")</f>
        <v/>
      </c>
      <c r="D677" s="46" t="n"/>
      <c r="E677" s="46" t="n"/>
      <c r="G677" s="94">
        <f>IFERROR(($E677-$D677)*24-$F677,"")</f>
        <v/>
      </c>
    </row>
    <row r="678">
      <c r="A678" s="44" t="n"/>
      <c r="B678" s="93">
        <f>IFERROR(MONTH($A678),"")</f>
        <v/>
      </c>
      <c r="D678" s="46" t="n"/>
      <c r="E678" s="46" t="n"/>
      <c r="G678" s="94">
        <f>IFERROR(($E678-$D678)*24-$F678,"")</f>
        <v/>
      </c>
    </row>
    <row r="679">
      <c r="A679" s="44" t="n"/>
      <c r="B679" s="93">
        <f>IFERROR(MONTH($A679),"")</f>
        <v/>
      </c>
      <c r="D679" s="46" t="n"/>
      <c r="E679" s="46" t="n"/>
      <c r="G679" s="94">
        <f>IFERROR(($E679-$D679)*24-$F679,"")</f>
        <v/>
      </c>
    </row>
    <row r="680">
      <c r="A680" s="44" t="n"/>
      <c r="B680" s="93">
        <f>IFERROR(MONTH($A680),"")</f>
        <v/>
      </c>
      <c r="D680" s="46" t="n"/>
      <c r="E680" s="46" t="n"/>
      <c r="G680" s="94">
        <f>IFERROR(($E680-$D680)*24-$F680,"")</f>
        <v/>
      </c>
    </row>
    <row r="681">
      <c r="A681" s="44" t="n"/>
      <c r="B681" s="93">
        <f>IFERROR(MONTH($A681),"")</f>
        <v/>
      </c>
      <c r="D681" s="46" t="n"/>
      <c r="E681" s="46" t="n"/>
      <c r="G681" s="94">
        <f>IFERROR(($E681-$D681)*24-$F681,"")</f>
        <v/>
      </c>
    </row>
    <row r="682">
      <c r="A682" s="44" t="n"/>
      <c r="B682" s="93">
        <f>IFERROR(MONTH($A682),"")</f>
        <v/>
      </c>
      <c r="D682" s="46" t="n"/>
      <c r="E682" s="46" t="n"/>
      <c r="G682" s="94">
        <f>IFERROR(($E682-$D682)*24-$F682,"")</f>
        <v/>
      </c>
    </row>
    <row r="683">
      <c r="A683" s="44" t="n"/>
      <c r="B683" s="93">
        <f>IFERROR(MONTH($A683),"")</f>
        <v/>
      </c>
      <c r="D683" s="46" t="n"/>
      <c r="E683" s="46" t="n"/>
      <c r="G683" s="94">
        <f>IFERROR(($E683-$D683)*24-$F683,"")</f>
        <v/>
      </c>
    </row>
    <row r="684">
      <c r="A684" s="44" t="n"/>
      <c r="B684" s="93">
        <f>IFERROR(MONTH($A684),"")</f>
        <v/>
      </c>
      <c r="D684" s="46" t="n"/>
      <c r="E684" s="46" t="n"/>
      <c r="G684" s="94">
        <f>IFERROR(($E684-$D684)*24-$F684,"")</f>
        <v/>
      </c>
    </row>
    <row r="685">
      <c r="A685" s="44" t="n"/>
      <c r="B685" s="93">
        <f>IFERROR(MONTH($A685),"")</f>
        <v/>
      </c>
      <c r="D685" s="46" t="n"/>
      <c r="E685" s="46" t="n"/>
      <c r="G685" s="94">
        <f>IFERROR(($E685-$D685)*24-$F685,"")</f>
        <v/>
      </c>
    </row>
    <row r="686">
      <c r="A686" s="44" t="n"/>
      <c r="B686" s="93">
        <f>IFERROR(MONTH($A686),"")</f>
        <v/>
      </c>
      <c r="D686" s="46" t="n"/>
      <c r="E686" s="46" t="n"/>
      <c r="G686" s="94">
        <f>IFERROR(($E686-$D686)*24-$F686,"")</f>
        <v/>
      </c>
    </row>
    <row r="687">
      <c r="A687" s="44" t="n"/>
      <c r="B687" s="93">
        <f>IFERROR(MONTH($A687),"")</f>
        <v/>
      </c>
      <c r="D687" s="46" t="n"/>
      <c r="E687" s="46" t="n"/>
      <c r="G687" s="94">
        <f>IFERROR(($E687-$D687)*24-$F687,"")</f>
        <v/>
      </c>
    </row>
    <row r="688">
      <c r="A688" s="44" t="n"/>
      <c r="B688" s="93">
        <f>IFERROR(MONTH($A688),"")</f>
        <v/>
      </c>
      <c r="D688" s="46" t="n"/>
      <c r="E688" s="46" t="n"/>
      <c r="G688" s="94">
        <f>IFERROR(($E688-$D688)*24-$F688,"")</f>
        <v/>
      </c>
    </row>
    <row r="689">
      <c r="A689" s="44" t="n"/>
      <c r="B689" s="93">
        <f>IFERROR(MONTH($A689),"")</f>
        <v/>
      </c>
      <c r="D689" s="46" t="n"/>
      <c r="E689" s="46" t="n"/>
      <c r="G689" s="94">
        <f>IFERROR(($E689-$D689)*24-$F689,"")</f>
        <v/>
      </c>
    </row>
    <row r="690">
      <c r="A690" s="44" t="n"/>
      <c r="B690" s="93">
        <f>IFERROR(MONTH($A690),"")</f>
        <v/>
      </c>
      <c r="D690" s="46" t="n"/>
      <c r="E690" s="46" t="n"/>
      <c r="G690" s="94">
        <f>IFERROR(($E690-$D690)*24-$F690,"")</f>
        <v/>
      </c>
    </row>
    <row r="691">
      <c r="A691" s="44" t="n"/>
      <c r="B691" s="93">
        <f>IFERROR(MONTH($A691),"")</f>
        <v/>
      </c>
      <c r="D691" s="46" t="n"/>
      <c r="E691" s="46" t="n"/>
      <c r="G691" s="94">
        <f>IFERROR(($E691-$D691)*24-$F691,"")</f>
        <v/>
      </c>
    </row>
    <row r="692">
      <c r="A692" s="44" t="n"/>
      <c r="B692" s="93">
        <f>IFERROR(MONTH($A692),"")</f>
        <v/>
      </c>
      <c r="D692" s="46" t="n"/>
      <c r="E692" s="46" t="n"/>
      <c r="G692" s="94">
        <f>IFERROR(($E692-$D692)*24-$F692,"")</f>
        <v/>
      </c>
    </row>
    <row r="693">
      <c r="A693" s="44" t="n"/>
      <c r="B693" s="93">
        <f>IFERROR(MONTH($A693),"")</f>
        <v/>
      </c>
      <c r="D693" s="46" t="n"/>
      <c r="E693" s="46" t="n"/>
      <c r="G693" s="94">
        <f>IFERROR(($E693-$D693)*24-$F693,"")</f>
        <v/>
      </c>
    </row>
    <row r="694">
      <c r="A694" s="44" t="n"/>
      <c r="B694" s="93">
        <f>IFERROR(MONTH($A694),"")</f>
        <v/>
      </c>
      <c r="D694" s="46" t="n"/>
      <c r="E694" s="46" t="n"/>
      <c r="G694" s="94">
        <f>IFERROR(($E694-$D694)*24-$F694,"")</f>
        <v/>
      </c>
    </row>
    <row r="695">
      <c r="A695" s="44" t="n"/>
      <c r="B695" s="93">
        <f>IFERROR(MONTH($A695),"")</f>
        <v/>
      </c>
      <c r="D695" s="46" t="n"/>
      <c r="E695" s="46" t="n"/>
      <c r="G695" s="94">
        <f>IFERROR(($E695-$D695)*24-$F695,"")</f>
        <v/>
      </c>
    </row>
    <row r="696">
      <c r="A696" s="44" t="n"/>
      <c r="B696" s="93">
        <f>IFERROR(MONTH($A696),"")</f>
        <v/>
      </c>
      <c r="D696" s="46" t="n"/>
      <c r="E696" s="46" t="n"/>
      <c r="G696" s="94">
        <f>IFERROR(($E696-$D696)*24-$F696,"")</f>
        <v/>
      </c>
    </row>
    <row r="697">
      <c r="A697" s="44" t="n"/>
      <c r="B697" s="93">
        <f>IFERROR(MONTH($A697),"")</f>
        <v/>
      </c>
      <c r="D697" s="46" t="n"/>
      <c r="E697" s="46" t="n"/>
      <c r="G697" s="94">
        <f>IFERROR(($E697-$D697)*24-$F697,"")</f>
        <v/>
      </c>
    </row>
    <row r="698">
      <c r="A698" s="44" t="n"/>
      <c r="B698" s="93">
        <f>IFERROR(MONTH($A698),"")</f>
        <v/>
      </c>
      <c r="D698" s="46" t="n"/>
      <c r="E698" s="46" t="n"/>
      <c r="G698" s="94">
        <f>IFERROR(($E698-$D698)*24-$F698,"")</f>
        <v/>
      </c>
    </row>
    <row r="699">
      <c r="A699" s="44" t="n"/>
      <c r="B699" s="93">
        <f>IFERROR(MONTH($A699),"")</f>
        <v/>
      </c>
      <c r="D699" s="46" t="n"/>
      <c r="E699" s="46" t="n"/>
      <c r="G699" s="94">
        <f>IFERROR(($E699-$D699)*24-$F699,"")</f>
        <v/>
      </c>
    </row>
    <row r="700">
      <c r="A700" s="44" t="n"/>
      <c r="B700" s="93">
        <f>IFERROR(MONTH($A700),"")</f>
        <v/>
      </c>
      <c r="D700" s="46" t="n"/>
      <c r="E700" s="46" t="n"/>
      <c r="G700" s="94">
        <f>IFERROR(($E700-$D700)*24-$F700,"")</f>
        <v/>
      </c>
    </row>
    <row r="701">
      <c r="A701" s="44" t="n"/>
      <c r="B701" s="93">
        <f>IFERROR(MONTH($A701),"")</f>
        <v/>
      </c>
      <c r="D701" s="46" t="n"/>
      <c r="E701" s="46" t="n"/>
      <c r="G701" s="94">
        <f>IFERROR(($E701-$D701)*24-$F701,"")</f>
        <v/>
      </c>
    </row>
    <row r="702">
      <c r="A702" s="44" t="n"/>
      <c r="B702" s="93">
        <f>IFERROR(MONTH($A702),"")</f>
        <v/>
      </c>
      <c r="D702" s="46" t="n"/>
      <c r="E702" s="46" t="n"/>
      <c r="G702" s="94">
        <f>IFERROR(($E702-$D702)*24-$F702,"")</f>
        <v/>
      </c>
    </row>
    <row r="703">
      <c r="A703" s="44" t="n"/>
      <c r="B703" s="93">
        <f>IFERROR(MONTH($A703),"")</f>
        <v/>
      </c>
      <c r="D703" s="46" t="n"/>
      <c r="E703" s="46" t="n"/>
      <c r="G703" s="94">
        <f>IFERROR(($E703-$D703)*24-$F703,"")</f>
        <v/>
      </c>
    </row>
    <row r="704">
      <c r="A704" s="44" t="n"/>
      <c r="B704" s="93">
        <f>IFERROR(MONTH($A704),"")</f>
        <v/>
      </c>
      <c r="D704" s="46" t="n"/>
      <c r="E704" s="46" t="n"/>
      <c r="G704" s="94">
        <f>IFERROR(($E704-$D704)*24-$F704,"")</f>
        <v/>
      </c>
    </row>
    <row r="705">
      <c r="A705" s="44" t="n"/>
      <c r="B705" s="93">
        <f>IFERROR(MONTH($A705),"")</f>
        <v/>
      </c>
      <c r="D705" s="46" t="n"/>
      <c r="E705" s="46" t="n"/>
      <c r="G705" s="94">
        <f>IFERROR(($E705-$D705)*24-$F705,"")</f>
        <v/>
      </c>
    </row>
    <row r="706">
      <c r="A706" s="44" t="n"/>
      <c r="B706" s="93">
        <f>IFERROR(MONTH($A706),"")</f>
        <v/>
      </c>
      <c r="D706" s="46" t="n"/>
      <c r="E706" s="46" t="n"/>
      <c r="G706" s="94">
        <f>IFERROR(($E706-$D706)*24-$F706,"")</f>
        <v/>
      </c>
    </row>
    <row r="707">
      <c r="A707" s="44" t="n"/>
      <c r="B707" s="93">
        <f>IFERROR(MONTH($A707),"")</f>
        <v/>
      </c>
      <c r="D707" s="46" t="n"/>
      <c r="E707" s="46" t="n"/>
      <c r="G707" s="94">
        <f>IFERROR(($E707-$D707)*24-$F707,"")</f>
        <v/>
      </c>
    </row>
    <row r="708">
      <c r="A708" s="44" t="n"/>
      <c r="B708" s="93">
        <f>IFERROR(MONTH($A708),"")</f>
        <v/>
      </c>
      <c r="D708" s="46" t="n"/>
      <c r="E708" s="46" t="n"/>
      <c r="G708" s="94">
        <f>IFERROR(($E708-$D708)*24-$F708,"")</f>
        <v/>
      </c>
    </row>
    <row r="709">
      <c r="A709" s="44" t="n"/>
      <c r="B709" s="93">
        <f>IFERROR(MONTH($A709),"")</f>
        <v/>
      </c>
      <c r="D709" s="46" t="n"/>
      <c r="E709" s="46" t="n"/>
      <c r="G709" s="94">
        <f>IFERROR(($E709-$D709)*24-$F709,"")</f>
        <v/>
      </c>
    </row>
    <row r="710">
      <c r="A710" s="44" t="n"/>
      <c r="B710" s="93">
        <f>IFERROR(MONTH($A710),"")</f>
        <v/>
      </c>
      <c r="D710" s="46" t="n"/>
      <c r="E710" s="46" t="n"/>
      <c r="G710" s="94">
        <f>IFERROR(($E710-$D710)*24-$F710,"")</f>
        <v/>
      </c>
    </row>
    <row r="711">
      <c r="A711" s="44" t="n"/>
      <c r="B711" s="93">
        <f>IFERROR(MONTH($A711),"")</f>
        <v/>
      </c>
      <c r="D711" s="46" t="n"/>
      <c r="E711" s="46" t="n"/>
      <c r="G711" s="94">
        <f>IFERROR(($E711-$D711)*24-$F711,"")</f>
        <v/>
      </c>
    </row>
    <row r="712">
      <c r="A712" s="44" t="n"/>
      <c r="B712" s="93">
        <f>IFERROR(MONTH($A712),"")</f>
        <v/>
      </c>
      <c r="D712" s="46" t="n"/>
      <c r="E712" s="46" t="n"/>
      <c r="G712" s="94">
        <f>IFERROR(($E712-$D712)*24-$F712,"")</f>
        <v/>
      </c>
    </row>
    <row r="713">
      <c r="A713" s="44" t="n"/>
      <c r="B713" s="93">
        <f>IFERROR(MONTH($A713),"")</f>
        <v/>
      </c>
      <c r="D713" s="46" t="n"/>
      <c r="E713" s="46" t="n"/>
      <c r="G713" s="94">
        <f>IFERROR(($E713-$D713)*24-$F713,"")</f>
        <v/>
      </c>
    </row>
    <row r="714">
      <c r="A714" s="44" t="n"/>
      <c r="B714" s="93">
        <f>IFERROR(MONTH($A714),"")</f>
        <v/>
      </c>
      <c r="D714" s="46" t="n"/>
      <c r="E714" s="46" t="n"/>
      <c r="G714" s="94">
        <f>IFERROR(($E714-$D714)*24-$F714,"")</f>
        <v/>
      </c>
    </row>
    <row r="715">
      <c r="A715" s="44" t="n"/>
      <c r="B715" s="93">
        <f>IFERROR(MONTH($A715),"")</f>
        <v/>
      </c>
      <c r="D715" s="46" t="n"/>
      <c r="E715" s="46" t="n"/>
      <c r="G715" s="94">
        <f>IFERROR(($E715-$D715)*24-$F715,"")</f>
        <v/>
      </c>
    </row>
    <row r="716">
      <c r="A716" s="44" t="n"/>
      <c r="B716" s="93">
        <f>IFERROR(MONTH($A716),"")</f>
        <v/>
      </c>
      <c r="D716" s="46" t="n"/>
      <c r="E716" s="46" t="n"/>
      <c r="G716" s="94">
        <f>IFERROR(($E716-$D716)*24-$F716,"")</f>
        <v/>
      </c>
    </row>
    <row r="717">
      <c r="A717" s="44" t="n"/>
      <c r="B717" s="93">
        <f>IFERROR(MONTH($A717),"")</f>
        <v/>
      </c>
      <c r="D717" s="46" t="n"/>
      <c r="E717" s="46" t="n"/>
      <c r="G717" s="94">
        <f>IFERROR(($E717-$D717)*24-$F717,"")</f>
        <v/>
      </c>
    </row>
    <row r="718">
      <c r="A718" s="44" t="n"/>
      <c r="B718" s="93">
        <f>IFERROR(MONTH($A718),"")</f>
        <v/>
      </c>
      <c r="D718" s="46" t="n"/>
      <c r="E718" s="46" t="n"/>
      <c r="G718" s="94">
        <f>IFERROR(($E718-$D718)*24-$F718,"")</f>
        <v/>
      </c>
    </row>
    <row r="719">
      <c r="A719" s="44" t="n"/>
      <c r="B719" s="93">
        <f>IFERROR(MONTH($A719),"")</f>
        <v/>
      </c>
      <c r="D719" s="46" t="n"/>
      <c r="E719" s="46" t="n"/>
      <c r="G719" s="94">
        <f>IFERROR(($E719-$D719)*24-$F719,"")</f>
        <v/>
      </c>
    </row>
    <row r="720">
      <c r="A720" s="44" t="n"/>
      <c r="B720" s="93">
        <f>IFERROR(MONTH($A720),"")</f>
        <v/>
      </c>
      <c r="D720" s="46" t="n"/>
      <c r="E720" s="46" t="n"/>
      <c r="G720" s="94">
        <f>IFERROR(($E720-$D720)*24-$F720,"")</f>
        <v/>
      </c>
    </row>
    <row r="721">
      <c r="A721" s="44" t="n"/>
      <c r="B721" s="93">
        <f>IFERROR(MONTH($A721),"")</f>
        <v/>
      </c>
      <c r="D721" s="46" t="n"/>
      <c r="E721" s="46" t="n"/>
      <c r="G721" s="94">
        <f>IFERROR(($E721-$D721)*24-$F721,"")</f>
        <v/>
      </c>
    </row>
    <row r="722">
      <c r="A722" s="44" t="n"/>
      <c r="B722" s="93">
        <f>IFERROR(MONTH($A722),"")</f>
        <v/>
      </c>
      <c r="D722" s="46" t="n"/>
      <c r="E722" s="46" t="n"/>
      <c r="G722" s="94">
        <f>IFERROR(($E722-$D722)*24-$F722,"")</f>
        <v/>
      </c>
    </row>
    <row r="723">
      <c r="A723" s="44" t="n"/>
      <c r="B723" s="93">
        <f>IFERROR(MONTH($A723),"")</f>
        <v/>
      </c>
      <c r="D723" s="46" t="n"/>
      <c r="E723" s="46" t="n"/>
      <c r="G723" s="94">
        <f>IFERROR(($E723-$D723)*24-$F723,"")</f>
        <v/>
      </c>
    </row>
    <row r="724">
      <c r="A724" s="44" t="n"/>
      <c r="B724" s="93">
        <f>IFERROR(MONTH($A724),"")</f>
        <v/>
      </c>
      <c r="D724" s="46" t="n"/>
      <c r="E724" s="46" t="n"/>
      <c r="G724" s="94">
        <f>IFERROR(($E724-$D724)*24-$F724,"")</f>
        <v/>
      </c>
    </row>
    <row r="725">
      <c r="A725" s="44" t="n"/>
      <c r="B725" s="93">
        <f>IFERROR(MONTH($A725),"")</f>
        <v/>
      </c>
      <c r="D725" s="46" t="n"/>
      <c r="E725" s="46" t="n"/>
      <c r="G725" s="94">
        <f>IFERROR(($E725-$D725)*24-$F725,"")</f>
        <v/>
      </c>
    </row>
    <row r="726">
      <c r="A726" s="44" t="n"/>
      <c r="B726" s="93">
        <f>IFERROR(MONTH($A726),"")</f>
        <v/>
      </c>
      <c r="D726" s="46" t="n"/>
      <c r="E726" s="46" t="n"/>
      <c r="G726" s="94">
        <f>IFERROR(($E726-$D726)*24-$F726,"")</f>
        <v/>
      </c>
    </row>
    <row r="727">
      <c r="A727" s="44" t="n"/>
      <c r="B727" s="93">
        <f>IFERROR(MONTH($A727),"")</f>
        <v/>
      </c>
      <c r="D727" s="46" t="n"/>
      <c r="E727" s="46" t="n"/>
      <c r="G727" s="94">
        <f>IFERROR(($E727-$D727)*24-$F727,"")</f>
        <v/>
      </c>
    </row>
    <row r="728">
      <c r="A728" s="44" t="n"/>
      <c r="B728" s="93">
        <f>IFERROR(MONTH($A728),"")</f>
        <v/>
      </c>
      <c r="D728" s="46" t="n"/>
      <c r="E728" s="46" t="n"/>
      <c r="G728" s="94">
        <f>IFERROR(($E728-$D728)*24-$F728,"")</f>
        <v/>
      </c>
    </row>
    <row r="729">
      <c r="A729" s="44" t="n"/>
      <c r="B729" s="93">
        <f>IFERROR(MONTH($A729),"")</f>
        <v/>
      </c>
      <c r="D729" s="46" t="n"/>
      <c r="E729" s="46" t="n"/>
      <c r="G729" s="94">
        <f>IFERROR(($E729-$D729)*24-$F729,"")</f>
        <v/>
      </c>
    </row>
    <row r="730">
      <c r="A730" s="44" t="n"/>
      <c r="B730" s="93">
        <f>IFERROR(MONTH($A730),"")</f>
        <v/>
      </c>
      <c r="D730" s="46" t="n"/>
      <c r="E730" s="46" t="n"/>
      <c r="G730" s="94">
        <f>IFERROR(($E730-$D730)*24-$F730,"")</f>
        <v/>
      </c>
    </row>
    <row r="731">
      <c r="A731" s="44" t="n"/>
      <c r="B731" s="93">
        <f>IFERROR(MONTH($A731),"")</f>
        <v/>
      </c>
      <c r="D731" s="46" t="n"/>
      <c r="E731" s="46" t="n"/>
      <c r="G731" s="94">
        <f>IFERROR(($E731-$D731)*24-$F731,"")</f>
        <v/>
      </c>
    </row>
    <row r="732">
      <c r="A732" s="44" t="n"/>
      <c r="B732" s="93">
        <f>IFERROR(MONTH($A732),"")</f>
        <v/>
      </c>
      <c r="D732" s="46" t="n"/>
      <c r="E732" s="46" t="n"/>
      <c r="G732" s="94">
        <f>IFERROR(($E732-$D732)*24-$F732,"")</f>
        <v/>
      </c>
    </row>
    <row r="733">
      <c r="A733" s="44" t="n"/>
      <c r="B733" s="93">
        <f>IFERROR(MONTH($A733),"")</f>
        <v/>
      </c>
      <c r="D733" s="46" t="n"/>
      <c r="E733" s="46" t="n"/>
      <c r="G733" s="94">
        <f>IFERROR(($E733-$D733)*24-$F733,"")</f>
        <v/>
      </c>
    </row>
    <row r="734">
      <c r="A734" s="44" t="n"/>
      <c r="B734" s="93">
        <f>IFERROR(MONTH($A734),"")</f>
        <v/>
      </c>
      <c r="D734" s="46" t="n"/>
      <c r="E734" s="46" t="n"/>
      <c r="G734" s="94">
        <f>IFERROR(($E734-$D734)*24-$F734,"")</f>
        <v/>
      </c>
    </row>
    <row r="735">
      <c r="A735" s="44" t="n"/>
      <c r="B735" s="93">
        <f>IFERROR(MONTH($A735),"")</f>
        <v/>
      </c>
      <c r="D735" s="46" t="n"/>
      <c r="E735" s="46" t="n"/>
      <c r="G735" s="94">
        <f>IFERROR(($E735-$D735)*24-$F735,"")</f>
        <v/>
      </c>
    </row>
    <row r="736">
      <c r="A736" s="44" t="n"/>
      <c r="B736" s="93">
        <f>IFERROR(MONTH($A736),"")</f>
        <v/>
      </c>
      <c r="D736" s="46" t="n"/>
      <c r="E736" s="46" t="n"/>
      <c r="G736" s="94">
        <f>IFERROR(($E736-$D736)*24-$F736,"")</f>
        <v/>
      </c>
    </row>
    <row r="737">
      <c r="A737" s="44" t="n"/>
      <c r="B737" s="93">
        <f>IFERROR(MONTH($A737),"")</f>
        <v/>
      </c>
      <c r="D737" s="46" t="n"/>
      <c r="E737" s="46" t="n"/>
      <c r="G737" s="94">
        <f>IFERROR(($E737-$D737)*24-$F737,"")</f>
        <v/>
      </c>
    </row>
    <row r="738">
      <c r="A738" s="44" t="n"/>
      <c r="B738" s="93">
        <f>IFERROR(MONTH($A738),"")</f>
        <v/>
      </c>
      <c r="D738" s="46" t="n"/>
      <c r="E738" s="46" t="n"/>
      <c r="G738" s="94">
        <f>IFERROR(($E738-$D738)*24-$F738,"")</f>
        <v/>
      </c>
    </row>
    <row r="739">
      <c r="A739" s="44" t="n"/>
      <c r="B739" s="93">
        <f>IFERROR(MONTH($A739),"")</f>
        <v/>
      </c>
      <c r="D739" s="46" t="n"/>
      <c r="E739" s="46" t="n"/>
      <c r="G739" s="94">
        <f>IFERROR(($E739-$D739)*24-$F739,"")</f>
        <v/>
      </c>
    </row>
    <row r="740">
      <c r="A740" s="44" t="n"/>
      <c r="B740" s="93">
        <f>IFERROR(MONTH($A740),"")</f>
        <v/>
      </c>
      <c r="D740" s="46" t="n"/>
      <c r="E740" s="46" t="n"/>
      <c r="G740" s="94">
        <f>IFERROR(($E740-$D740)*24-$F740,"")</f>
        <v/>
      </c>
    </row>
    <row r="741">
      <c r="A741" s="44" t="n"/>
      <c r="B741" s="93">
        <f>IFERROR(MONTH($A741),"")</f>
        <v/>
      </c>
      <c r="D741" s="46" t="n"/>
      <c r="E741" s="46" t="n"/>
      <c r="G741" s="94">
        <f>IFERROR(($E741-$D741)*24-$F741,"")</f>
        <v/>
      </c>
    </row>
    <row r="742">
      <c r="A742" s="44" t="n"/>
      <c r="B742" s="93">
        <f>IFERROR(MONTH($A742),"")</f>
        <v/>
      </c>
      <c r="D742" s="46" t="n"/>
      <c r="E742" s="46" t="n"/>
      <c r="G742" s="94">
        <f>IFERROR(($E742-$D742)*24-$F742,"")</f>
        <v/>
      </c>
    </row>
    <row r="743">
      <c r="A743" s="44" t="n"/>
      <c r="B743" s="93">
        <f>IFERROR(MONTH($A743),"")</f>
        <v/>
      </c>
      <c r="D743" s="46" t="n"/>
      <c r="E743" s="46" t="n"/>
      <c r="G743" s="94">
        <f>IFERROR(($E743-$D743)*24-$F743,"")</f>
        <v/>
      </c>
    </row>
    <row r="744">
      <c r="A744" s="44" t="n"/>
      <c r="B744" s="93">
        <f>IFERROR(MONTH($A744),"")</f>
        <v/>
      </c>
      <c r="D744" s="46" t="n"/>
      <c r="E744" s="46" t="n"/>
      <c r="G744" s="94">
        <f>IFERROR(($E744-$D744)*24-$F744,"")</f>
        <v/>
      </c>
    </row>
    <row r="745">
      <c r="A745" s="44" t="n"/>
      <c r="B745" s="93">
        <f>IFERROR(MONTH($A745),"")</f>
        <v/>
      </c>
      <c r="D745" s="46" t="n"/>
      <c r="E745" s="46" t="n"/>
      <c r="G745" s="94">
        <f>IFERROR(($E745-$D745)*24-$F745,"")</f>
        <v/>
      </c>
    </row>
    <row r="746">
      <c r="A746" s="44" t="n"/>
      <c r="B746" s="93">
        <f>IFERROR(MONTH($A746),"")</f>
        <v/>
      </c>
      <c r="D746" s="46" t="n"/>
      <c r="E746" s="46" t="n"/>
      <c r="G746" s="94">
        <f>IFERROR(($E746-$D746)*24-$F746,"")</f>
        <v/>
      </c>
    </row>
    <row r="747">
      <c r="A747" s="44" t="n"/>
      <c r="B747" s="93">
        <f>IFERROR(MONTH($A747),"")</f>
        <v/>
      </c>
      <c r="D747" s="46" t="n"/>
      <c r="E747" s="46" t="n"/>
      <c r="G747" s="94">
        <f>IFERROR(($E747-$D747)*24-$F747,"")</f>
        <v/>
      </c>
    </row>
    <row r="748">
      <c r="A748" s="44" t="n"/>
      <c r="B748" s="93">
        <f>IFERROR(MONTH($A748),"")</f>
        <v/>
      </c>
      <c r="D748" s="46" t="n"/>
      <c r="E748" s="46" t="n"/>
      <c r="G748" s="94">
        <f>IFERROR(($E748-$D748)*24-$F748,"")</f>
        <v/>
      </c>
    </row>
    <row r="749">
      <c r="A749" s="44" t="n"/>
      <c r="B749" s="93">
        <f>IFERROR(MONTH($A749),"")</f>
        <v/>
      </c>
      <c r="D749" s="46" t="n"/>
      <c r="E749" s="46" t="n"/>
      <c r="G749" s="94">
        <f>IFERROR(($E749-$D749)*24-$F749,"")</f>
        <v/>
      </c>
    </row>
    <row r="750">
      <c r="A750" s="44" t="n"/>
      <c r="B750" s="93">
        <f>IFERROR(MONTH($A750),"")</f>
        <v/>
      </c>
      <c r="D750" s="46" t="n"/>
      <c r="E750" s="46" t="n"/>
      <c r="G750" s="94">
        <f>IFERROR(($E750-$D750)*24-$F750,"")</f>
        <v/>
      </c>
    </row>
    <row r="751">
      <c r="A751" s="44" t="n"/>
      <c r="B751" s="93">
        <f>IFERROR(MONTH($A751),"")</f>
        <v/>
      </c>
      <c r="D751" s="46" t="n"/>
      <c r="E751" s="46" t="n"/>
      <c r="G751" s="94">
        <f>IFERROR(($E751-$D751)*24-$F751,"")</f>
        <v/>
      </c>
    </row>
    <row r="752">
      <c r="A752" s="44" t="n"/>
      <c r="B752" s="93">
        <f>IFERROR(MONTH($A752),"")</f>
        <v/>
      </c>
      <c r="D752" s="46" t="n"/>
      <c r="E752" s="46" t="n"/>
      <c r="G752" s="94">
        <f>IFERROR(($E752-$D752)*24-$F752,"")</f>
        <v/>
      </c>
    </row>
    <row r="753">
      <c r="A753" s="44" t="n"/>
      <c r="B753" s="93">
        <f>IFERROR(MONTH($A753),"")</f>
        <v/>
      </c>
      <c r="D753" s="46" t="n"/>
      <c r="E753" s="46" t="n"/>
      <c r="G753" s="94">
        <f>IFERROR(($E753-$D753)*24-$F753,"")</f>
        <v/>
      </c>
    </row>
    <row r="754">
      <c r="A754" s="44" t="n"/>
      <c r="B754" s="93">
        <f>IFERROR(MONTH($A754),"")</f>
        <v/>
      </c>
      <c r="D754" s="46" t="n"/>
      <c r="E754" s="46" t="n"/>
      <c r="G754" s="94">
        <f>IFERROR(($E754-$D754)*24-$F754,"")</f>
        <v/>
      </c>
    </row>
    <row r="755">
      <c r="A755" s="44" t="n"/>
      <c r="B755" s="93">
        <f>IFERROR(MONTH($A755),"")</f>
        <v/>
      </c>
      <c r="D755" s="46" t="n"/>
      <c r="E755" s="46" t="n"/>
      <c r="G755" s="94">
        <f>IFERROR(($E755-$D755)*24-$F755,"")</f>
        <v/>
      </c>
    </row>
    <row r="756">
      <c r="A756" s="44" t="n"/>
      <c r="B756" s="93">
        <f>IFERROR(MONTH($A756),"")</f>
        <v/>
      </c>
      <c r="D756" s="46" t="n"/>
      <c r="E756" s="46" t="n"/>
      <c r="G756" s="94">
        <f>IFERROR(($E756-$D756)*24-$F756,"")</f>
        <v/>
      </c>
    </row>
    <row r="757">
      <c r="A757" s="44" t="n"/>
      <c r="B757" s="93">
        <f>IFERROR(MONTH($A757),"")</f>
        <v/>
      </c>
      <c r="D757" s="46" t="n"/>
      <c r="E757" s="46" t="n"/>
      <c r="G757" s="94">
        <f>IFERROR(($E757-$D757)*24-$F757,"")</f>
        <v/>
      </c>
    </row>
    <row r="758">
      <c r="A758" s="44" t="n"/>
      <c r="B758" s="93">
        <f>IFERROR(MONTH($A758),"")</f>
        <v/>
      </c>
      <c r="D758" s="46" t="n"/>
      <c r="E758" s="46" t="n"/>
      <c r="G758" s="94">
        <f>IFERROR(($E758-$D758)*24-$F758,"")</f>
        <v/>
      </c>
    </row>
    <row r="759">
      <c r="A759" s="44" t="n"/>
      <c r="B759" s="93">
        <f>IFERROR(MONTH($A759),"")</f>
        <v/>
      </c>
      <c r="D759" s="46" t="n"/>
      <c r="E759" s="46" t="n"/>
      <c r="G759" s="94">
        <f>IFERROR(($E759-$D759)*24-$F759,"")</f>
        <v/>
      </c>
    </row>
    <row r="760">
      <c r="A760" s="44" t="n"/>
      <c r="B760" s="93">
        <f>IFERROR(MONTH($A760),"")</f>
        <v/>
      </c>
      <c r="D760" s="46" t="n"/>
      <c r="E760" s="46" t="n"/>
      <c r="G760" s="94">
        <f>IFERROR(($E760-$D760)*24-$F760,"")</f>
        <v/>
      </c>
    </row>
    <row r="761">
      <c r="A761" s="44" t="n"/>
      <c r="B761" s="93">
        <f>IFERROR(MONTH($A761),"")</f>
        <v/>
      </c>
      <c r="D761" s="46" t="n"/>
      <c r="E761" s="46" t="n"/>
      <c r="G761" s="94">
        <f>IFERROR(($E761-$D761)*24-$F761,"")</f>
        <v/>
      </c>
    </row>
    <row r="762">
      <c r="A762" s="44" t="n"/>
      <c r="B762" s="93">
        <f>IFERROR(MONTH($A762),"")</f>
        <v/>
      </c>
      <c r="D762" s="46" t="n"/>
      <c r="E762" s="46" t="n"/>
      <c r="G762" s="94">
        <f>IFERROR(($E762-$D762)*24-$F762,"")</f>
        <v/>
      </c>
    </row>
    <row r="763">
      <c r="A763" s="44" t="n"/>
      <c r="B763" s="93">
        <f>IFERROR(MONTH($A763),"")</f>
        <v/>
      </c>
      <c r="D763" s="46" t="n"/>
      <c r="E763" s="46" t="n"/>
      <c r="G763" s="94">
        <f>IFERROR(($E763-$D763)*24-$F763,"")</f>
        <v/>
      </c>
    </row>
    <row r="764">
      <c r="A764" s="44" t="n"/>
      <c r="B764" s="93">
        <f>IFERROR(MONTH($A764),"")</f>
        <v/>
      </c>
      <c r="D764" s="46" t="n"/>
      <c r="E764" s="46" t="n"/>
      <c r="G764" s="94">
        <f>IFERROR(($E764-$D764)*24-$F764,"")</f>
        <v/>
      </c>
    </row>
    <row r="765">
      <c r="A765" s="44" t="n"/>
      <c r="B765" s="93">
        <f>IFERROR(MONTH($A765),"")</f>
        <v/>
      </c>
      <c r="D765" s="46" t="n"/>
      <c r="E765" s="46" t="n"/>
      <c r="G765" s="94">
        <f>IFERROR(($E765-$D765)*24-$F765,"")</f>
        <v/>
      </c>
    </row>
    <row r="766">
      <c r="A766" s="44" t="n"/>
      <c r="B766" s="93">
        <f>IFERROR(MONTH($A766),"")</f>
        <v/>
      </c>
      <c r="D766" s="46" t="n"/>
      <c r="E766" s="46" t="n"/>
      <c r="G766" s="94">
        <f>IFERROR(($E766-$D766)*24-$F766,"")</f>
        <v/>
      </c>
    </row>
    <row r="767">
      <c r="A767" s="44" t="n"/>
      <c r="B767" s="93">
        <f>IFERROR(MONTH($A767),"")</f>
        <v/>
      </c>
      <c r="D767" s="46" t="n"/>
      <c r="E767" s="46" t="n"/>
      <c r="G767" s="94">
        <f>IFERROR(($E767-$D767)*24-$F767,"")</f>
        <v/>
      </c>
    </row>
    <row r="768">
      <c r="A768" s="44" t="n"/>
      <c r="B768" s="93">
        <f>IFERROR(MONTH($A768),"")</f>
        <v/>
      </c>
      <c r="D768" s="46" t="n"/>
      <c r="E768" s="46" t="n"/>
      <c r="G768" s="94">
        <f>IFERROR(($E768-$D768)*24-$F768,"")</f>
        <v/>
      </c>
    </row>
    <row r="769">
      <c r="A769" s="44" t="n"/>
      <c r="B769" s="93">
        <f>IFERROR(MONTH($A769),"")</f>
        <v/>
      </c>
      <c r="D769" s="46" t="n"/>
      <c r="E769" s="46" t="n"/>
      <c r="G769" s="94">
        <f>IFERROR(($E769-$D769)*24-$F769,"")</f>
        <v/>
      </c>
    </row>
    <row r="770">
      <c r="A770" s="44" t="n"/>
      <c r="B770" s="93">
        <f>IFERROR(MONTH($A770),"")</f>
        <v/>
      </c>
      <c r="D770" s="46" t="n"/>
      <c r="E770" s="46" t="n"/>
      <c r="G770" s="94">
        <f>IFERROR(($E770-$D770)*24-$F770,"")</f>
        <v/>
      </c>
    </row>
    <row r="771">
      <c r="A771" s="44" t="n"/>
      <c r="B771" s="93">
        <f>IFERROR(MONTH($A771),"")</f>
        <v/>
      </c>
      <c r="D771" s="46" t="n"/>
      <c r="E771" s="46" t="n"/>
      <c r="G771" s="94">
        <f>IFERROR(($E771-$D771)*24-$F771,"")</f>
        <v/>
      </c>
    </row>
    <row r="772">
      <c r="A772" s="44" t="n"/>
      <c r="B772" s="93">
        <f>IFERROR(MONTH($A772),"")</f>
        <v/>
      </c>
      <c r="D772" s="46" t="n"/>
      <c r="E772" s="46" t="n"/>
      <c r="G772" s="94">
        <f>IFERROR(($E772-$D772)*24-$F772,"")</f>
        <v/>
      </c>
    </row>
    <row r="773">
      <c r="A773" s="44" t="n"/>
      <c r="B773" s="93">
        <f>IFERROR(MONTH($A773),"")</f>
        <v/>
      </c>
      <c r="D773" s="46" t="n"/>
      <c r="E773" s="46" t="n"/>
      <c r="G773" s="94">
        <f>IFERROR(($E773-$D773)*24-$F773,"")</f>
        <v/>
      </c>
    </row>
    <row r="774">
      <c r="A774" s="44" t="n"/>
      <c r="B774" s="93">
        <f>IFERROR(MONTH($A774),"")</f>
        <v/>
      </c>
      <c r="D774" s="46" t="n"/>
      <c r="E774" s="46" t="n"/>
      <c r="G774" s="94">
        <f>IFERROR(($E774-$D774)*24-$F774,"")</f>
        <v/>
      </c>
    </row>
    <row r="775">
      <c r="A775" s="44" t="n"/>
      <c r="B775" s="93">
        <f>IFERROR(MONTH($A775),"")</f>
        <v/>
      </c>
      <c r="D775" s="46" t="n"/>
      <c r="E775" s="46" t="n"/>
      <c r="G775" s="94">
        <f>IFERROR(($E775-$D775)*24-$F775,"")</f>
        <v/>
      </c>
    </row>
    <row r="776">
      <c r="A776" s="44" t="n"/>
      <c r="B776" s="93">
        <f>IFERROR(MONTH($A776),"")</f>
        <v/>
      </c>
      <c r="D776" s="46" t="n"/>
      <c r="E776" s="46" t="n"/>
      <c r="G776" s="94">
        <f>IFERROR(($E776-$D776)*24-$F776,"")</f>
        <v/>
      </c>
    </row>
    <row r="777">
      <c r="A777" s="44" t="n"/>
      <c r="B777" s="93">
        <f>IFERROR(MONTH($A777),"")</f>
        <v/>
      </c>
      <c r="D777" s="46" t="n"/>
      <c r="E777" s="46" t="n"/>
      <c r="G777" s="94">
        <f>IFERROR(($E777-$D777)*24-$F777,"")</f>
        <v/>
      </c>
    </row>
    <row r="778">
      <c r="A778" s="44" t="n"/>
      <c r="B778" s="93">
        <f>IFERROR(MONTH($A778),"")</f>
        <v/>
      </c>
      <c r="D778" s="46" t="n"/>
      <c r="E778" s="46" t="n"/>
      <c r="G778" s="94">
        <f>IFERROR(($E778-$D778)*24-$F778,"")</f>
        <v/>
      </c>
    </row>
    <row r="779">
      <c r="A779" s="44" t="n"/>
      <c r="B779" s="93">
        <f>IFERROR(MONTH($A779),"")</f>
        <v/>
      </c>
      <c r="D779" s="46" t="n"/>
      <c r="E779" s="46" t="n"/>
      <c r="G779" s="94">
        <f>IFERROR(($E779-$D779)*24-$F779,"")</f>
        <v/>
      </c>
    </row>
    <row r="780">
      <c r="A780" s="44" t="n"/>
      <c r="B780" s="93">
        <f>IFERROR(MONTH($A780),"")</f>
        <v/>
      </c>
      <c r="D780" s="46" t="n"/>
      <c r="E780" s="46" t="n"/>
      <c r="G780" s="94">
        <f>IFERROR(($E780-$D780)*24-$F780,"")</f>
        <v/>
      </c>
    </row>
    <row r="781">
      <c r="A781" s="44" t="n"/>
      <c r="B781" s="93">
        <f>IFERROR(MONTH($A781),"")</f>
        <v/>
      </c>
      <c r="D781" s="46" t="n"/>
      <c r="E781" s="46" t="n"/>
      <c r="G781" s="94">
        <f>IFERROR(($E781-$D781)*24-$F781,"")</f>
        <v/>
      </c>
    </row>
    <row r="782">
      <c r="A782" s="44" t="n"/>
      <c r="B782" s="93">
        <f>IFERROR(MONTH($A782),"")</f>
        <v/>
      </c>
      <c r="D782" s="46" t="n"/>
      <c r="E782" s="46" t="n"/>
      <c r="G782" s="94">
        <f>IFERROR(($E782-$D782)*24-$F782,"")</f>
        <v/>
      </c>
    </row>
    <row r="783">
      <c r="A783" s="44" t="n"/>
      <c r="B783" s="93">
        <f>IFERROR(MONTH($A783),"")</f>
        <v/>
      </c>
      <c r="D783" s="46" t="n"/>
      <c r="E783" s="46" t="n"/>
      <c r="G783" s="94">
        <f>IFERROR(($E783-$D783)*24-$F783,"")</f>
        <v/>
      </c>
    </row>
    <row r="784">
      <c r="A784" s="44" t="n"/>
      <c r="B784" s="93">
        <f>IFERROR(MONTH($A784),"")</f>
        <v/>
      </c>
      <c r="D784" s="46" t="n"/>
      <c r="E784" s="46" t="n"/>
      <c r="G784" s="94">
        <f>IFERROR(($E784-$D784)*24-$F784,"")</f>
        <v/>
      </c>
    </row>
    <row r="785">
      <c r="A785" s="44" t="n"/>
      <c r="B785" s="93">
        <f>IFERROR(MONTH($A785),"")</f>
        <v/>
      </c>
      <c r="D785" s="46" t="n"/>
      <c r="E785" s="46" t="n"/>
      <c r="G785" s="94">
        <f>IFERROR(($E785-$D785)*24-$F785,"")</f>
        <v/>
      </c>
    </row>
    <row r="786">
      <c r="A786" s="44" t="n"/>
      <c r="B786" s="93">
        <f>IFERROR(MONTH($A786),"")</f>
        <v/>
      </c>
      <c r="D786" s="46" t="n"/>
      <c r="E786" s="46" t="n"/>
      <c r="G786" s="94">
        <f>IFERROR(($E786-$D786)*24-$F786,"")</f>
        <v/>
      </c>
    </row>
    <row r="787">
      <c r="A787" s="44" t="n"/>
      <c r="B787" s="93">
        <f>IFERROR(MONTH($A787),"")</f>
        <v/>
      </c>
      <c r="D787" s="46" t="n"/>
      <c r="E787" s="46" t="n"/>
      <c r="G787" s="94">
        <f>IFERROR(($E787-$D787)*24-$F787,"")</f>
        <v/>
      </c>
    </row>
    <row r="788">
      <c r="A788" s="44" t="n"/>
      <c r="B788" s="93">
        <f>IFERROR(MONTH($A788),"")</f>
        <v/>
      </c>
      <c r="D788" s="46" t="n"/>
      <c r="E788" s="46" t="n"/>
      <c r="G788" s="94">
        <f>IFERROR(($E788-$D788)*24-$F788,"")</f>
        <v/>
      </c>
    </row>
    <row r="789">
      <c r="A789" s="44" t="n"/>
      <c r="B789" s="93">
        <f>IFERROR(MONTH($A789),"")</f>
        <v/>
      </c>
      <c r="D789" s="46" t="n"/>
      <c r="E789" s="46" t="n"/>
      <c r="G789" s="94">
        <f>IFERROR(($E789-$D789)*24-$F789,"")</f>
        <v/>
      </c>
    </row>
    <row r="790">
      <c r="A790" s="44" t="n"/>
      <c r="B790" s="93">
        <f>IFERROR(MONTH($A790),"")</f>
        <v/>
      </c>
      <c r="D790" s="46" t="n"/>
      <c r="E790" s="46" t="n"/>
      <c r="G790" s="94">
        <f>IFERROR(($E790-$D790)*24-$F790,"")</f>
        <v/>
      </c>
    </row>
    <row r="791">
      <c r="A791" s="44" t="n"/>
      <c r="B791" s="93">
        <f>IFERROR(MONTH($A791),"")</f>
        <v/>
      </c>
      <c r="D791" s="46" t="n"/>
      <c r="E791" s="46" t="n"/>
      <c r="G791" s="94">
        <f>IFERROR(($E791-$D791)*24-$F791,"")</f>
        <v/>
      </c>
    </row>
    <row r="792">
      <c r="A792" s="44" t="n"/>
      <c r="B792" s="93">
        <f>IFERROR(MONTH($A792),"")</f>
        <v/>
      </c>
      <c r="D792" s="46" t="n"/>
      <c r="E792" s="46" t="n"/>
      <c r="G792" s="94">
        <f>IFERROR(($E792-$D792)*24-$F792,"")</f>
        <v/>
      </c>
    </row>
    <row r="793">
      <c r="A793" s="44" t="n"/>
      <c r="B793" s="93">
        <f>IFERROR(MONTH($A793),"")</f>
        <v/>
      </c>
      <c r="D793" s="46" t="n"/>
      <c r="E793" s="46" t="n"/>
      <c r="G793" s="94">
        <f>IFERROR(($E793-$D793)*24-$F793,"")</f>
        <v/>
      </c>
    </row>
    <row r="794">
      <c r="A794" s="44" t="n"/>
      <c r="B794" s="93">
        <f>IFERROR(MONTH($A794),"")</f>
        <v/>
      </c>
      <c r="D794" s="46" t="n"/>
      <c r="E794" s="46" t="n"/>
      <c r="G794" s="94">
        <f>IFERROR(($E794-$D794)*24-$F794,"")</f>
        <v/>
      </c>
    </row>
    <row r="795">
      <c r="A795" s="44" t="n"/>
      <c r="B795" s="93">
        <f>IFERROR(MONTH($A795),"")</f>
        <v/>
      </c>
      <c r="D795" s="46" t="n"/>
      <c r="E795" s="46" t="n"/>
      <c r="G795" s="94">
        <f>IFERROR(($E795-$D795)*24-$F795,"")</f>
        <v/>
      </c>
    </row>
    <row r="796">
      <c r="A796" s="44" t="n"/>
      <c r="B796" s="93">
        <f>IFERROR(MONTH($A796),"")</f>
        <v/>
      </c>
      <c r="D796" s="46" t="n"/>
      <c r="E796" s="46" t="n"/>
      <c r="G796" s="94">
        <f>IFERROR(($E796-$D796)*24-$F796,"")</f>
        <v/>
      </c>
    </row>
    <row r="797">
      <c r="A797" s="44" t="n"/>
      <c r="B797" s="93">
        <f>IFERROR(MONTH($A797),"")</f>
        <v/>
      </c>
      <c r="D797" s="46" t="n"/>
      <c r="E797" s="46" t="n"/>
      <c r="G797" s="94">
        <f>IFERROR(($E797-$D797)*24-$F797,"")</f>
        <v/>
      </c>
    </row>
    <row r="798">
      <c r="A798" s="44" t="n"/>
      <c r="B798" s="93">
        <f>IFERROR(MONTH($A798),"")</f>
        <v/>
      </c>
      <c r="D798" s="46" t="n"/>
      <c r="E798" s="46" t="n"/>
      <c r="G798" s="94">
        <f>IFERROR(($E798-$D798)*24-$F798,"")</f>
        <v/>
      </c>
    </row>
    <row r="799">
      <c r="A799" s="44" t="n"/>
      <c r="B799" s="93">
        <f>IFERROR(MONTH($A799),"")</f>
        <v/>
      </c>
      <c r="D799" s="46" t="n"/>
      <c r="E799" s="46" t="n"/>
      <c r="G799" s="94">
        <f>IFERROR(($E799-$D799)*24-$F799,"")</f>
        <v/>
      </c>
    </row>
    <row r="800">
      <c r="A800" s="44" t="n"/>
      <c r="B800" s="93">
        <f>IFERROR(MONTH($A800),"")</f>
        <v/>
      </c>
      <c r="D800" s="46" t="n"/>
      <c r="E800" s="46" t="n"/>
      <c r="G800" s="94">
        <f>IFERROR(($E800-$D800)*24-$F800,"")</f>
        <v/>
      </c>
    </row>
    <row r="801">
      <c r="A801" s="44" t="n"/>
      <c r="B801" s="93">
        <f>IFERROR(MONTH($A801),"")</f>
        <v/>
      </c>
      <c r="D801" s="46" t="n"/>
      <c r="E801" s="46" t="n"/>
      <c r="G801" s="94">
        <f>IFERROR(($E801-$D801)*24-$F801,"")</f>
        <v/>
      </c>
    </row>
    <row r="802">
      <c r="A802" s="44" t="n"/>
      <c r="B802" s="93">
        <f>IFERROR(MONTH($A802),"")</f>
        <v/>
      </c>
      <c r="D802" s="46" t="n"/>
      <c r="E802" s="46" t="n"/>
      <c r="G802" s="94">
        <f>IFERROR(($E802-$D802)*24-$F802,"")</f>
        <v/>
      </c>
    </row>
    <row r="803">
      <c r="A803" s="44" t="n"/>
      <c r="B803" s="93">
        <f>IFERROR(MONTH($A803),"")</f>
        <v/>
      </c>
      <c r="D803" s="46" t="n"/>
      <c r="E803" s="46" t="n"/>
      <c r="G803" s="94">
        <f>IFERROR(($E803-$D803)*24-$F803,"")</f>
        <v/>
      </c>
    </row>
    <row r="804">
      <c r="A804" s="44" t="n"/>
      <c r="B804" s="93">
        <f>IFERROR(MONTH($A804),"")</f>
        <v/>
      </c>
      <c r="D804" s="46" t="n"/>
      <c r="E804" s="46" t="n"/>
      <c r="G804" s="94">
        <f>IFERROR(($E804-$D804)*24-$F804,"")</f>
        <v/>
      </c>
    </row>
    <row r="805">
      <c r="A805" s="44" t="n"/>
      <c r="B805" s="93">
        <f>IFERROR(MONTH($A805),"")</f>
        <v/>
      </c>
      <c r="D805" s="46" t="n"/>
      <c r="E805" s="46" t="n"/>
      <c r="G805" s="94">
        <f>IFERROR(($E805-$D805)*24-$F805,"")</f>
        <v/>
      </c>
    </row>
    <row r="806">
      <c r="A806" s="44" t="n"/>
      <c r="B806" s="93">
        <f>IFERROR(MONTH($A806),"")</f>
        <v/>
      </c>
      <c r="D806" s="46" t="n"/>
      <c r="E806" s="46" t="n"/>
      <c r="G806" s="94">
        <f>IFERROR(($E806-$D806)*24-$F806,"")</f>
        <v/>
      </c>
    </row>
    <row r="807">
      <c r="A807" s="44" t="n"/>
      <c r="B807" s="93">
        <f>IFERROR(MONTH($A807),"")</f>
        <v/>
      </c>
      <c r="D807" s="46" t="n"/>
      <c r="E807" s="46" t="n"/>
      <c r="G807" s="94">
        <f>IFERROR(($E807-$D807)*24-$F807,"")</f>
        <v/>
      </c>
    </row>
    <row r="808">
      <c r="A808" s="44" t="n"/>
      <c r="B808" s="93">
        <f>IFERROR(MONTH($A808),"")</f>
        <v/>
      </c>
      <c r="D808" s="46" t="n"/>
      <c r="E808" s="46" t="n"/>
      <c r="G808" s="94">
        <f>IFERROR(($E808-$D808)*24-$F808,"")</f>
        <v/>
      </c>
    </row>
    <row r="809">
      <c r="A809" s="44" t="n"/>
      <c r="B809" s="93">
        <f>IFERROR(MONTH($A809),"")</f>
        <v/>
      </c>
      <c r="D809" s="46" t="n"/>
      <c r="E809" s="46" t="n"/>
      <c r="G809" s="94">
        <f>IFERROR(($E809-$D809)*24-$F809,"")</f>
        <v/>
      </c>
    </row>
    <row r="810">
      <c r="A810" s="44" t="n"/>
      <c r="B810" s="93">
        <f>IFERROR(MONTH($A810),"")</f>
        <v/>
      </c>
      <c r="D810" s="46" t="n"/>
      <c r="E810" s="46" t="n"/>
      <c r="G810" s="94">
        <f>IFERROR(($E810-$D810)*24-$F810,"")</f>
        <v/>
      </c>
    </row>
    <row r="811">
      <c r="A811" s="44" t="n"/>
      <c r="B811" s="93">
        <f>IFERROR(MONTH($A811),"")</f>
        <v/>
      </c>
      <c r="D811" s="46" t="n"/>
      <c r="E811" s="46" t="n"/>
      <c r="G811" s="94">
        <f>IFERROR(($E811-$D811)*24-$F811,"")</f>
        <v/>
      </c>
    </row>
    <row r="812">
      <c r="A812" s="44" t="n"/>
      <c r="B812" s="93">
        <f>IFERROR(MONTH($A812),"")</f>
        <v/>
      </c>
      <c r="D812" s="46" t="n"/>
      <c r="E812" s="46" t="n"/>
      <c r="G812" s="94">
        <f>IFERROR(($E812-$D812)*24-$F812,"")</f>
        <v/>
      </c>
    </row>
    <row r="813">
      <c r="A813" s="44" t="n"/>
      <c r="B813" s="93">
        <f>IFERROR(MONTH($A813),"")</f>
        <v/>
      </c>
      <c r="D813" s="46" t="n"/>
      <c r="E813" s="46" t="n"/>
      <c r="G813" s="94">
        <f>IFERROR(($E813-$D813)*24-$F813,"")</f>
        <v/>
      </c>
    </row>
    <row r="814">
      <c r="A814" s="44" t="n"/>
      <c r="B814" s="93">
        <f>IFERROR(MONTH($A814),"")</f>
        <v/>
      </c>
      <c r="D814" s="46" t="n"/>
      <c r="E814" s="46" t="n"/>
      <c r="G814" s="94">
        <f>IFERROR(($E814-$D814)*24-$F814,"")</f>
        <v/>
      </c>
    </row>
    <row r="815">
      <c r="A815" s="44" t="n"/>
      <c r="B815" s="93">
        <f>IFERROR(MONTH($A815),"")</f>
        <v/>
      </c>
      <c r="D815" s="46" t="n"/>
      <c r="E815" s="46" t="n"/>
      <c r="G815" s="94">
        <f>IFERROR(($E815-$D815)*24-$F815,"")</f>
        <v/>
      </c>
    </row>
    <row r="816">
      <c r="A816" s="44" t="n"/>
      <c r="B816" s="93">
        <f>IFERROR(MONTH($A816),"")</f>
        <v/>
      </c>
      <c r="D816" s="46" t="n"/>
      <c r="E816" s="46" t="n"/>
      <c r="G816" s="94">
        <f>IFERROR(($E816-$D816)*24-$F816,"")</f>
        <v/>
      </c>
    </row>
    <row r="817">
      <c r="A817" s="44" t="n"/>
      <c r="B817" s="93">
        <f>IFERROR(MONTH($A817),"")</f>
        <v/>
      </c>
      <c r="D817" s="46" t="n"/>
      <c r="E817" s="46" t="n"/>
      <c r="G817" s="94">
        <f>IFERROR(($E817-$D817)*24-$F817,"")</f>
        <v/>
      </c>
    </row>
    <row r="818">
      <c r="A818" s="44" t="n"/>
      <c r="B818" s="93">
        <f>IFERROR(MONTH($A818),"")</f>
        <v/>
      </c>
      <c r="D818" s="46" t="n"/>
      <c r="E818" s="46" t="n"/>
      <c r="G818" s="94">
        <f>IFERROR(($E818-$D818)*24-$F818,"")</f>
        <v/>
      </c>
    </row>
    <row r="819">
      <c r="A819" s="44" t="n"/>
      <c r="B819" s="93">
        <f>IFERROR(MONTH($A819),"")</f>
        <v/>
      </c>
      <c r="D819" s="46" t="n"/>
      <c r="E819" s="46" t="n"/>
      <c r="G819" s="94">
        <f>IFERROR(($E819-$D819)*24-$F819,"")</f>
        <v/>
      </c>
    </row>
    <row r="820">
      <c r="A820" s="44" t="n"/>
      <c r="B820" s="93">
        <f>IFERROR(MONTH($A820),"")</f>
        <v/>
      </c>
      <c r="D820" s="46" t="n"/>
      <c r="E820" s="46" t="n"/>
      <c r="G820" s="94">
        <f>IFERROR(($E820-$D820)*24-$F820,"")</f>
        <v/>
      </c>
    </row>
    <row r="821">
      <c r="A821" s="44" t="n"/>
      <c r="B821" s="93">
        <f>IFERROR(MONTH($A821),"")</f>
        <v/>
      </c>
      <c r="D821" s="46" t="n"/>
      <c r="E821" s="46" t="n"/>
      <c r="G821" s="94">
        <f>IFERROR(($E821-$D821)*24-$F821,"")</f>
        <v/>
      </c>
    </row>
    <row r="822">
      <c r="A822" s="44" t="n"/>
      <c r="B822" s="93">
        <f>IFERROR(MONTH($A822),"")</f>
        <v/>
      </c>
      <c r="D822" s="46" t="n"/>
      <c r="E822" s="46" t="n"/>
      <c r="G822" s="94">
        <f>IFERROR(($E822-$D822)*24-$F822,"")</f>
        <v/>
      </c>
    </row>
    <row r="823">
      <c r="A823" s="44" t="n"/>
      <c r="B823" s="93">
        <f>IFERROR(MONTH($A823),"")</f>
        <v/>
      </c>
      <c r="D823" s="46" t="n"/>
      <c r="E823" s="46" t="n"/>
      <c r="G823" s="94">
        <f>IFERROR(($E823-$D823)*24-$F823,"")</f>
        <v/>
      </c>
    </row>
    <row r="824">
      <c r="A824" s="44" t="n"/>
      <c r="B824" s="93">
        <f>IFERROR(MONTH($A824),"")</f>
        <v/>
      </c>
      <c r="D824" s="46" t="n"/>
      <c r="E824" s="46" t="n"/>
      <c r="G824" s="94">
        <f>IFERROR(($E824-$D824)*24-$F824,"")</f>
        <v/>
      </c>
    </row>
    <row r="825">
      <c r="A825" s="44" t="n"/>
      <c r="B825" s="93">
        <f>IFERROR(MONTH($A825),"")</f>
        <v/>
      </c>
      <c r="D825" s="46" t="n"/>
      <c r="E825" s="46" t="n"/>
      <c r="G825" s="94">
        <f>IFERROR(($E825-$D825)*24-$F825,"")</f>
        <v/>
      </c>
    </row>
    <row r="826">
      <c r="A826" s="44" t="n"/>
      <c r="B826" s="93">
        <f>IFERROR(MONTH($A826),"")</f>
        <v/>
      </c>
      <c r="D826" s="46" t="n"/>
      <c r="E826" s="46" t="n"/>
      <c r="G826" s="94">
        <f>IFERROR(($E826-$D826)*24-$F826,"")</f>
        <v/>
      </c>
    </row>
    <row r="827">
      <c r="A827" s="44" t="n"/>
      <c r="B827" s="93">
        <f>IFERROR(MONTH($A827),"")</f>
        <v/>
      </c>
      <c r="D827" s="46" t="n"/>
      <c r="E827" s="46" t="n"/>
      <c r="G827" s="94">
        <f>IFERROR(($E827-$D827)*24-$F827,"")</f>
        <v/>
      </c>
    </row>
    <row r="828">
      <c r="A828" s="44" t="n"/>
      <c r="B828" s="93">
        <f>IFERROR(MONTH($A828),"")</f>
        <v/>
      </c>
      <c r="D828" s="46" t="n"/>
      <c r="E828" s="46" t="n"/>
      <c r="G828" s="94">
        <f>IFERROR(($E828-$D828)*24-$F828,"")</f>
        <v/>
      </c>
    </row>
    <row r="829">
      <c r="A829" s="44" t="n"/>
      <c r="B829" s="93">
        <f>IFERROR(MONTH($A829),"")</f>
        <v/>
      </c>
      <c r="D829" s="46" t="n"/>
      <c r="E829" s="46" t="n"/>
      <c r="G829" s="94">
        <f>IFERROR(($E829-$D829)*24-$F829,"")</f>
        <v/>
      </c>
    </row>
    <row r="830">
      <c r="A830" s="44" t="n"/>
      <c r="B830" s="93">
        <f>IFERROR(MONTH($A830),"")</f>
        <v/>
      </c>
      <c r="D830" s="46" t="n"/>
      <c r="E830" s="46" t="n"/>
      <c r="G830" s="94">
        <f>IFERROR(($E830-$D830)*24-$F830,"")</f>
        <v/>
      </c>
    </row>
    <row r="831">
      <c r="A831" s="44" t="n"/>
      <c r="B831" s="93">
        <f>IFERROR(MONTH($A831),"")</f>
        <v/>
      </c>
      <c r="D831" s="46" t="n"/>
      <c r="E831" s="46" t="n"/>
      <c r="G831" s="94">
        <f>IFERROR(($E831-$D831)*24-$F831,"")</f>
        <v/>
      </c>
    </row>
    <row r="832">
      <c r="A832" s="44" t="n"/>
      <c r="B832" s="93">
        <f>IFERROR(MONTH($A832),"")</f>
        <v/>
      </c>
      <c r="D832" s="46" t="n"/>
      <c r="E832" s="46" t="n"/>
      <c r="G832" s="94">
        <f>IFERROR(($E832-$D832)*24-$F832,"")</f>
        <v/>
      </c>
    </row>
    <row r="833">
      <c r="A833" s="44" t="n"/>
      <c r="B833" s="93">
        <f>IFERROR(MONTH($A833),"")</f>
        <v/>
      </c>
      <c r="D833" s="46" t="n"/>
      <c r="E833" s="46" t="n"/>
      <c r="G833" s="94">
        <f>IFERROR(($E833-$D833)*24-$F833,"")</f>
        <v/>
      </c>
    </row>
    <row r="834">
      <c r="A834" s="44" t="n"/>
      <c r="B834" s="93">
        <f>IFERROR(MONTH($A834),"")</f>
        <v/>
      </c>
      <c r="D834" s="46" t="n"/>
      <c r="E834" s="46" t="n"/>
      <c r="G834" s="94">
        <f>IFERROR(($E834-$D834)*24-$F834,"")</f>
        <v/>
      </c>
    </row>
    <row r="835">
      <c r="A835" s="44" t="n"/>
      <c r="B835" s="93">
        <f>IFERROR(MONTH($A835),"")</f>
        <v/>
      </c>
      <c r="D835" s="46" t="n"/>
      <c r="E835" s="46" t="n"/>
      <c r="G835" s="94">
        <f>IFERROR(($E835-$D835)*24-$F835,"")</f>
        <v/>
      </c>
    </row>
    <row r="836">
      <c r="A836" s="44" t="n"/>
      <c r="B836" s="93">
        <f>IFERROR(MONTH($A836),"")</f>
        <v/>
      </c>
      <c r="D836" s="46" t="n"/>
      <c r="E836" s="46" t="n"/>
      <c r="G836" s="94">
        <f>IFERROR(($E836-$D836)*24-$F836,"")</f>
        <v/>
      </c>
    </row>
    <row r="837">
      <c r="A837" s="44" t="n"/>
      <c r="B837" s="93">
        <f>IFERROR(MONTH($A837),"")</f>
        <v/>
      </c>
      <c r="D837" s="46" t="n"/>
      <c r="E837" s="46" t="n"/>
      <c r="G837" s="94">
        <f>IFERROR(($E837-$D837)*24-$F837,"")</f>
        <v/>
      </c>
    </row>
    <row r="838">
      <c r="A838" s="44" t="n"/>
      <c r="B838" s="93">
        <f>IFERROR(MONTH($A838),"")</f>
        <v/>
      </c>
      <c r="D838" s="46" t="n"/>
      <c r="E838" s="46" t="n"/>
      <c r="G838" s="94">
        <f>IFERROR(($E838-$D838)*24-$F838,"")</f>
        <v/>
      </c>
    </row>
    <row r="839">
      <c r="A839" s="44" t="n"/>
      <c r="B839" s="93">
        <f>IFERROR(MONTH($A839),"")</f>
        <v/>
      </c>
      <c r="D839" s="46" t="n"/>
      <c r="E839" s="46" t="n"/>
      <c r="G839" s="94">
        <f>IFERROR(($E839-$D839)*24-$F839,"")</f>
        <v/>
      </c>
    </row>
    <row r="840">
      <c r="A840" s="44" t="n"/>
      <c r="B840" s="93">
        <f>IFERROR(MONTH($A840),"")</f>
        <v/>
      </c>
      <c r="D840" s="46" t="n"/>
      <c r="E840" s="46" t="n"/>
      <c r="G840" s="94">
        <f>IFERROR(($E840-$D840)*24-$F840,"")</f>
        <v/>
      </c>
    </row>
    <row r="841">
      <c r="A841" s="44" t="n"/>
      <c r="B841" s="93">
        <f>IFERROR(MONTH($A841),"")</f>
        <v/>
      </c>
      <c r="D841" s="46" t="n"/>
      <c r="E841" s="46" t="n"/>
      <c r="G841" s="94">
        <f>IFERROR(($E841-$D841)*24-$F841,"")</f>
        <v/>
      </c>
    </row>
    <row r="842">
      <c r="A842" s="44" t="n"/>
      <c r="B842" s="93">
        <f>IFERROR(MONTH($A842),"")</f>
        <v/>
      </c>
      <c r="D842" s="46" t="n"/>
      <c r="E842" s="46" t="n"/>
      <c r="G842" s="94">
        <f>IFERROR(($E842-$D842)*24-$F842,"")</f>
        <v/>
      </c>
    </row>
    <row r="843">
      <c r="A843" s="44" t="n"/>
      <c r="B843" s="93">
        <f>IFERROR(MONTH($A843),"")</f>
        <v/>
      </c>
      <c r="D843" s="46" t="n"/>
      <c r="E843" s="46" t="n"/>
      <c r="G843" s="94">
        <f>IFERROR(($E843-$D843)*24-$F843,"")</f>
        <v/>
      </c>
    </row>
    <row r="844">
      <c r="A844" s="44" t="n"/>
      <c r="B844" s="93">
        <f>IFERROR(MONTH($A844),"")</f>
        <v/>
      </c>
      <c r="D844" s="46" t="n"/>
      <c r="E844" s="46" t="n"/>
      <c r="G844" s="94">
        <f>IFERROR(($E844-$D844)*24-$F844,"")</f>
        <v/>
      </c>
    </row>
    <row r="845">
      <c r="A845" s="44" t="n"/>
      <c r="B845" s="93">
        <f>IFERROR(MONTH($A845),"")</f>
        <v/>
      </c>
      <c r="D845" s="46" t="n"/>
      <c r="E845" s="46" t="n"/>
      <c r="G845" s="94">
        <f>IFERROR(($E845-$D845)*24-$F845,"")</f>
        <v/>
      </c>
    </row>
    <row r="846">
      <c r="A846" s="44" t="n"/>
      <c r="B846" s="93">
        <f>IFERROR(MONTH($A846),"")</f>
        <v/>
      </c>
      <c r="D846" s="46" t="n"/>
      <c r="E846" s="46" t="n"/>
      <c r="G846" s="94">
        <f>IFERROR(($E846-$D846)*24-$F846,"")</f>
        <v/>
      </c>
    </row>
    <row r="847">
      <c r="A847" s="44" t="n"/>
      <c r="B847" s="93">
        <f>IFERROR(MONTH($A847),"")</f>
        <v/>
      </c>
      <c r="D847" s="46" t="n"/>
      <c r="E847" s="46" t="n"/>
      <c r="G847" s="94">
        <f>IFERROR(($E847-$D847)*24-$F847,"")</f>
        <v/>
      </c>
    </row>
    <row r="848">
      <c r="A848" s="44" t="n"/>
      <c r="B848" s="93">
        <f>IFERROR(MONTH($A848),"")</f>
        <v/>
      </c>
      <c r="D848" s="46" t="n"/>
      <c r="E848" s="46" t="n"/>
      <c r="G848" s="94">
        <f>IFERROR(($E848-$D848)*24-$F848,"")</f>
        <v/>
      </c>
    </row>
    <row r="849">
      <c r="A849" s="44" t="n"/>
      <c r="B849" s="93">
        <f>IFERROR(MONTH($A849),"")</f>
        <v/>
      </c>
      <c r="D849" s="46" t="n"/>
      <c r="E849" s="46" t="n"/>
      <c r="G849" s="94">
        <f>IFERROR(($E849-$D849)*24-$F849,"")</f>
        <v/>
      </c>
    </row>
    <row r="850">
      <c r="A850" s="44" t="n"/>
      <c r="B850" s="93">
        <f>IFERROR(MONTH($A850),"")</f>
        <v/>
      </c>
      <c r="D850" s="46" t="n"/>
      <c r="E850" s="46" t="n"/>
      <c r="G850" s="94">
        <f>IFERROR(($E850-$D850)*24-$F850,"")</f>
        <v/>
      </c>
    </row>
    <row r="851">
      <c r="A851" s="44" t="n"/>
      <c r="B851" s="93">
        <f>IFERROR(MONTH($A851),"")</f>
        <v/>
      </c>
      <c r="D851" s="46" t="n"/>
      <c r="E851" s="46" t="n"/>
      <c r="G851" s="94">
        <f>IFERROR(($E851-$D851)*24-$F851,"")</f>
        <v/>
      </c>
    </row>
    <row r="852">
      <c r="A852" s="44" t="n"/>
      <c r="B852" s="93">
        <f>IFERROR(MONTH($A852),"")</f>
        <v/>
      </c>
      <c r="D852" s="46" t="n"/>
      <c r="E852" s="46" t="n"/>
      <c r="G852" s="94">
        <f>IFERROR(($E852-$D852)*24-$F852,"")</f>
        <v/>
      </c>
    </row>
    <row r="853">
      <c r="A853" s="44" t="n"/>
      <c r="B853" s="93">
        <f>IFERROR(MONTH($A853),"")</f>
        <v/>
      </c>
      <c r="D853" s="46" t="n"/>
      <c r="E853" s="46" t="n"/>
      <c r="G853" s="94">
        <f>IFERROR(($E853-$D853)*24-$F853,"")</f>
        <v/>
      </c>
    </row>
    <row r="854">
      <c r="A854" s="44" t="n"/>
      <c r="B854" s="93">
        <f>IFERROR(MONTH($A854),"")</f>
        <v/>
      </c>
      <c r="D854" s="46" t="n"/>
      <c r="E854" s="46" t="n"/>
      <c r="G854" s="94">
        <f>IFERROR(($E854-$D854)*24-$F854,"")</f>
        <v/>
      </c>
    </row>
    <row r="855">
      <c r="A855" s="44" t="n"/>
      <c r="B855" s="93">
        <f>IFERROR(MONTH($A855),"")</f>
        <v/>
      </c>
      <c r="D855" s="46" t="n"/>
      <c r="E855" s="46" t="n"/>
      <c r="G855" s="94">
        <f>IFERROR(($E855-$D855)*24-$F855,"")</f>
        <v/>
      </c>
    </row>
    <row r="856">
      <c r="A856" s="44" t="n"/>
      <c r="B856" s="93">
        <f>IFERROR(MONTH($A856),"")</f>
        <v/>
      </c>
      <c r="D856" s="46" t="n"/>
      <c r="E856" s="46" t="n"/>
      <c r="G856" s="94">
        <f>IFERROR(($E856-$D856)*24-$F856,"")</f>
        <v/>
      </c>
    </row>
    <row r="857">
      <c r="A857" s="44" t="n"/>
      <c r="B857" s="93">
        <f>IFERROR(MONTH($A857),"")</f>
        <v/>
      </c>
      <c r="D857" s="46" t="n"/>
      <c r="E857" s="46" t="n"/>
      <c r="G857" s="94">
        <f>IFERROR(($E857-$D857)*24-$F857,"")</f>
        <v/>
      </c>
    </row>
    <row r="858">
      <c r="A858" s="44" t="n"/>
      <c r="B858" s="93">
        <f>IFERROR(MONTH($A858),"")</f>
        <v/>
      </c>
      <c r="D858" s="46" t="n"/>
      <c r="E858" s="46" t="n"/>
      <c r="G858" s="94">
        <f>IFERROR(($E858-$D858)*24-$F858,"")</f>
        <v/>
      </c>
    </row>
    <row r="859">
      <c r="A859" s="44" t="n"/>
      <c r="B859" s="93">
        <f>IFERROR(MONTH($A859),"")</f>
        <v/>
      </c>
      <c r="D859" s="46" t="n"/>
      <c r="E859" s="46" t="n"/>
      <c r="G859" s="94">
        <f>IFERROR(($E859-$D859)*24-$F859,"")</f>
        <v/>
      </c>
    </row>
    <row r="860">
      <c r="A860" s="44" t="n"/>
      <c r="B860" s="93">
        <f>IFERROR(MONTH($A860),"")</f>
        <v/>
      </c>
      <c r="D860" s="46" t="n"/>
      <c r="E860" s="46" t="n"/>
      <c r="G860" s="94">
        <f>IFERROR(($E860-$D860)*24-$F860,"")</f>
        <v/>
      </c>
    </row>
    <row r="861">
      <c r="A861" s="44" t="n"/>
      <c r="B861" s="93">
        <f>IFERROR(MONTH($A861),"")</f>
        <v/>
      </c>
      <c r="D861" s="46" t="n"/>
      <c r="E861" s="46" t="n"/>
      <c r="G861" s="94">
        <f>IFERROR(($E861-$D861)*24-$F861,"")</f>
        <v/>
      </c>
    </row>
    <row r="862">
      <c r="A862" s="44" t="n"/>
      <c r="B862" s="93">
        <f>IFERROR(MONTH($A862),"")</f>
        <v/>
      </c>
      <c r="D862" s="46" t="n"/>
      <c r="E862" s="46" t="n"/>
      <c r="G862" s="94">
        <f>IFERROR(($E862-$D862)*24-$F862,"")</f>
        <v/>
      </c>
    </row>
    <row r="863">
      <c r="A863" s="44" t="n"/>
      <c r="B863" s="93">
        <f>IFERROR(MONTH($A863),"")</f>
        <v/>
      </c>
      <c r="D863" s="46" t="n"/>
      <c r="E863" s="46" t="n"/>
      <c r="G863" s="94">
        <f>IFERROR(($E863-$D863)*24-$F863,"")</f>
        <v/>
      </c>
    </row>
    <row r="864">
      <c r="A864" s="44" t="n"/>
      <c r="B864" s="93">
        <f>IFERROR(MONTH($A864),"")</f>
        <v/>
      </c>
      <c r="D864" s="46" t="n"/>
      <c r="E864" s="46" t="n"/>
      <c r="G864" s="94">
        <f>IFERROR(($E864-$D864)*24-$F864,"")</f>
        <v/>
      </c>
    </row>
    <row r="865">
      <c r="A865" s="44" t="n"/>
      <c r="B865" s="93">
        <f>IFERROR(MONTH($A865),"")</f>
        <v/>
      </c>
      <c r="D865" s="46" t="n"/>
      <c r="E865" s="46" t="n"/>
      <c r="G865" s="94">
        <f>IFERROR(($E865-$D865)*24-$F865,"")</f>
        <v/>
      </c>
    </row>
    <row r="866">
      <c r="A866" s="44" t="n"/>
      <c r="B866" s="93">
        <f>IFERROR(MONTH($A866),"")</f>
        <v/>
      </c>
      <c r="D866" s="46" t="n"/>
      <c r="E866" s="46" t="n"/>
      <c r="G866" s="94">
        <f>IFERROR(($E866-$D866)*24-$F866,"")</f>
        <v/>
      </c>
    </row>
    <row r="867">
      <c r="A867" s="44" t="n"/>
      <c r="B867" s="93">
        <f>IFERROR(MONTH($A867),"")</f>
        <v/>
      </c>
      <c r="D867" s="46" t="n"/>
      <c r="E867" s="46" t="n"/>
      <c r="G867" s="94">
        <f>IFERROR(($E867-$D867)*24-$F867,"")</f>
        <v/>
      </c>
    </row>
    <row r="868">
      <c r="A868" s="44" t="n"/>
      <c r="B868" s="93">
        <f>IFERROR(MONTH($A868),"")</f>
        <v/>
      </c>
      <c r="D868" s="46" t="n"/>
      <c r="E868" s="46" t="n"/>
      <c r="G868" s="94">
        <f>IFERROR(($E868-$D868)*24-$F868,"")</f>
        <v/>
      </c>
    </row>
    <row r="869">
      <c r="A869" s="44" t="n"/>
      <c r="B869" s="93">
        <f>IFERROR(MONTH($A869),"")</f>
        <v/>
      </c>
      <c r="D869" s="46" t="n"/>
      <c r="E869" s="46" t="n"/>
      <c r="G869" s="94">
        <f>IFERROR(($E869-$D869)*24-$F869,"")</f>
        <v/>
      </c>
    </row>
    <row r="870">
      <c r="A870" s="44" t="n"/>
      <c r="B870" s="93">
        <f>IFERROR(MONTH($A870),"")</f>
        <v/>
      </c>
      <c r="D870" s="46" t="n"/>
      <c r="E870" s="46" t="n"/>
      <c r="G870" s="94">
        <f>IFERROR(($E870-$D870)*24-$F870,"")</f>
        <v/>
      </c>
    </row>
    <row r="871">
      <c r="A871" s="44" t="n"/>
      <c r="B871" s="93">
        <f>IFERROR(MONTH($A871),"")</f>
        <v/>
      </c>
      <c r="D871" s="46" t="n"/>
      <c r="E871" s="46" t="n"/>
      <c r="G871" s="94">
        <f>IFERROR(($E871-$D871)*24-$F871,"")</f>
        <v/>
      </c>
    </row>
    <row r="872">
      <c r="A872" s="44" t="n"/>
      <c r="B872" s="93">
        <f>IFERROR(MONTH($A872),"")</f>
        <v/>
      </c>
      <c r="D872" s="46" t="n"/>
      <c r="E872" s="46" t="n"/>
      <c r="G872" s="94">
        <f>IFERROR(($E872-$D872)*24-$F872,"")</f>
        <v/>
      </c>
    </row>
    <row r="873">
      <c r="A873" s="44" t="n"/>
      <c r="B873" s="93">
        <f>IFERROR(MONTH($A873),"")</f>
        <v/>
      </c>
      <c r="D873" s="46" t="n"/>
      <c r="E873" s="46" t="n"/>
      <c r="G873" s="94">
        <f>IFERROR(($E873-$D873)*24-$F873,"")</f>
        <v/>
      </c>
    </row>
    <row r="874">
      <c r="A874" s="44" t="n"/>
      <c r="B874" s="93">
        <f>IFERROR(MONTH($A874),"")</f>
        <v/>
      </c>
      <c r="D874" s="46" t="n"/>
      <c r="E874" s="46" t="n"/>
      <c r="G874" s="94">
        <f>IFERROR(($E874-$D874)*24-$F874,"")</f>
        <v/>
      </c>
    </row>
    <row r="875">
      <c r="A875" s="44" t="n"/>
      <c r="B875" s="93">
        <f>IFERROR(MONTH($A875),"")</f>
        <v/>
      </c>
      <c r="D875" s="46" t="n"/>
      <c r="E875" s="46" t="n"/>
      <c r="G875" s="94">
        <f>IFERROR(($E875-$D875)*24-$F875,"")</f>
        <v/>
      </c>
    </row>
    <row r="876">
      <c r="A876" s="44" t="n"/>
      <c r="B876" s="93">
        <f>IFERROR(MONTH($A876),"")</f>
        <v/>
      </c>
      <c r="D876" s="46" t="n"/>
      <c r="E876" s="46" t="n"/>
      <c r="G876" s="94">
        <f>IFERROR(($E876-$D876)*24-$F876,"")</f>
        <v/>
      </c>
    </row>
    <row r="877">
      <c r="A877" s="44" t="n"/>
      <c r="B877" s="93">
        <f>IFERROR(MONTH($A877),"")</f>
        <v/>
      </c>
      <c r="D877" s="46" t="n"/>
      <c r="E877" s="46" t="n"/>
      <c r="G877" s="94">
        <f>IFERROR(($E877-$D877)*24-$F877,"")</f>
        <v/>
      </c>
    </row>
    <row r="878">
      <c r="A878" s="44" t="n"/>
      <c r="B878" s="93">
        <f>IFERROR(MONTH($A878),"")</f>
        <v/>
      </c>
      <c r="D878" s="46" t="n"/>
      <c r="E878" s="46" t="n"/>
      <c r="G878" s="94">
        <f>IFERROR(($E878-$D878)*24-$F878,"")</f>
        <v/>
      </c>
    </row>
    <row r="879">
      <c r="A879" s="44" t="n"/>
      <c r="B879" s="93">
        <f>IFERROR(MONTH($A879),"")</f>
        <v/>
      </c>
      <c r="D879" s="46" t="n"/>
      <c r="E879" s="46" t="n"/>
      <c r="G879" s="94">
        <f>IFERROR(($E879-$D879)*24-$F879,"")</f>
        <v/>
      </c>
    </row>
    <row r="880">
      <c r="A880" s="44" t="n"/>
      <c r="B880" s="93">
        <f>IFERROR(MONTH($A880),"")</f>
        <v/>
      </c>
      <c r="D880" s="46" t="n"/>
      <c r="E880" s="46" t="n"/>
      <c r="G880" s="94">
        <f>IFERROR(($E880-$D880)*24-$F880,"")</f>
        <v/>
      </c>
    </row>
    <row r="881">
      <c r="A881" s="44" t="n"/>
      <c r="B881" s="93">
        <f>IFERROR(MONTH($A881),"")</f>
        <v/>
      </c>
      <c r="D881" s="46" t="n"/>
      <c r="E881" s="46" t="n"/>
      <c r="G881" s="94">
        <f>IFERROR(($E881-$D881)*24-$F881,"")</f>
        <v/>
      </c>
    </row>
    <row r="882">
      <c r="A882" s="44" t="n"/>
      <c r="B882" s="93">
        <f>IFERROR(MONTH($A882),"")</f>
        <v/>
      </c>
      <c r="D882" s="46" t="n"/>
      <c r="E882" s="46" t="n"/>
      <c r="G882" s="94">
        <f>IFERROR(($E882-$D882)*24-$F882,"")</f>
        <v/>
      </c>
    </row>
    <row r="883">
      <c r="A883" s="44" t="n"/>
      <c r="B883" s="93">
        <f>IFERROR(MONTH($A883),"")</f>
        <v/>
      </c>
      <c r="D883" s="46" t="n"/>
      <c r="E883" s="46" t="n"/>
      <c r="G883" s="94">
        <f>IFERROR(($E883-$D883)*24-$F883,"")</f>
        <v/>
      </c>
    </row>
    <row r="884">
      <c r="A884" s="44" t="n"/>
      <c r="B884" s="93">
        <f>IFERROR(MONTH($A884),"")</f>
        <v/>
      </c>
      <c r="D884" s="46" t="n"/>
      <c r="E884" s="46" t="n"/>
      <c r="G884" s="94">
        <f>IFERROR(($E884-$D884)*24-$F884,"")</f>
        <v/>
      </c>
    </row>
    <row r="885">
      <c r="A885" s="44" t="n"/>
      <c r="B885" s="93">
        <f>IFERROR(MONTH($A885),"")</f>
        <v/>
      </c>
      <c r="D885" s="46" t="n"/>
      <c r="E885" s="46" t="n"/>
      <c r="G885" s="94">
        <f>IFERROR(($E885-$D885)*24-$F885,"")</f>
        <v/>
      </c>
    </row>
    <row r="886">
      <c r="A886" s="44" t="n"/>
      <c r="B886" s="93">
        <f>IFERROR(MONTH($A886),"")</f>
        <v/>
      </c>
      <c r="D886" s="46" t="n"/>
      <c r="E886" s="46" t="n"/>
      <c r="G886" s="94">
        <f>IFERROR(($E886-$D886)*24-$F886,"")</f>
        <v/>
      </c>
    </row>
    <row r="887">
      <c r="A887" s="44" t="n"/>
      <c r="B887" s="93">
        <f>IFERROR(MONTH($A887),"")</f>
        <v/>
      </c>
      <c r="D887" s="46" t="n"/>
      <c r="E887" s="46" t="n"/>
      <c r="G887" s="94">
        <f>IFERROR(($E887-$D887)*24-$F887,"")</f>
        <v/>
      </c>
    </row>
    <row r="888">
      <c r="A888" s="44" t="n"/>
      <c r="B888" s="93">
        <f>IFERROR(MONTH($A888),"")</f>
        <v/>
      </c>
      <c r="D888" s="46" t="n"/>
      <c r="E888" s="46" t="n"/>
      <c r="G888" s="94">
        <f>IFERROR(($E888-$D888)*24-$F888,"")</f>
        <v/>
      </c>
    </row>
    <row r="889">
      <c r="A889" s="44" t="n"/>
      <c r="B889" s="93">
        <f>IFERROR(MONTH($A889),"")</f>
        <v/>
      </c>
      <c r="D889" s="46" t="n"/>
      <c r="E889" s="46" t="n"/>
      <c r="G889" s="94">
        <f>IFERROR(($E889-$D889)*24-$F889,"")</f>
        <v/>
      </c>
    </row>
    <row r="890">
      <c r="A890" s="44" t="n"/>
      <c r="B890" s="93">
        <f>IFERROR(MONTH($A890),"")</f>
        <v/>
      </c>
      <c r="D890" s="46" t="n"/>
      <c r="E890" s="46" t="n"/>
      <c r="G890" s="94">
        <f>IFERROR(($E890-$D890)*24-$F890,"")</f>
        <v/>
      </c>
    </row>
    <row r="891">
      <c r="A891" s="44" t="n"/>
      <c r="B891" s="93">
        <f>IFERROR(MONTH($A891),"")</f>
        <v/>
      </c>
      <c r="D891" s="46" t="n"/>
      <c r="E891" s="46" t="n"/>
      <c r="G891" s="94">
        <f>IFERROR(($E891-$D891)*24-$F891,"")</f>
        <v/>
      </c>
    </row>
    <row r="892">
      <c r="A892" s="44" t="n"/>
      <c r="B892" s="93">
        <f>IFERROR(MONTH($A892),"")</f>
        <v/>
      </c>
      <c r="D892" s="46" t="n"/>
      <c r="E892" s="46" t="n"/>
      <c r="G892" s="94">
        <f>IFERROR(($E892-$D892)*24-$F892,"")</f>
        <v/>
      </c>
    </row>
    <row r="893">
      <c r="A893" s="44" t="n"/>
      <c r="B893" s="93">
        <f>IFERROR(MONTH($A893),"")</f>
        <v/>
      </c>
      <c r="D893" s="46" t="n"/>
      <c r="E893" s="46" t="n"/>
      <c r="G893" s="94">
        <f>IFERROR(($E893-$D893)*24-$F893,"")</f>
        <v/>
      </c>
    </row>
    <row r="894">
      <c r="A894" s="44" t="n"/>
      <c r="B894" s="93">
        <f>IFERROR(MONTH($A894),"")</f>
        <v/>
      </c>
      <c r="D894" s="46" t="n"/>
      <c r="E894" s="46" t="n"/>
      <c r="G894" s="94">
        <f>IFERROR(($E894-$D894)*24-$F894,"")</f>
        <v/>
      </c>
    </row>
    <row r="895">
      <c r="A895" s="44" t="n"/>
      <c r="B895" s="93">
        <f>IFERROR(MONTH($A895),"")</f>
        <v/>
      </c>
      <c r="D895" s="46" t="n"/>
      <c r="E895" s="46" t="n"/>
      <c r="G895" s="94">
        <f>IFERROR(($E895-$D895)*24-$F895,"")</f>
        <v/>
      </c>
    </row>
    <row r="896">
      <c r="A896" s="44" t="n"/>
      <c r="B896" s="93">
        <f>IFERROR(MONTH($A896),"")</f>
        <v/>
      </c>
      <c r="D896" s="46" t="n"/>
      <c r="E896" s="46" t="n"/>
      <c r="G896" s="94">
        <f>IFERROR(($E896-$D896)*24-$F896,"")</f>
        <v/>
      </c>
    </row>
    <row r="897">
      <c r="A897" s="44" t="n"/>
      <c r="B897" s="93">
        <f>IFERROR(MONTH($A897),"")</f>
        <v/>
      </c>
      <c r="D897" s="46" t="n"/>
      <c r="E897" s="46" t="n"/>
      <c r="G897" s="94">
        <f>IFERROR(($E897-$D897)*24-$F897,"")</f>
        <v/>
      </c>
    </row>
    <row r="898">
      <c r="A898" s="44" t="n"/>
      <c r="B898" s="93">
        <f>IFERROR(MONTH($A898),"")</f>
        <v/>
      </c>
      <c r="D898" s="46" t="n"/>
      <c r="E898" s="46" t="n"/>
      <c r="G898" s="94">
        <f>IFERROR(($E898-$D898)*24-$F898,"")</f>
        <v/>
      </c>
    </row>
    <row r="899">
      <c r="A899" s="44" t="n"/>
      <c r="B899" s="93">
        <f>IFERROR(MONTH($A899),"")</f>
        <v/>
      </c>
      <c r="D899" s="46" t="n"/>
      <c r="E899" s="46" t="n"/>
      <c r="G899" s="94">
        <f>IFERROR(($E899-$D899)*24-$F899,"")</f>
        <v/>
      </c>
    </row>
    <row r="900">
      <c r="A900" s="44" t="n"/>
      <c r="B900" s="93">
        <f>IFERROR(MONTH($A900),"")</f>
        <v/>
      </c>
      <c r="D900" s="46" t="n"/>
      <c r="E900" s="46" t="n"/>
      <c r="G900" s="94">
        <f>IFERROR(($E900-$D900)*24-$F900,"")</f>
        <v/>
      </c>
    </row>
    <row r="901">
      <c r="A901" s="44" t="n"/>
      <c r="B901" s="93">
        <f>IFERROR(MONTH($A901),"")</f>
        <v/>
      </c>
      <c r="D901" s="46" t="n"/>
      <c r="E901" s="46" t="n"/>
      <c r="G901" s="94">
        <f>IFERROR(($E901-$D901)*24-$F901,"")</f>
        <v/>
      </c>
    </row>
    <row r="902">
      <c r="A902" s="44" t="n"/>
      <c r="B902" s="93">
        <f>IFERROR(MONTH($A902),"")</f>
        <v/>
      </c>
      <c r="D902" s="46" t="n"/>
      <c r="E902" s="46" t="n"/>
      <c r="G902" s="94">
        <f>IFERROR(($E902-$D902)*24-$F902,"")</f>
        <v/>
      </c>
    </row>
    <row r="903">
      <c r="A903" s="44" t="n"/>
      <c r="B903" s="93">
        <f>IFERROR(MONTH($A903),"")</f>
        <v/>
      </c>
      <c r="D903" s="46" t="n"/>
      <c r="E903" s="46" t="n"/>
      <c r="G903" s="94">
        <f>IFERROR(($E903-$D903)*24-$F903,"")</f>
        <v/>
      </c>
    </row>
    <row r="904">
      <c r="A904" s="44" t="n"/>
      <c r="B904" s="93">
        <f>IFERROR(MONTH($A904),"")</f>
        <v/>
      </c>
      <c r="D904" s="46" t="n"/>
      <c r="E904" s="46" t="n"/>
      <c r="G904" s="94">
        <f>IFERROR(($E904-$D904)*24-$F904,"")</f>
        <v/>
      </c>
    </row>
    <row r="905">
      <c r="A905" s="44" t="n"/>
      <c r="B905" s="93">
        <f>IFERROR(MONTH($A905),"")</f>
        <v/>
      </c>
      <c r="D905" s="46" t="n"/>
      <c r="E905" s="46" t="n"/>
      <c r="G905" s="94">
        <f>IFERROR(($E905-$D905)*24-$F905,"")</f>
        <v/>
      </c>
    </row>
    <row r="906">
      <c r="A906" s="44" t="n"/>
      <c r="B906" s="93">
        <f>IFERROR(MONTH($A906),"")</f>
        <v/>
      </c>
      <c r="D906" s="46" t="n"/>
      <c r="E906" s="46" t="n"/>
      <c r="G906" s="94">
        <f>IFERROR(($E906-$D906)*24-$F906,"")</f>
        <v/>
      </c>
    </row>
    <row r="907">
      <c r="A907" s="44" t="n"/>
      <c r="B907" s="93">
        <f>IFERROR(MONTH($A907),"")</f>
        <v/>
      </c>
      <c r="D907" s="46" t="n"/>
      <c r="E907" s="46" t="n"/>
      <c r="G907" s="94">
        <f>IFERROR(($E907-$D907)*24-$F907,"")</f>
        <v/>
      </c>
    </row>
    <row r="908">
      <c r="A908" s="44" t="n"/>
      <c r="B908" s="93">
        <f>IFERROR(MONTH($A908),"")</f>
        <v/>
      </c>
      <c r="D908" s="46" t="n"/>
      <c r="E908" s="46" t="n"/>
      <c r="G908" s="94">
        <f>IFERROR(($E908-$D908)*24-$F908,"")</f>
        <v/>
      </c>
    </row>
    <row r="909">
      <c r="A909" s="44" t="n"/>
      <c r="B909" s="93">
        <f>IFERROR(MONTH($A909),"")</f>
        <v/>
      </c>
      <c r="D909" s="46" t="n"/>
      <c r="E909" s="46" t="n"/>
      <c r="G909" s="94">
        <f>IFERROR(($E909-$D909)*24-$F909,"")</f>
        <v/>
      </c>
    </row>
    <row r="910">
      <c r="A910" s="44" t="n"/>
      <c r="B910" s="93">
        <f>IFERROR(MONTH($A910),"")</f>
        <v/>
      </c>
      <c r="D910" s="46" t="n"/>
      <c r="E910" s="46" t="n"/>
      <c r="G910" s="94">
        <f>IFERROR(($E910-$D910)*24-$F910,"")</f>
        <v/>
      </c>
    </row>
    <row r="911">
      <c r="A911" s="44" t="n"/>
      <c r="B911" s="93">
        <f>IFERROR(MONTH($A911),"")</f>
        <v/>
      </c>
      <c r="D911" s="46" t="n"/>
      <c r="E911" s="46" t="n"/>
      <c r="G911" s="94">
        <f>IFERROR(($E911-$D911)*24-$F911,"")</f>
        <v/>
      </c>
    </row>
    <row r="912">
      <c r="A912" s="44" t="n"/>
      <c r="B912" s="93">
        <f>IFERROR(MONTH($A912),"")</f>
        <v/>
      </c>
      <c r="D912" s="46" t="n"/>
      <c r="E912" s="46" t="n"/>
      <c r="G912" s="94">
        <f>IFERROR(($E912-$D912)*24-$F912,"")</f>
        <v/>
      </c>
    </row>
    <row r="913">
      <c r="A913" s="44" t="n"/>
      <c r="B913" s="93">
        <f>IFERROR(MONTH($A913),"")</f>
        <v/>
      </c>
      <c r="D913" s="46" t="n"/>
      <c r="E913" s="46" t="n"/>
      <c r="G913" s="94">
        <f>IFERROR(($E913-$D913)*24-$F913,"")</f>
        <v/>
      </c>
    </row>
    <row r="914">
      <c r="A914" s="44" t="n"/>
      <c r="B914" s="93">
        <f>IFERROR(MONTH($A914),"")</f>
        <v/>
      </c>
      <c r="D914" s="46" t="n"/>
      <c r="E914" s="46" t="n"/>
      <c r="G914" s="94">
        <f>IFERROR(($E914-$D914)*24-$F914,"")</f>
        <v/>
      </c>
    </row>
    <row r="915">
      <c r="A915" s="44" t="n"/>
      <c r="B915" s="93">
        <f>IFERROR(MONTH($A915),"")</f>
        <v/>
      </c>
      <c r="D915" s="46" t="n"/>
      <c r="E915" s="46" t="n"/>
      <c r="G915" s="94">
        <f>IFERROR(($E915-$D915)*24-$F915,"")</f>
        <v/>
      </c>
    </row>
    <row r="916">
      <c r="A916" s="44" t="n"/>
      <c r="B916" s="93">
        <f>IFERROR(MONTH($A916),"")</f>
        <v/>
      </c>
      <c r="D916" s="46" t="n"/>
      <c r="E916" s="46" t="n"/>
      <c r="G916" s="94">
        <f>IFERROR(($E916-$D916)*24-$F916,"")</f>
        <v/>
      </c>
    </row>
    <row r="917">
      <c r="A917" s="44" t="n"/>
      <c r="B917" s="93">
        <f>IFERROR(MONTH($A917),"")</f>
        <v/>
      </c>
      <c r="D917" s="46" t="n"/>
      <c r="E917" s="46" t="n"/>
      <c r="G917" s="94">
        <f>IFERROR(($E917-$D917)*24-$F917,"")</f>
        <v/>
      </c>
    </row>
    <row r="918">
      <c r="A918" s="44" t="n"/>
      <c r="B918" s="93">
        <f>IFERROR(MONTH($A918),"")</f>
        <v/>
      </c>
      <c r="D918" s="46" t="n"/>
      <c r="E918" s="46" t="n"/>
      <c r="G918" s="94">
        <f>IFERROR(($E918-$D918)*24-$F918,"")</f>
        <v/>
      </c>
    </row>
    <row r="919">
      <c r="A919" s="44" t="n"/>
      <c r="B919" s="93">
        <f>IFERROR(MONTH($A919),"")</f>
        <v/>
      </c>
      <c r="D919" s="46" t="n"/>
      <c r="E919" s="46" t="n"/>
      <c r="G919" s="94">
        <f>IFERROR(($E919-$D919)*24-$F919,"")</f>
        <v/>
      </c>
    </row>
    <row r="920">
      <c r="A920" s="44" t="n"/>
      <c r="B920" s="93">
        <f>IFERROR(MONTH($A920),"")</f>
        <v/>
      </c>
      <c r="D920" s="46" t="n"/>
      <c r="E920" s="46" t="n"/>
      <c r="G920" s="94">
        <f>IFERROR(($E920-$D920)*24-$F920,"")</f>
        <v/>
      </c>
    </row>
    <row r="921">
      <c r="A921" s="44" t="n"/>
      <c r="B921" s="93">
        <f>IFERROR(MONTH($A921),"")</f>
        <v/>
      </c>
      <c r="D921" s="46" t="n"/>
      <c r="E921" s="46" t="n"/>
      <c r="G921" s="94">
        <f>IFERROR(($E921-$D921)*24-$F921,"")</f>
        <v/>
      </c>
    </row>
    <row r="922">
      <c r="A922" s="44" t="n"/>
      <c r="B922" s="93">
        <f>IFERROR(MONTH($A922),"")</f>
        <v/>
      </c>
      <c r="D922" s="46" t="n"/>
      <c r="E922" s="46" t="n"/>
      <c r="G922" s="94">
        <f>IFERROR(($E922-$D922)*24-$F922,"")</f>
        <v/>
      </c>
    </row>
    <row r="923">
      <c r="A923" s="44" t="n"/>
      <c r="B923" s="93">
        <f>IFERROR(MONTH($A923),"")</f>
        <v/>
      </c>
      <c r="D923" s="46" t="n"/>
      <c r="E923" s="46" t="n"/>
      <c r="G923" s="94">
        <f>IFERROR(($E923-$D923)*24-$F923,"")</f>
        <v/>
      </c>
    </row>
    <row r="924">
      <c r="A924" s="44" t="n"/>
      <c r="B924" s="93">
        <f>IFERROR(MONTH($A924),"")</f>
        <v/>
      </c>
      <c r="D924" s="46" t="n"/>
      <c r="E924" s="46" t="n"/>
      <c r="G924" s="94">
        <f>IFERROR(($E924-$D924)*24-$F924,"")</f>
        <v/>
      </c>
    </row>
    <row r="925">
      <c r="A925" s="44" t="n"/>
      <c r="B925" s="93">
        <f>IFERROR(MONTH($A925),"")</f>
        <v/>
      </c>
      <c r="D925" s="46" t="n"/>
      <c r="E925" s="46" t="n"/>
      <c r="G925" s="94">
        <f>IFERROR(($E925-$D925)*24-$F925,"")</f>
        <v/>
      </c>
    </row>
    <row r="926">
      <c r="A926" s="44" t="n"/>
      <c r="B926" s="93">
        <f>IFERROR(MONTH($A926),"")</f>
        <v/>
      </c>
      <c r="D926" s="46" t="n"/>
      <c r="E926" s="46" t="n"/>
      <c r="G926" s="94">
        <f>IFERROR(($E926-$D926)*24-$F926,"")</f>
        <v/>
      </c>
    </row>
    <row r="927">
      <c r="A927" s="44" t="n"/>
      <c r="B927" s="93">
        <f>IFERROR(MONTH($A927),"")</f>
        <v/>
      </c>
      <c r="D927" s="46" t="n"/>
      <c r="E927" s="46" t="n"/>
      <c r="G927" s="94">
        <f>IFERROR(($E927-$D927)*24-$F927,"")</f>
        <v/>
      </c>
    </row>
    <row r="928">
      <c r="A928" s="44" t="n"/>
      <c r="B928" s="93">
        <f>IFERROR(MONTH($A928),"")</f>
        <v/>
      </c>
      <c r="D928" s="46" t="n"/>
      <c r="E928" s="46" t="n"/>
      <c r="G928" s="94">
        <f>IFERROR(($E928-$D928)*24-$F928,"")</f>
        <v/>
      </c>
    </row>
    <row r="929">
      <c r="A929" s="44" t="n"/>
      <c r="B929" s="93">
        <f>IFERROR(MONTH($A929),"")</f>
        <v/>
      </c>
      <c r="D929" s="46" t="n"/>
      <c r="E929" s="46" t="n"/>
      <c r="G929" s="94">
        <f>IFERROR(($E929-$D929)*24-$F929,"")</f>
        <v/>
      </c>
    </row>
    <row r="930">
      <c r="A930" s="44" t="n"/>
      <c r="B930" s="93">
        <f>IFERROR(MONTH($A930),"")</f>
        <v/>
      </c>
      <c r="D930" s="46" t="n"/>
      <c r="E930" s="46" t="n"/>
      <c r="G930" s="94">
        <f>IFERROR(($E930-$D930)*24-$F930,"")</f>
        <v/>
      </c>
    </row>
    <row r="931">
      <c r="A931" s="44" t="n"/>
      <c r="B931" s="93">
        <f>IFERROR(MONTH($A931),"")</f>
        <v/>
      </c>
      <c r="D931" s="46" t="n"/>
      <c r="E931" s="46" t="n"/>
      <c r="G931" s="94">
        <f>IFERROR(($E931-$D931)*24-$F931,"")</f>
        <v/>
      </c>
    </row>
    <row r="932">
      <c r="A932" s="44" t="n"/>
      <c r="B932" s="93">
        <f>IFERROR(MONTH($A932),"")</f>
        <v/>
      </c>
      <c r="D932" s="46" t="n"/>
      <c r="E932" s="46" t="n"/>
      <c r="G932" s="94">
        <f>IFERROR(($E932-$D932)*24-$F932,"")</f>
        <v/>
      </c>
    </row>
    <row r="933">
      <c r="A933" s="44" t="n"/>
      <c r="B933" s="93">
        <f>IFERROR(MONTH($A933),"")</f>
        <v/>
      </c>
      <c r="D933" s="46" t="n"/>
      <c r="E933" s="46" t="n"/>
      <c r="G933" s="94">
        <f>IFERROR(($E933-$D933)*24-$F933,"")</f>
        <v/>
      </c>
    </row>
    <row r="934">
      <c r="A934" s="44" t="n"/>
      <c r="B934" s="93">
        <f>IFERROR(MONTH($A934),"")</f>
        <v/>
      </c>
      <c r="D934" s="46" t="n"/>
      <c r="E934" s="46" t="n"/>
      <c r="G934" s="94">
        <f>IFERROR(($E934-$D934)*24-$F934,"")</f>
        <v/>
      </c>
    </row>
    <row r="935">
      <c r="A935" s="44" t="n"/>
      <c r="B935" s="93">
        <f>IFERROR(MONTH($A935),"")</f>
        <v/>
      </c>
      <c r="D935" s="46" t="n"/>
      <c r="E935" s="46" t="n"/>
      <c r="G935" s="94">
        <f>IFERROR(($E935-$D935)*24-$F935,"")</f>
        <v/>
      </c>
    </row>
    <row r="936">
      <c r="A936" s="44" t="n"/>
      <c r="B936" s="93">
        <f>IFERROR(MONTH($A936),"")</f>
        <v/>
      </c>
      <c r="D936" s="46" t="n"/>
      <c r="E936" s="46" t="n"/>
      <c r="G936" s="94">
        <f>IFERROR(($E936-$D936)*24-$F936,"")</f>
        <v/>
      </c>
    </row>
    <row r="937">
      <c r="A937" s="44" t="n"/>
      <c r="B937" s="93">
        <f>IFERROR(MONTH($A937),"")</f>
        <v/>
      </c>
      <c r="D937" s="46" t="n"/>
      <c r="E937" s="46" t="n"/>
      <c r="G937" s="94">
        <f>IFERROR(($E937-$D937)*24-$F937,"")</f>
        <v/>
      </c>
    </row>
    <row r="938">
      <c r="A938" s="44" t="n"/>
      <c r="B938" s="93">
        <f>IFERROR(MONTH($A938),"")</f>
        <v/>
      </c>
      <c r="D938" s="46" t="n"/>
      <c r="E938" s="46" t="n"/>
      <c r="G938" s="94">
        <f>IFERROR(($E938-$D938)*24-$F938,"")</f>
        <v/>
      </c>
    </row>
    <row r="939">
      <c r="A939" s="44" t="n"/>
      <c r="B939" s="93">
        <f>IFERROR(MONTH($A939),"")</f>
        <v/>
      </c>
      <c r="D939" s="46" t="n"/>
      <c r="E939" s="46" t="n"/>
      <c r="G939" s="94">
        <f>IFERROR(($E939-$D939)*24-$F939,"")</f>
        <v/>
      </c>
    </row>
    <row r="940">
      <c r="A940" s="44" t="n"/>
      <c r="B940" s="93">
        <f>IFERROR(MONTH($A940),"")</f>
        <v/>
      </c>
      <c r="D940" s="46" t="n"/>
      <c r="E940" s="46" t="n"/>
      <c r="G940" s="94">
        <f>IFERROR(($E940-$D940)*24-$F940,"")</f>
        <v/>
      </c>
    </row>
    <row r="941">
      <c r="A941" s="44" t="n"/>
      <c r="B941" s="93">
        <f>IFERROR(MONTH($A941),"")</f>
        <v/>
      </c>
      <c r="D941" s="46" t="n"/>
      <c r="E941" s="46" t="n"/>
      <c r="G941" s="94">
        <f>IFERROR(($E941-$D941)*24-$F941,"")</f>
        <v/>
      </c>
    </row>
    <row r="942">
      <c r="A942" s="44" t="n"/>
      <c r="B942" s="93">
        <f>IFERROR(MONTH($A942),"")</f>
        <v/>
      </c>
      <c r="D942" s="46" t="n"/>
      <c r="E942" s="46" t="n"/>
      <c r="G942" s="94">
        <f>IFERROR(($E942-$D942)*24-$F942,"")</f>
        <v/>
      </c>
    </row>
    <row r="943">
      <c r="A943" s="44" t="n"/>
      <c r="B943" s="93">
        <f>IFERROR(MONTH($A943),"")</f>
        <v/>
      </c>
      <c r="D943" s="46" t="n"/>
      <c r="E943" s="46" t="n"/>
      <c r="G943" s="94">
        <f>IFERROR(($E943-$D943)*24-$F943,"")</f>
        <v/>
      </c>
    </row>
    <row r="944">
      <c r="A944" s="44" t="n"/>
      <c r="B944" s="93">
        <f>IFERROR(MONTH($A944),"")</f>
        <v/>
      </c>
      <c r="D944" s="46" t="n"/>
      <c r="E944" s="46" t="n"/>
      <c r="G944" s="94">
        <f>IFERROR(($E944-$D944)*24-$F944,"")</f>
        <v/>
      </c>
    </row>
    <row r="945">
      <c r="A945" s="44" t="n"/>
      <c r="B945" s="93">
        <f>IFERROR(MONTH($A945),"")</f>
        <v/>
      </c>
      <c r="D945" s="46" t="n"/>
      <c r="E945" s="46" t="n"/>
      <c r="G945" s="94">
        <f>IFERROR(($E945-$D945)*24-$F945,"")</f>
        <v/>
      </c>
    </row>
    <row r="946">
      <c r="A946" s="44" t="n"/>
      <c r="B946" s="93">
        <f>IFERROR(MONTH($A946),"")</f>
        <v/>
      </c>
      <c r="D946" s="46" t="n"/>
      <c r="E946" s="46" t="n"/>
      <c r="G946" s="94">
        <f>IFERROR(($E946-$D946)*24-$F946,"")</f>
        <v/>
      </c>
    </row>
    <row r="947">
      <c r="A947" s="44" t="n"/>
      <c r="B947" s="93">
        <f>IFERROR(MONTH($A947),"")</f>
        <v/>
      </c>
      <c r="D947" s="46" t="n"/>
      <c r="E947" s="46" t="n"/>
      <c r="G947" s="94">
        <f>IFERROR(($E947-$D947)*24-$F947,"")</f>
        <v/>
      </c>
    </row>
    <row r="948">
      <c r="A948" s="44" t="n"/>
      <c r="B948" s="93">
        <f>IFERROR(MONTH($A948),"")</f>
        <v/>
      </c>
      <c r="D948" s="46" t="n"/>
      <c r="E948" s="46" t="n"/>
      <c r="G948" s="94">
        <f>IFERROR(($E948-$D948)*24-$F948,"")</f>
        <v/>
      </c>
    </row>
    <row r="949">
      <c r="A949" s="44" t="n"/>
      <c r="B949" s="93">
        <f>IFERROR(MONTH($A949),"")</f>
        <v/>
      </c>
      <c r="D949" s="46" t="n"/>
      <c r="E949" s="46" t="n"/>
      <c r="G949" s="94">
        <f>IFERROR(($E949-$D949)*24-$F949,"")</f>
        <v/>
      </c>
    </row>
    <row r="950">
      <c r="A950" s="44" t="n"/>
      <c r="B950" s="93">
        <f>IFERROR(MONTH($A950),"")</f>
        <v/>
      </c>
      <c r="D950" s="46" t="n"/>
      <c r="E950" s="46" t="n"/>
      <c r="G950" s="94">
        <f>IFERROR(($E950-$D950)*24-$F950,"")</f>
        <v/>
      </c>
    </row>
    <row r="951">
      <c r="A951" s="44" t="n"/>
      <c r="B951" s="93">
        <f>IFERROR(MONTH($A951),"")</f>
        <v/>
      </c>
      <c r="D951" s="46" t="n"/>
      <c r="E951" s="46" t="n"/>
      <c r="G951" s="94">
        <f>IFERROR(($E951-$D951)*24-$F951,"")</f>
        <v/>
      </c>
    </row>
    <row r="952">
      <c r="A952" s="44" t="n"/>
      <c r="B952" s="93">
        <f>IFERROR(MONTH($A952),"")</f>
        <v/>
      </c>
      <c r="D952" s="46" t="n"/>
      <c r="E952" s="46" t="n"/>
      <c r="G952" s="94">
        <f>IFERROR(($E952-$D952)*24-$F952,"")</f>
        <v/>
      </c>
    </row>
    <row r="953">
      <c r="A953" s="44" t="n"/>
      <c r="B953" s="93">
        <f>IFERROR(MONTH($A953),"")</f>
        <v/>
      </c>
      <c r="D953" s="46" t="n"/>
      <c r="E953" s="46" t="n"/>
      <c r="G953" s="94">
        <f>IFERROR(($E953-$D953)*24-$F953,"")</f>
        <v/>
      </c>
    </row>
    <row r="954">
      <c r="A954" s="44" t="n"/>
      <c r="B954" s="93">
        <f>IFERROR(MONTH($A954),"")</f>
        <v/>
      </c>
      <c r="D954" s="46" t="n"/>
      <c r="E954" s="46" t="n"/>
      <c r="G954" s="94">
        <f>IFERROR(($E954-$D954)*24-$F954,"")</f>
        <v/>
      </c>
    </row>
    <row r="955">
      <c r="A955" s="44" t="n"/>
      <c r="B955" s="93">
        <f>IFERROR(MONTH($A955),"")</f>
        <v/>
      </c>
      <c r="D955" s="46" t="n"/>
      <c r="E955" s="46" t="n"/>
      <c r="G955" s="94">
        <f>IFERROR(($E955-$D955)*24-$F955,"")</f>
        <v/>
      </c>
    </row>
    <row r="956">
      <c r="A956" s="44" t="n"/>
      <c r="B956" s="93">
        <f>IFERROR(MONTH($A956),"")</f>
        <v/>
      </c>
      <c r="D956" s="46" t="n"/>
      <c r="E956" s="46" t="n"/>
      <c r="G956" s="94">
        <f>IFERROR(($E956-$D956)*24-$F956,"")</f>
        <v/>
      </c>
    </row>
    <row r="957">
      <c r="A957" s="44" t="n"/>
      <c r="B957" s="93">
        <f>IFERROR(MONTH($A957),"")</f>
        <v/>
      </c>
      <c r="D957" s="46" t="n"/>
      <c r="E957" s="46" t="n"/>
      <c r="G957" s="94">
        <f>IFERROR(($E957-$D957)*24-$F957,"")</f>
        <v/>
      </c>
    </row>
    <row r="958">
      <c r="A958" s="44" t="n"/>
      <c r="B958" s="93">
        <f>IFERROR(MONTH($A958),"")</f>
        <v/>
      </c>
      <c r="D958" s="46" t="n"/>
      <c r="E958" s="46" t="n"/>
      <c r="G958" s="94">
        <f>IFERROR(($E958-$D958)*24-$F958,"")</f>
        <v/>
      </c>
    </row>
    <row r="959">
      <c r="A959" s="44" t="n"/>
      <c r="B959" s="93">
        <f>IFERROR(MONTH($A959),"")</f>
        <v/>
      </c>
      <c r="D959" s="46" t="n"/>
      <c r="E959" s="46" t="n"/>
      <c r="G959" s="94">
        <f>IFERROR(($E959-$D959)*24-$F959,"")</f>
        <v/>
      </c>
    </row>
    <row r="960">
      <c r="A960" s="44" t="n"/>
      <c r="B960" s="93">
        <f>IFERROR(MONTH($A960),"")</f>
        <v/>
      </c>
      <c r="D960" s="46" t="n"/>
      <c r="E960" s="46" t="n"/>
      <c r="G960" s="94">
        <f>IFERROR(($E960-$D960)*24-$F960,"")</f>
        <v/>
      </c>
    </row>
    <row r="961">
      <c r="A961" s="44" t="n"/>
      <c r="B961" s="93">
        <f>IFERROR(MONTH($A961),"")</f>
        <v/>
      </c>
      <c r="D961" s="46" t="n"/>
      <c r="E961" s="46" t="n"/>
      <c r="G961" s="94">
        <f>IFERROR(($E961-$D961)*24-$F961,"")</f>
        <v/>
      </c>
    </row>
    <row r="962">
      <c r="A962" s="44" t="n"/>
      <c r="B962" s="93">
        <f>IFERROR(MONTH($A962),"")</f>
        <v/>
      </c>
      <c r="D962" s="46" t="n"/>
      <c r="E962" s="46" t="n"/>
      <c r="G962" s="94">
        <f>IFERROR(($E962-$D962)*24-$F962,"")</f>
        <v/>
      </c>
    </row>
    <row r="963">
      <c r="A963" s="44" t="n"/>
      <c r="B963" s="93">
        <f>IFERROR(MONTH($A963),"")</f>
        <v/>
      </c>
      <c r="D963" s="46" t="n"/>
      <c r="E963" s="46" t="n"/>
      <c r="G963" s="94">
        <f>IFERROR(($E963-$D963)*24-$F963,"")</f>
        <v/>
      </c>
    </row>
    <row r="964">
      <c r="A964" s="44" t="n"/>
      <c r="B964" s="93">
        <f>IFERROR(MONTH($A964),"")</f>
        <v/>
      </c>
      <c r="D964" s="46" t="n"/>
      <c r="E964" s="46" t="n"/>
      <c r="G964" s="94">
        <f>IFERROR(($E964-$D964)*24-$F964,"")</f>
        <v/>
      </c>
    </row>
    <row r="965">
      <c r="A965" s="44" t="n"/>
      <c r="B965" s="93">
        <f>IFERROR(MONTH($A965),"")</f>
        <v/>
      </c>
      <c r="D965" s="46" t="n"/>
      <c r="E965" s="46" t="n"/>
      <c r="G965" s="94">
        <f>IFERROR(($E965-$D965)*24-$F965,"")</f>
        <v/>
      </c>
    </row>
    <row r="966">
      <c r="A966" s="44" t="n"/>
      <c r="B966" s="93">
        <f>IFERROR(MONTH($A966),"")</f>
        <v/>
      </c>
      <c r="D966" s="46" t="n"/>
      <c r="E966" s="46" t="n"/>
      <c r="G966" s="94">
        <f>IFERROR(($E966-$D966)*24-$F966,"")</f>
        <v/>
      </c>
    </row>
    <row r="967">
      <c r="A967" s="44" t="n"/>
      <c r="B967" s="93">
        <f>IFERROR(MONTH($A967),"")</f>
        <v/>
      </c>
      <c r="D967" s="46" t="n"/>
      <c r="E967" s="46" t="n"/>
      <c r="G967" s="94">
        <f>IFERROR(($E967-$D967)*24-$F967,"")</f>
        <v/>
      </c>
    </row>
    <row r="968">
      <c r="A968" s="44" t="n"/>
      <c r="B968" s="93">
        <f>IFERROR(MONTH($A968),"")</f>
        <v/>
      </c>
      <c r="D968" s="46" t="n"/>
      <c r="E968" s="46" t="n"/>
      <c r="G968" s="94">
        <f>IFERROR(($E968-$D968)*24-$F968,"")</f>
        <v/>
      </c>
    </row>
    <row r="969">
      <c r="A969" s="44" t="n"/>
      <c r="B969" s="93">
        <f>IFERROR(MONTH($A969),"")</f>
        <v/>
      </c>
      <c r="D969" s="46" t="n"/>
      <c r="E969" s="46" t="n"/>
      <c r="G969" s="94">
        <f>IFERROR(($E969-$D969)*24-$F969,"")</f>
        <v/>
      </c>
    </row>
    <row r="970">
      <c r="A970" s="44" t="n"/>
      <c r="B970" s="93">
        <f>IFERROR(MONTH($A970),"")</f>
        <v/>
      </c>
      <c r="D970" s="46" t="n"/>
      <c r="E970" s="46" t="n"/>
      <c r="G970" s="94">
        <f>IFERROR(($E970-$D970)*24-$F970,"")</f>
        <v/>
      </c>
    </row>
    <row r="971">
      <c r="A971" s="44" t="n"/>
      <c r="B971" s="93">
        <f>IFERROR(MONTH($A971),"")</f>
        <v/>
      </c>
      <c r="D971" s="46" t="n"/>
      <c r="E971" s="46" t="n"/>
      <c r="G971" s="94">
        <f>IFERROR(($E971-$D971)*24-$F971,"")</f>
        <v/>
      </c>
    </row>
    <row r="972">
      <c r="A972" s="44" t="n"/>
      <c r="B972" s="93">
        <f>IFERROR(MONTH($A972),"")</f>
        <v/>
      </c>
      <c r="D972" s="46" t="n"/>
      <c r="E972" s="46" t="n"/>
      <c r="G972" s="94">
        <f>IFERROR(($E972-$D972)*24-$F972,"")</f>
        <v/>
      </c>
    </row>
    <row r="973">
      <c r="A973" s="44" t="n"/>
      <c r="B973" s="93">
        <f>IFERROR(MONTH($A973),"")</f>
        <v/>
      </c>
      <c r="D973" s="46" t="n"/>
      <c r="E973" s="46" t="n"/>
      <c r="G973" s="94">
        <f>IFERROR(($E973-$D973)*24-$F973,"")</f>
        <v/>
      </c>
    </row>
    <row r="974">
      <c r="A974" s="44" t="n"/>
      <c r="B974" s="93">
        <f>IFERROR(MONTH($A974),"")</f>
        <v/>
      </c>
      <c r="D974" s="46" t="n"/>
      <c r="E974" s="46" t="n"/>
      <c r="G974" s="94">
        <f>IFERROR(($E974-$D974)*24-$F974,"")</f>
        <v/>
      </c>
    </row>
    <row r="975">
      <c r="A975" s="44" t="n"/>
      <c r="B975" s="93">
        <f>IFERROR(MONTH($A975),"")</f>
        <v/>
      </c>
      <c r="D975" s="46" t="n"/>
      <c r="E975" s="46" t="n"/>
      <c r="G975" s="94">
        <f>IFERROR(($E975-$D975)*24-$F975,"")</f>
        <v/>
      </c>
    </row>
    <row r="976">
      <c r="A976" s="44" t="n"/>
      <c r="B976" s="93">
        <f>IFERROR(MONTH($A976),"")</f>
        <v/>
      </c>
      <c r="D976" s="46" t="n"/>
      <c r="E976" s="46" t="n"/>
      <c r="G976" s="94">
        <f>IFERROR(($E976-$D976)*24-$F976,"")</f>
        <v/>
      </c>
    </row>
    <row r="977">
      <c r="A977" s="44" t="n"/>
      <c r="B977" s="93">
        <f>IFERROR(MONTH($A977),"")</f>
        <v/>
      </c>
      <c r="D977" s="46" t="n"/>
      <c r="E977" s="46" t="n"/>
      <c r="G977" s="94">
        <f>IFERROR(($E977-$D977)*24-$F977,"")</f>
        <v/>
      </c>
    </row>
    <row r="978">
      <c r="A978" s="44" t="n"/>
      <c r="B978" s="93">
        <f>IFERROR(MONTH($A978),"")</f>
        <v/>
      </c>
      <c r="D978" s="46" t="n"/>
      <c r="E978" s="46" t="n"/>
      <c r="G978" s="94">
        <f>IFERROR(($E978-$D978)*24-$F978,"")</f>
        <v/>
      </c>
    </row>
    <row r="979">
      <c r="A979" s="44" t="n"/>
      <c r="B979" s="93">
        <f>IFERROR(MONTH($A979),"")</f>
        <v/>
      </c>
      <c r="D979" s="46" t="n"/>
      <c r="E979" s="46" t="n"/>
      <c r="G979" s="94">
        <f>IFERROR(($E979-$D979)*24-$F979,"")</f>
        <v/>
      </c>
    </row>
    <row r="980">
      <c r="A980" s="44" t="n"/>
      <c r="B980" s="93">
        <f>IFERROR(MONTH($A980),"")</f>
        <v/>
      </c>
      <c r="D980" s="46" t="n"/>
      <c r="E980" s="46" t="n"/>
      <c r="G980" s="94">
        <f>IFERROR(($E980-$D980)*24-$F980,"")</f>
        <v/>
      </c>
    </row>
    <row r="981">
      <c r="A981" s="44" t="n"/>
      <c r="B981" s="93">
        <f>IFERROR(MONTH($A981),"")</f>
        <v/>
      </c>
      <c r="D981" s="46" t="n"/>
      <c r="E981" s="46" t="n"/>
      <c r="G981" s="94">
        <f>IFERROR(($E981-$D981)*24-$F981,"")</f>
        <v/>
      </c>
    </row>
    <row r="982">
      <c r="A982" s="44" t="n"/>
      <c r="B982" s="93">
        <f>IFERROR(MONTH($A982),"")</f>
        <v/>
      </c>
      <c r="D982" s="46" t="n"/>
      <c r="E982" s="46" t="n"/>
      <c r="G982" s="94">
        <f>IFERROR(($E982-$D982)*24-$F982,"")</f>
        <v/>
      </c>
    </row>
    <row r="983">
      <c r="A983" s="44" t="n"/>
      <c r="B983" s="93">
        <f>IFERROR(MONTH($A983),"")</f>
        <v/>
      </c>
      <c r="D983" s="46" t="n"/>
      <c r="E983" s="46" t="n"/>
      <c r="G983" s="94">
        <f>IFERROR(($E983-$D983)*24-$F983,"")</f>
        <v/>
      </c>
    </row>
    <row r="984">
      <c r="A984" s="44" t="n"/>
      <c r="B984" s="93">
        <f>IFERROR(MONTH($A984),"")</f>
        <v/>
      </c>
      <c r="D984" s="46" t="n"/>
      <c r="E984" s="46" t="n"/>
      <c r="G984" s="94">
        <f>IFERROR(($E984-$D984)*24-$F984,"")</f>
        <v/>
      </c>
    </row>
    <row r="985">
      <c r="A985" s="44" t="n"/>
      <c r="B985" s="93">
        <f>IFERROR(MONTH($A985),"")</f>
        <v/>
      </c>
      <c r="D985" s="46" t="n"/>
      <c r="E985" s="46" t="n"/>
      <c r="G985" s="94">
        <f>IFERROR(($E985-$D985)*24-$F985,"")</f>
        <v/>
      </c>
    </row>
    <row r="986">
      <c r="A986" s="44" t="n"/>
      <c r="B986" s="93">
        <f>IFERROR(MONTH($A986),"")</f>
        <v/>
      </c>
      <c r="D986" s="46" t="n"/>
      <c r="E986" s="46" t="n"/>
      <c r="G986" s="94">
        <f>IFERROR(($E986-$D986)*24-$F986,"")</f>
        <v/>
      </c>
    </row>
    <row r="987">
      <c r="A987" s="44" t="n"/>
      <c r="B987" s="93">
        <f>IFERROR(MONTH($A987),"")</f>
        <v/>
      </c>
      <c r="D987" s="46" t="n"/>
      <c r="E987" s="46" t="n"/>
      <c r="G987" s="94">
        <f>IFERROR(($E987-$D987)*24-$F987,"")</f>
        <v/>
      </c>
    </row>
    <row r="988">
      <c r="A988" s="44" t="n"/>
      <c r="B988" s="93">
        <f>IFERROR(MONTH($A988),"")</f>
        <v/>
      </c>
      <c r="D988" s="46" t="n"/>
      <c r="E988" s="46" t="n"/>
      <c r="G988" s="94">
        <f>IFERROR(($E988-$D988)*24-$F988,"")</f>
        <v/>
      </c>
    </row>
    <row r="989">
      <c r="A989" s="44" t="n"/>
      <c r="B989" s="93">
        <f>IFERROR(MONTH($A989),"")</f>
        <v/>
      </c>
      <c r="D989" s="46" t="n"/>
      <c r="E989" s="46" t="n"/>
      <c r="G989" s="94">
        <f>IFERROR(($E989-$D989)*24-$F989,"")</f>
        <v/>
      </c>
    </row>
    <row r="990">
      <c r="A990" s="44" t="n"/>
      <c r="B990" s="93">
        <f>IFERROR(MONTH($A990),"")</f>
        <v/>
      </c>
      <c r="D990" s="46" t="n"/>
      <c r="E990" s="46" t="n"/>
      <c r="G990" s="94">
        <f>IFERROR(($E990-$D990)*24-$F990,"")</f>
        <v/>
      </c>
    </row>
    <row r="991">
      <c r="A991" s="44" t="n"/>
      <c r="B991" s="93">
        <f>IFERROR(MONTH($A991),"")</f>
        <v/>
      </c>
      <c r="D991" s="46" t="n"/>
      <c r="E991" s="46" t="n"/>
      <c r="G991" s="94">
        <f>IFERROR(($E991-$D991)*24-$F991,"")</f>
        <v/>
      </c>
    </row>
    <row r="992">
      <c r="A992" s="44" t="n"/>
      <c r="B992" s="93">
        <f>IFERROR(MONTH($A992),"")</f>
        <v/>
      </c>
      <c r="D992" s="46" t="n"/>
      <c r="E992" s="46" t="n"/>
      <c r="G992" s="94">
        <f>IFERROR(($E992-$D992)*24-$F992,"")</f>
        <v/>
      </c>
    </row>
    <row r="993">
      <c r="A993" s="44" t="n"/>
      <c r="B993" s="93">
        <f>IFERROR(MONTH($A993),"")</f>
        <v/>
      </c>
      <c r="D993" s="46" t="n"/>
      <c r="E993" s="46" t="n"/>
      <c r="G993" s="94">
        <f>IFERROR(($E993-$D993)*24-$F993,"")</f>
        <v/>
      </c>
    </row>
    <row r="994">
      <c r="A994" s="44" t="n"/>
      <c r="B994" s="93">
        <f>IFERROR(MONTH($A994),"")</f>
        <v/>
      </c>
      <c r="D994" s="46" t="n"/>
      <c r="E994" s="46" t="n"/>
      <c r="G994" s="94">
        <f>IFERROR(($E994-$D994)*24-$F994,"")</f>
        <v/>
      </c>
    </row>
    <row r="995">
      <c r="A995" s="44" t="n"/>
      <c r="B995" s="93">
        <f>IFERROR(MONTH($A995),"")</f>
        <v/>
      </c>
      <c r="D995" s="46" t="n"/>
      <c r="E995" s="46" t="n"/>
      <c r="G995" s="94">
        <f>IFERROR(($E995-$D995)*24-$F995,"")</f>
        <v/>
      </c>
    </row>
    <row r="996">
      <c r="A996" s="44" t="n"/>
      <c r="B996" s="93">
        <f>IFERROR(MONTH($A996),"")</f>
        <v/>
      </c>
      <c r="D996" s="46" t="n"/>
      <c r="E996" s="46" t="n"/>
      <c r="G996" s="94">
        <f>IFERROR(($E996-$D996)*24-$F996,"")</f>
        <v/>
      </c>
    </row>
    <row r="997">
      <c r="A997" s="44" t="n"/>
      <c r="B997" s="93">
        <f>IFERROR(MONTH($A997),"")</f>
        <v/>
      </c>
      <c r="D997" s="46" t="n"/>
      <c r="E997" s="46" t="n"/>
      <c r="G997" s="94">
        <f>IFERROR(($E997-$D997)*24-$F997,"")</f>
        <v/>
      </c>
    </row>
    <row r="998">
      <c r="A998" s="44" t="n"/>
      <c r="B998" s="93">
        <f>IFERROR(MONTH($A998),"")</f>
        <v/>
      </c>
      <c r="D998" s="46" t="n"/>
      <c r="E998" s="46" t="n"/>
      <c r="G998" s="94">
        <f>IFERROR(($E998-$D998)*24-$F998,"")</f>
        <v/>
      </c>
    </row>
    <row r="999">
      <c r="A999" s="44" t="n"/>
      <c r="B999" s="93">
        <f>IFERROR(MONTH($A999),"")</f>
        <v/>
      </c>
      <c r="D999" s="46" t="n"/>
      <c r="E999" s="46" t="n"/>
      <c r="G999" s="94">
        <f>IFERROR(($E999-$D999)*24-$F999,"")</f>
        <v/>
      </c>
    </row>
    <row r="1000">
      <c r="A1000" s="44" t="n"/>
      <c r="B1000" s="93">
        <f>IFERROR(MONTH($A1000),"")</f>
        <v/>
      </c>
      <c r="D1000" s="46" t="n"/>
      <c r="E1000" s="46" t="n"/>
      <c r="G1000" s="94">
        <f>IFERROR(($E1000-$D1000)*24-$F1000,"")</f>
        <v/>
      </c>
    </row>
    <row r="1001">
      <c r="A1001" s="44" t="n"/>
      <c r="B1001" s="93">
        <f>IFERROR(MONTH($A1001),"")</f>
        <v/>
      </c>
      <c r="D1001" s="46" t="n"/>
      <c r="E1001" s="46" t="n"/>
      <c r="G1001" s="94">
        <f>IFERROR(($E1001-$D1001)*24-$F1001,"")</f>
        <v/>
      </c>
    </row>
    <row r="1002">
      <c r="A1002" s="44" t="n"/>
      <c r="B1002" s="93">
        <f>IFERROR(MONTH($A1002),"")</f>
        <v/>
      </c>
      <c r="D1002" s="46" t="n"/>
      <c r="E1002" s="46" t="n"/>
      <c r="G1002" s="94">
        <f>IFERROR(($E1002-$D1002)*24-$F1002,"")</f>
        <v/>
      </c>
    </row>
    <row r="1003">
      <c r="A1003" s="44" t="n"/>
      <c r="B1003" s="93">
        <f>IFERROR(MONTH($A1003),"")</f>
        <v/>
      </c>
      <c r="D1003" s="46" t="n"/>
      <c r="E1003" s="46" t="n"/>
      <c r="G1003" s="94">
        <f>IFERROR(($E1003-$D1003)*24-$F1003,"")</f>
        <v/>
      </c>
    </row>
    <row r="1004">
      <c r="A1004" s="44" t="n"/>
      <c r="B1004" s="93">
        <f>IFERROR(MONTH($A1004),"")</f>
        <v/>
      </c>
      <c r="D1004" s="46" t="n"/>
      <c r="E1004" s="46" t="n"/>
      <c r="G1004" s="94">
        <f>IFERROR(($E1004-$D1004)*24-$F1004,"")</f>
        <v/>
      </c>
    </row>
  </sheetData>
  <autoFilter ref="A4:J1004"/>
  <dataValidations count="2">
    <dataValidation sqref="C5:C1004" showDropDown="0" showInputMessage="0" showErrorMessage="0" allowBlank="1" type="list">
      <formula1>'選択肢マスター'!$D$2:$D$7</formula1>
    </dataValidation>
    <dataValidation sqref="I5:I1004" showDropDown="0" showInputMessage="0" showErrorMessage="0" allowBlank="1" type="list">
      <formula1>'選択肢マスター'!$V$2:$V$6</formula1>
    </dataValidation>
  </dataValidations>
  <pageMargins left="0.75" right="0.75" top="1" bottom="1" header="0.5" footer="0.5"/>
</worksheet>
</file>

<file path=xl/worksheets/sheet41.xml><?xml version="1.0" encoding="utf-8"?>
<worksheet xmlns="http://schemas.openxmlformats.org/spreadsheetml/2006/main">
  <sheetPr>
    <tabColor rgb="00D9D9D9"/>
    <outlinePr summaryBelow="1" summaryRight="1"/>
    <pageSetUpPr/>
  </sheetPr>
  <dimension ref="A1:F215"/>
  <sheetViews>
    <sheetView workbookViewId="0">
      <selection activeCell="A1" sqref="A1"/>
    </sheetView>
  </sheetViews>
  <sheetFormatPr baseColWidth="8" defaultRowHeight="15"/>
  <cols>
    <col width="13" customWidth="1" min="1" max="1"/>
    <col width="22" customWidth="1" min="2" max="2"/>
    <col width="52" customWidth="1" min="3" max="3"/>
    <col width="14" customWidth="1" min="4" max="4"/>
    <col width="34" customWidth="1" min="5" max="5"/>
    <col width="34" customWidth="1" min="6" max="6"/>
  </cols>
  <sheetData>
    <row r="1" ht="22" customHeight="1">
      <c r="A1" s="1" t="inlineStr">
        <is>
          <t>メモ・変更履歴</t>
        </is>
      </c>
    </row>
    <row r="2">
      <c r="A2" s="2" t="inlineStr">
        <is>
          <t>このスプレッドシートに手を入れたら1行足すこと。元に戻せるようにしておくのが目的です。</t>
        </is>
      </c>
    </row>
    <row r="4" ht="30" customHeight="1">
      <c r="A4" s="3" t="inlineStr">
        <is>
          <t>日付</t>
        </is>
      </c>
      <c r="B4" s="3" t="inlineStr">
        <is>
          <t>変更したタブ</t>
        </is>
      </c>
      <c r="C4" s="3" t="inlineStr">
        <is>
          <t>変更内容</t>
        </is>
      </c>
      <c r="D4" s="3" t="inlineStr">
        <is>
          <t>変更した人</t>
        </is>
      </c>
      <c r="E4" s="3" t="inlineStr">
        <is>
          <t>元に戻す方法</t>
        </is>
      </c>
      <c r="F4" s="3" t="inlineStr">
        <is>
          <t>バックアップの場所</t>
        </is>
      </c>
    </row>
    <row r="5">
      <c r="A5" s="97" t="n">
        <v>46278</v>
      </c>
      <c r="B5" s="98" t="inlineStr">
        <is>
          <t>全タブ</t>
        </is>
      </c>
      <c r="C5" s="98" t="inlineStr">
        <is>
          <t>2027年度版を新規作成（tools/build-sheet-2027.py で生成）</t>
        </is>
      </c>
      <c r="D5" s="98" t="inlineStr">
        <is>
          <t>CMO配下スレッド</t>
        </is>
      </c>
      <c r="E5" s="98" t="inlineStr">
        <is>
          <t>同スクリプトを再実行すれば同じものが出ます</t>
        </is>
      </c>
      <c r="F5" s="98" t="inlineStr">
        <is>
          <t>リポジトリ one-marketing / spreadsheet/2027/</t>
        </is>
      </c>
    </row>
    <row r="6">
      <c r="A6" s="97" t="n">
        <v>46278</v>
      </c>
      <c r="B6" s="98" t="inlineStr">
        <is>
          <t>◯月_支出成績</t>
        </is>
      </c>
      <c r="C6" s="98" t="inlineStr">
        <is>
          <t>月次P/Lを経費入力表の右（M列）へ移動。2026年版は経費行を足すとP/Lがずれていた（6月+19行・7月+33行）</t>
        </is>
      </c>
      <c r="D6" s="98" t="inlineStr">
        <is>
          <t>CMO配下スレッド</t>
        </is>
      </c>
      <c r="E6" s="98" t="inlineStr">
        <is>
          <t>—</t>
        </is>
      </c>
      <c r="F6" s="98" t="inlineStr">
        <is>
          <t>—</t>
        </is>
      </c>
    </row>
    <row r="7">
      <c r="A7" s="97" t="n">
        <v>46278</v>
      </c>
      <c r="B7" s="98" t="inlineStr">
        <is>
          <t>◯月_支出成績</t>
        </is>
      </c>
      <c r="C7" s="98" t="inlineStr">
        <is>
          <t>科目に 保険料・通信費・外注費 を追加。人件費を「現場人件費(原価)」と「固定給(販管費)」に分割</t>
        </is>
      </c>
      <c r="D7" s="98" t="inlineStr">
        <is>
          <t>CMO配下スレッド</t>
        </is>
      </c>
      <c r="E7" s="98" t="inlineStr">
        <is>
          <t>—</t>
        </is>
      </c>
      <c r="F7" s="98" t="inlineStr">
        <is>
          <t>—</t>
        </is>
      </c>
    </row>
    <row r="8">
      <c r="A8" s="97" t="n">
        <v>46278</v>
      </c>
      <c r="B8" s="98" t="inlineStr">
        <is>
          <t>◯月_支出成績</t>
        </is>
      </c>
      <c r="C8" s="98" t="inlineStr">
        <is>
          <t>ロイヤリティの二重計上を解消。P/Lの1か所だけで数える（15行目で引いて19行目で足す）</t>
        </is>
      </c>
      <c r="D8" s="98" t="inlineStr">
        <is>
          <t>CMO配下スレッド</t>
        </is>
      </c>
      <c r="E8" s="98" t="inlineStr">
        <is>
          <t>—</t>
        </is>
      </c>
      <c r="F8" s="98" t="inlineStr">
        <is>
          <t>—</t>
        </is>
      </c>
    </row>
    <row r="9">
      <c r="A9" s="97" t="n">
        <v>46278</v>
      </c>
      <c r="B9" s="98" t="inlineStr">
        <is>
          <t>◯月_売上顧客</t>
        </is>
      </c>
      <c r="C9" s="98" t="inlineStr">
        <is>
          <t>列を追加：流入元の識別子(?src=)／施工担当。④自社ネット新規を機械で数えられるようにした</t>
        </is>
      </c>
      <c r="D9" s="98" t="inlineStr">
        <is>
          <t>CMO配下スレッド</t>
        </is>
      </c>
      <c r="E9" s="98" t="inlineStr">
        <is>
          <t>—</t>
        </is>
      </c>
      <c r="F9" s="98" t="inlineStr">
        <is>
          <t>—</t>
        </is>
      </c>
    </row>
    <row r="10">
      <c r="A10" s="97" t="n">
        <v>46278</v>
      </c>
      <c r="B10" s="98" t="inlineStr">
        <is>
          <t>年間成績</t>
        </is>
      </c>
      <c r="C10" s="98" t="inlineStr">
        <is>
          <t>和真配分の行を削除し、「対計画の差額」「累計の対計画の差額」を追加</t>
        </is>
      </c>
      <c r="D10" s="98" t="inlineStr">
        <is>
          <t>CMO配下スレッド</t>
        </is>
      </c>
      <c r="E10" s="98" t="inlineStr">
        <is>
          <t>—</t>
        </is>
      </c>
      <c r="F10" s="98" t="inlineStr">
        <is>
          <t>—</t>
        </is>
      </c>
    </row>
    <row r="11">
      <c r="A11" s="97" t="n">
        <v>46293</v>
      </c>
      <c r="B11" s="98" t="inlineStr">
        <is>
          <t>◯月_売上顧客</t>
        </is>
      </c>
      <c r="C11" s="98" t="inlineStr">
        <is>
          <t>列を追加：紹介者（顧客ID）。紹介カードで『紹介した方に次回1,000円割引』を運用するのに、誰の紹介かを記録する列がどこにも無かったため（cmo 20260927-01）。入れるのは紹介した方の顧客ID（顧客管理台帳のA列）。台帳で見つからなければ氏名のあとに（未照合）と書く。予約ページの受け口は `紹介者`（?src=shokai）。4行目に『紹介 ◯件』の自動集計。法人が個人客を紹介する案件は従来どおり顧客管理台帳の『紹介者（法人名など）』で、紹介料の対象。こちらとは別</t>
        </is>
      </c>
      <c r="D11" s="98" t="inlineStr">
        <is>
          <t>経営企画室</t>
        </is>
      </c>
      <c r="E11" s="98" t="inlineStr">
        <is>
          <t>—</t>
        </is>
      </c>
      <c r="F11" s="98" t="inlineStr">
        <is>
          <t>—</t>
        </is>
      </c>
    </row>
    <row r="12">
      <c r="A12" s="97" t="n">
        <v>46291</v>
      </c>
      <c r="B12" s="98" t="inlineStr">
        <is>
          <t>選択肢マスター（流入経路）</t>
        </is>
      </c>
      <c r="C12" s="98" t="inlineStr">
        <is>
          <t>「広告」を追加し、④自社ネット新規の数え方（L_NET_NEW）にも入れた。検索広告が2026-09-20に配信を始めたのに、2027年版の選択肢に無く、④に数えられない状態だった（作り落とし）。予約ページ・GBP予約ボタンなど『入口の仕組み』は流入経路ではなく『流入元の識別子(?src=)』列で見る</t>
        </is>
      </c>
      <c r="D12" s="98" t="inlineStr">
        <is>
          <t>経営企画室</t>
        </is>
      </c>
      <c r="E12" s="98" t="inlineStr">
        <is>
          <t>—</t>
        </is>
      </c>
      <c r="F12" s="98" t="inlineStr">
        <is>
          <t>—</t>
        </is>
      </c>
    </row>
    <row r="13">
      <c r="A13" s="97" t="n">
        <v>46286</v>
      </c>
      <c r="B13" s="98" t="inlineStr">
        <is>
          <t>年間成績・ダッシュボード・◯月_売上顧客</t>
        </is>
      </c>
      <c r="C13" s="98" t="inlineStr">
        <is>
          <t>「自社／本舗」で見る行を追加（年間成績 56〜58行・ダッシュボード29行）。ブロック①〜⑤は流入経路で切っていて自社と本舗が混ざるため。2026年は1〜9月で自社+26%（¥8,627,308）・本舗−27%（¥3,729,583）と中身が別物だった。月次タブの4行目に『自社 ◯円』『本舗 ◯円』の自動集計を足してある（列の追加ではなく空きセルの利用）</t>
        </is>
      </c>
      <c r="D13" s="98" t="inlineStr">
        <is>
          <t>経営企画室</t>
        </is>
      </c>
      <c r="E13" s="98" t="inlineStr">
        <is>
          <t>—</t>
        </is>
      </c>
      <c r="F13" s="98" t="inlineStr">
        <is>
          <t>—</t>
        </is>
      </c>
    </row>
    <row r="14">
      <c r="A14" s="97" t="n">
        <v>46282</v>
      </c>
      <c r="B14" s="98" t="inlineStr">
        <is>
          <t>提携先_パイプライン</t>
        </is>
      </c>
      <c r="C14" s="98" t="inlineStr">
        <is>
          <t>①列を追加：最終接触日・接触回数(累計)。提携先1社に何回接触して1件受注できるかが、どこにも記録されていなかったため（2026年の台帳には接触の記録が無い）。②目標を「2社→4社」から「アクティブ10社→12/15/18社」に修正。2社は2026-09-14にオーナーが訂正した古い数字。③空室清掃の記載を削除（オーナー決定 2026-09-14「完全なる悪手」）。④ダッシュボードの参照列もE→Gへ追従（ステージ列が移動したため）</t>
        </is>
      </c>
      <c r="D14" s="98" t="inlineStr">
        <is>
          <t>経営企画室</t>
        </is>
      </c>
      <c r="E14" s="98" t="inlineStr">
        <is>
          <t>—</t>
        </is>
      </c>
      <c r="F14" s="98" t="inlineStr">
        <is>
          <t>—</t>
        </is>
      </c>
    </row>
    <row r="15">
      <c r="A15" s="97" t="n">
        <v>46282</v>
      </c>
      <c r="B15" s="98" t="inlineStr">
        <is>
          <t>◯月_売上顧客（12タブ）</t>
        </is>
      </c>
      <c r="C15" s="98" t="inlineStr">
        <is>
          <t>列を追加：受注日（施工日付の隣）。4行目に「受注→施工 平均◯日」が自動で出る。2026年の台帳は施工日付しか無く、受注が止まったのかリードタイムが短いだけなのかを区別できなかった。生成スクリプトから作り直し、追加の前後で集計値が変わらないことを機械で確認済み</t>
        </is>
      </c>
      <c r="D15" s="98" t="inlineStr">
        <is>
          <t>経営企画室</t>
        </is>
      </c>
      <c r="E15" s="98" t="inlineStr">
        <is>
          <t>—</t>
        </is>
      </c>
      <c r="F15" s="98" t="inlineStr">
        <is>
          <t>—</t>
        </is>
      </c>
    </row>
    <row r="16">
      <c r="A16" s="44" t="n"/>
    </row>
    <row r="17">
      <c r="A17" s="44" t="n"/>
    </row>
    <row r="18">
      <c r="A18" s="44" t="n"/>
    </row>
    <row r="19">
      <c r="A19" s="44" t="n"/>
    </row>
    <row r="20">
      <c r="A20" s="44" t="n"/>
    </row>
    <row r="21">
      <c r="A21" s="44" t="n"/>
    </row>
    <row r="22">
      <c r="A22" s="44" t="n"/>
    </row>
    <row r="23">
      <c r="A23" s="44" t="n"/>
    </row>
    <row r="24">
      <c r="A24" s="44" t="n"/>
    </row>
    <row r="25">
      <c r="A25" s="44" t="n"/>
    </row>
    <row r="26">
      <c r="A26" s="44" t="n"/>
    </row>
    <row r="27">
      <c r="A27" s="44" t="n"/>
    </row>
    <row r="28">
      <c r="A28" s="44" t="n"/>
    </row>
    <row r="29">
      <c r="A29" s="44" t="n"/>
    </row>
    <row r="30">
      <c r="A30" s="44" t="n"/>
    </row>
    <row r="31">
      <c r="A31" s="44" t="n"/>
    </row>
    <row r="32">
      <c r="A32" s="44" t="n"/>
    </row>
    <row r="33">
      <c r="A33" s="44" t="n"/>
    </row>
    <row r="34">
      <c r="A34" s="44" t="n"/>
    </row>
    <row r="35">
      <c r="A35" s="44" t="n"/>
    </row>
    <row r="36">
      <c r="A36" s="44" t="n"/>
    </row>
    <row r="37">
      <c r="A37" s="44" t="n"/>
    </row>
    <row r="38">
      <c r="A38" s="44" t="n"/>
    </row>
    <row r="39">
      <c r="A39" s="44" t="n"/>
    </row>
    <row r="40">
      <c r="A40" s="44" t="n"/>
    </row>
    <row r="41">
      <c r="A41" s="44" t="n"/>
    </row>
    <row r="42">
      <c r="A42" s="44" t="n"/>
    </row>
    <row r="43">
      <c r="A43" s="44" t="n"/>
    </row>
    <row r="44">
      <c r="A44" s="44" t="n"/>
    </row>
    <row r="45">
      <c r="A45" s="44" t="n"/>
    </row>
    <row r="46">
      <c r="A46" s="44" t="n"/>
    </row>
    <row r="47">
      <c r="A47" s="44" t="n"/>
    </row>
    <row r="48">
      <c r="A48" s="44" t="n"/>
    </row>
    <row r="49">
      <c r="A49" s="44" t="n"/>
    </row>
    <row r="50">
      <c r="A50" s="44" t="n"/>
    </row>
    <row r="51">
      <c r="A51" s="44" t="n"/>
    </row>
    <row r="52">
      <c r="A52" s="44" t="n"/>
    </row>
    <row r="53">
      <c r="A53" s="44" t="n"/>
    </row>
    <row r="54">
      <c r="A54" s="44" t="n"/>
    </row>
    <row r="55">
      <c r="A55" s="44" t="n"/>
    </row>
    <row r="56">
      <c r="A56" s="44" t="n"/>
    </row>
    <row r="57">
      <c r="A57" s="44" t="n"/>
    </row>
    <row r="58">
      <c r="A58" s="44" t="n"/>
    </row>
    <row r="59">
      <c r="A59" s="44" t="n"/>
    </row>
    <row r="60">
      <c r="A60" s="44" t="n"/>
    </row>
    <row r="61">
      <c r="A61" s="44" t="n"/>
    </row>
    <row r="62">
      <c r="A62" s="44" t="n"/>
    </row>
    <row r="63">
      <c r="A63" s="44" t="n"/>
    </row>
    <row r="64">
      <c r="A64" s="44" t="n"/>
    </row>
    <row r="65">
      <c r="A65" s="44" t="n"/>
    </row>
    <row r="66">
      <c r="A66" s="44" t="n"/>
    </row>
    <row r="67">
      <c r="A67" s="44" t="n"/>
    </row>
    <row r="68">
      <c r="A68" s="44" t="n"/>
    </row>
    <row r="69">
      <c r="A69" s="44" t="n"/>
    </row>
    <row r="70">
      <c r="A70" s="44" t="n"/>
    </row>
    <row r="71">
      <c r="A71" s="44" t="n"/>
    </row>
    <row r="72">
      <c r="A72" s="44" t="n"/>
    </row>
    <row r="73">
      <c r="A73" s="44" t="n"/>
    </row>
    <row r="74">
      <c r="A74" s="44" t="n"/>
    </row>
    <row r="75">
      <c r="A75" s="44" t="n"/>
    </row>
    <row r="76">
      <c r="A76" s="44" t="n"/>
    </row>
    <row r="77">
      <c r="A77" s="44" t="n"/>
    </row>
    <row r="78">
      <c r="A78" s="44" t="n"/>
    </row>
    <row r="79">
      <c r="A79" s="44" t="n"/>
    </row>
    <row r="80">
      <c r="A80" s="44" t="n"/>
    </row>
    <row r="81">
      <c r="A81" s="44" t="n"/>
    </row>
    <row r="82">
      <c r="A82" s="44" t="n"/>
    </row>
    <row r="83">
      <c r="A83" s="44" t="n"/>
    </row>
    <row r="84">
      <c r="A84" s="44" t="n"/>
    </row>
    <row r="85">
      <c r="A85" s="44" t="n"/>
    </row>
    <row r="86">
      <c r="A86" s="44" t="n"/>
    </row>
    <row r="87">
      <c r="A87" s="44" t="n"/>
    </row>
    <row r="88">
      <c r="A88" s="44" t="n"/>
    </row>
    <row r="89">
      <c r="A89" s="44" t="n"/>
    </row>
    <row r="90">
      <c r="A90" s="44" t="n"/>
    </row>
    <row r="91">
      <c r="A91" s="44" t="n"/>
    </row>
    <row r="92">
      <c r="A92" s="44" t="n"/>
    </row>
    <row r="93">
      <c r="A93" s="44" t="n"/>
    </row>
    <row r="94">
      <c r="A94" s="44" t="n"/>
    </row>
    <row r="95">
      <c r="A95" s="44" t="n"/>
    </row>
    <row r="96">
      <c r="A96" s="44" t="n"/>
    </row>
    <row r="97">
      <c r="A97" s="44" t="n"/>
    </row>
    <row r="98">
      <c r="A98" s="44" t="n"/>
    </row>
    <row r="99">
      <c r="A99" s="44" t="n"/>
    </row>
    <row r="100">
      <c r="A100" s="44" t="n"/>
    </row>
    <row r="101">
      <c r="A101" s="44" t="n"/>
    </row>
    <row r="102">
      <c r="A102" s="44" t="n"/>
    </row>
    <row r="103">
      <c r="A103" s="44" t="n"/>
    </row>
    <row r="104">
      <c r="A104" s="44" t="n"/>
    </row>
    <row r="105">
      <c r="A105" s="44" t="n"/>
    </row>
    <row r="106">
      <c r="A106" s="44" t="n"/>
    </row>
    <row r="107">
      <c r="A107" s="44" t="n"/>
    </row>
    <row r="108">
      <c r="A108" s="44" t="n"/>
    </row>
    <row r="109">
      <c r="A109" s="44" t="n"/>
    </row>
    <row r="110">
      <c r="A110" s="44" t="n"/>
    </row>
    <row r="111">
      <c r="A111" s="44" t="n"/>
    </row>
    <row r="112">
      <c r="A112" s="44" t="n"/>
    </row>
    <row r="113">
      <c r="A113" s="44" t="n"/>
    </row>
    <row r="114">
      <c r="A114" s="44" t="n"/>
    </row>
    <row r="115">
      <c r="A115" s="44" t="n"/>
    </row>
    <row r="116">
      <c r="A116" s="44" t="n"/>
    </row>
    <row r="117">
      <c r="A117" s="44" t="n"/>
    </row>
    <row r="118">
      <c r="A118" s="44" t="n"/>
    </row>
    <row r="119">
      <c r="A119" s="44" t="n"/>
    </row>
    <row r="120">
      <c r="A120" s="44" t="n"/>
    </row>
    <row r="121">
      <c r="A121" s="44" t="n"/>
    </row>
    <row r="122">
      <c r="A122" s="44" t="n"/>
    </row>
    <row r="123">
      <c r="A123" s="44" t="n"/>
    </row>
    <row r="124">
      <c r="A124" s="44" t="n"/>
    </row>
    <row r="125">
      <c r="A125" s="44" t="n"/>
    </row>
    <row r="126">
      <c r="A126" s="44" t="n"/>
    </row>
    <row r="127">
      <c r="A127" s="44" t="n"/>
    </row>
    <row r="128">
      <c r="A128" s="44" t="n"/>
    </row>
    <row r="129">
      <c r="A129" s="44" t="n"/>
    </row>
    <row r="130">
      <c r="A130" s="44" t="n"/>
    </row>
    <row r="131">
      <c r="A131" s="44" t="n"/>
    </row>
    <row r="132">
      <c r="A132" s="44" t="n"/>
    </row>
    <row r="133">
      <c r="A133" s="44" t="n"/>
    </row>
    <row r="134">
      <c r="A134" s="44" t="n"/>
    </row>
    <row r="135">
      <c r="A135" s="44" t="n"/>
    </row>
    <row r="136">
      <c r="A136" s="44" t="n"/>
    </row>
    <row r="137">
      <c r="A137" s="44" t="n"/>
    </row>
    <row r="138">
      <c r="A138" s="44" t="n"/>
    </row>
    <row r="139">
      <c r="A139" s="44" t="n"/>
    </row>
    <row r="140">
      <c r="A140" s="44" t="n"/>
    </row>
    <row r="141">
      <c r="A141" s="44" t="n"/>
    </row>
    <row r="142">
      <c r="A142" s="44" t="n"/>
    </row>
    <row r="143">
      <c r="A143" s="44" t="n"/>
    </row>
    <row r="144">
      <c r="A144" s="44" t="n"/>
    </row>
    <row r="145">
      <c r="A145" s="44" t="n"/>
    </row>
    <row r="146">
      <c r="A146" s="44" t="n"/>
    </row>
    <row r="147">
      <c r="A147" s="44" t="n"/>
    </row>
    <row r="148">
      <c r="A148" s="44" t="n"/>
    </row>
    <row r="149">
      <c r="A149" s="44" t="n"/>
    </row>
    <row r="150">
      <c r="A150" s="44" t="n"/>
    </row>
    <row r="151">
      <c r="A151" s="44" t="n"/>
    </row>
    <row r="152">
      <c r="A152" s="44" t="n"/>
    </row>
    <row r="153">
      <c r="A153" s="44" t="n"/>
    </row>
    <row r="154">
      <c r="A154" s="44" t="n"/>
    </row>
    <row r="155">
      <c r="A155" s="44" t="n"/>
    </row>
    <row r="156">
      <c r="A156" s="44" t="n"/>
    </row>
    <row r="157">
      <c r="A157" s="44" t="n"/>
    </row>
    <row r="158">
      <c r="A158" s="44" t="n"/>
    </row>
    <row r="159">
      <c r="A159" s="44" t="n"/>
    </row>
    <row r="160">
      <c r="A160" s="44" t="n"/>
    </row>
    <row r="161">
      <c r="A161" s="44" t="n"/>
    </row>
    <row r="162">
      <c r="A162" s="44" t="n"/>
    </row>
    <row r="163">
      <c r="A163" s="44" t="n"/>
    </row>
    <row r="164">
      <c r="A164" s="44" t="n"/>
    </row>
    <row r="165">
      <c r="A165" s="44" t="n"/>
    </row>
    <row r="166">
      <c r="A166" s="44" t="n"/>
    </row>
    <row r="167">
      <c r="A167" s="44" t="n"/>
    </row>
    <row r="168">
      <c r="A168" s="44" t="n"/>
    </row>
    <row r="169">
      <c r="A169" s="44" t="n"/>
    </row>
    <row r="170">
      <c r="A170" s="44" t="n"/>
    </row>
    <row r="171">
      <c r="A171" s="44" t="n"/>
    </row>
    <row r="172">
      <c r="A172" s="44" t="n"/>
    </row>
    <row r="173">
      <c r="A173" s="44" t="n"/>
    </row>
    <row r="174">
      <c r="A174" s="44" t="n"/>
    </row>
    <row r="175">
      <c r="A175" s="44" t="n"/>
    </row>
    <row r="176">
      <c r="A176" s="44" t="n"/>
    </row>
    <row r="177">
      <c r="A177" s="44" t="n"/>
    </row>
    <row r="178">
      <c r="A178" s="44" t="n"/>
    </row>
    <row r="179">
      <c r="A179" s="44" t="n"/>
    </row>
    <row r="180">
      <c r="A180" s="44" t="n"/>
    </row>
    <row r="181">
      <c r="A181" s="44" t="n"/>
    </row>
    <row r="182">
      <c r="A182" s="44" t="n"/>
    </row>
    <row r="183">
      <c r="A183" s="44" t="n"/>
    </row>
    <row r="184">
      <c r="A184" s="44" t="n"/>
    </row>
    <row r="185">
      <c r="A185" s="44" t="n"/>
    </row>
    <row r="186">
      <c r="A186" s="44" t="n"/>
    </row>
    <row r="187">
      <c r="A187" s="44" t="n"/>
    </row>
    <row r="188">
      <c r="A188" s="44" t="n"/>
    </row>
    <row r="189">
      <c r="A189" s="44" t="n"/>
    </row>
    <row r="190">
      <c r="A190" s="44" t="n"/>
    </row>
    <row r="191">
      <c r="A191" s="44" t="n"/>
    </row>
    <row r="192">
      <c r="A192" s="44" t="n"/>
    </row>
    <row r="193">
      <c r="A193" s="44" t="n"/>
    </row>
    <row r="194">
      <c r="A194" s="44" t="n"/>
    </row>
    <row r="195">
      <c r="A195" s="44" t="n"/>
    </row>
    <row r="196">
      <c r="A196" s="44" t="n"/>
    </row>
    <row r="197">
      <c r="A197" s="44" t="n"/>
    </row>
    <row r="198">
      <c r="A198" s="44" t="n"/>
    </row>
    <row r="199">
      <c r="A199" s="44" t="n"/>
    </row>
    <row r="200">
      <c r="A200" s="44" t="n"/>
    </row>
    <row r="201">
      <c r="A201" s="44" t="n"/>
    </row>
    <row r="202">
      <c r="A202" s="44" t="n"/>
    </row>
    <row r="203">
      <c r="A203" s="44" t="n"/>
    </row>
    <row r="204">
      <c r="A204" s="44" t="n"/>
    </row>
    <row r="210">
      <c r="A210" s="8" t="inlineStr">
        <is>
          <t>【このスプレッドシートを直すときの3原則】</t>
        </is>
      </c>
    </row>
    <row r="211">
      <c r="A211" s="2" t="inlineStr">
        <is>
          <t>1. 過去の実績データを書き換えない（施工日付・売上・氏名・住所・メニュー等の記録）</t>
        </is>
      </c>
    </row>
    <row r="212">
      <c r="A212" s="2" t="inlineStr">
        <is>
          <t>2. 変更前にバックアップを取る（Driveでコピー）</t>
        </is>
      </c>
    </row>
    <row r="213">
      <c r="A213" s="2" t="inlineStr">
        <is>
          <t>3. 変更履歴を残す（この表 または docs/sheet-changelog.md）</t>
        </is>
      </c>
    </row>
    <row r="214">
      <c r="A214" s="2" t="inlineStr"/>
    </row>
    <row r="215">
      <c r="A215" s="2" t="inlineStr">
        <is>
          <t>この3つを守るなら、集計タブ・入力規則・書式の変更や新規タブの追加は、確認を取らずに進めてよい（オーナー方針）。</t>
        </is>
      </c>
    </row>
  </sheetData>
  <pageMargins left="0.75" right="0.75" top="1" bottom="1" header="0.5" footer="0.5"/>
</worksheet>
</file>

<file path=xl/worksheets/sheet42.xml><?xml version="1.0" encoding="utf-8"?>
<worksheet xmlns="http://schemas.openxmlformats.org/spreadsheetml/2006/main">
  <sheetPr>
    <tabColor rgb="00BFBFBF"/>
    <outlinePr summaryBelow="1" summaryRight="1"/>
    <pageSetUpPr/>
  </sheetPr>
  <dimension ref="A1:AA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4" customWidth="1" min="6" max="6"/>
    <col width="12" customWidth="1" min="7" max="7"/>
    <col width="12" customWidth="1" min="8" max="8"/>
    <col width="12" customWidth="1" min="9" max="9"/>
    <col width="20" customWidth="1" min="10" max="10"/>
    <col width="12" customWidth="1" min="11" max="11"/>
    <col width="12" customWidth="1" min="12" max="12"/>
    <col width="14" customWidth="1" min="13" max="13"/>
    <col width="12" customWidth="1" min="14" max="14"/>
    <col width="18" customWidth="1" min="15" max="15"/>
    <col width="14" customWidth="1" min="16" max="16"/>
    <col width="16" customWidth="1" min="17" max="17"/>
    <col width="14" customWidth="1" min="18" max="18"/>
    <col width="12" customWidth="1" min="19" max="19"/>
    <col width="12" customWidth="1" min="20" max="20"/>
    <col width="12" customWidth="1" min="21" max="21"/>
    <col width="12" customWidth="1" min="22" max="22"/>
    <col width="12" customWidth="1" min="23" max="23"/>
    <col width="12" customWidth="1" min="24" max="24"/>
    <col width="26" customWidth="1" min="25" max="25"/>
  </cols>
  <sheetData>
    <row r="1" ht="34" customHeight="1">
      <c r="A1" s="99" t="inlineStr">
        <is>
          <t>売上種類</t>
        </is>
      </c>
      <c r="B1" s="99" t="inlineStr">
        <is>
          <t>流入経路</t>
        </is>
      </c>
      <c r="C1" s="99" t="inlineStr">
        <is>
          <t>実施メニュー</t>
        </is>
      </c>
      <c r="D1" s="99" t="inlineStr">
        <is>
          <t>施工担当</t>
        </is>
      </c>
      <c r="E1" s="99" t="inlineStr">
        <is>
          <t>早期予約提案</t>
        </is>
      </c>
      <c r="F1" s="99" t="inlineStr">
        <is>
          <t>フォローコール</t>
        </is>
      </c>
      <c r="G1" s="99" t="inlineStr">
        <is>
          <t>入金経路</t>
        </is>
      </c>
      <c r="H1" s="99" t="inlineStr">
        <is>
          <t>ＯＨ打診</t>
        </is>
      </c>
      <c r="I1" s="99" t="inlineStr">
        <is>
          <t>本舗ロイ区分</t>
        </is>
      </c>
      <c r="J1" s="99" t="inlineStr">
        <is>
          <t>TRUE/FALSE</t>
        </is>
      </c>
      <c r="K1" s="99" t="inlineStr">
        <is>
          <t>科目</t>
        </is>
      </c>
      <c r="L1" s="99" t="inlineStr">
        <is>
          <t>TODO状態</t>
        </is>
      </c>
      <c r="M1" s="99" t="inlineStr">
        <is>
          <t>TODO優先度</t>
        </is>
      </c>
      <c r="N1" s="99" t="inlineStr">
        <is>
          <t>提携ステージ</t>
        </is>
      </c>
      <c r="O1" s="99" t="inlineStr">
        <is>
          <t>協力業者 契約形態</t>
        </is>
      </c>
      <c r="P1" s="99" t="inlineStr">
        <is>
          <t>協力業者 品質</t>
        </is>
      </c>
      <c r="Q1" s="99" t="inlineStr">
        <is>
          <t>Web予約 状態</t>
        </is>
      </c>
      <c r="R1" s="99" t="inlineStr">
        <is>
          <t>再販 案内状況</t>
        </is>
      </c>
      <c r="S1" s="99" t="inlineStr">
        <is>
          <t>再販 手段</t>
        </is>
      </c>
      <c r="T1" s="99" t="inlineStr">
        <is>
          <t>名義</t>
        </is>
      </c>
      <c r="U1" s="99" t="inlineStr">
        <is>
          <t>送信系統</t>
        </is>
      </c>
      <c r="V1" s="99" t="inlineStr">
        <is>
          <t>勤怠 区分</t>
        </is>
      </c>
      <c r="W1" s="99" t="inlineStr">
        <is>
          <t>広告 段</t>
        </is>
      </c>
      <c r="X1" s="99" t="inlineStr">
        <is>
          <t>広告 判定</t>
        </is>
      </c>
      <c r="Y1" s="99" t="inlineStr">
        <is>
          <t>④自社ネット新規に数える流入経路</t>
        </is>
      </c>
      <c r="AA1" s="8" t="inlineStr">
        <is>
          <t>【このタブは全タブのプルダウンの元データです。並べ替え・行削除をしないこと。</t>
        </is>
      </c>
    </row>
    <row r="2">
      <c r="A2" t="inlineStr">
        <is>
          <t>One Hitter</t>
        </is>
      </c>
      <c r="B2" t="inlineStr">
        <is>
          <t>リピート</t>
        </is>
      </c>
      <c r="C2" t="inlineStr">
        <is>
          <t>エアコン(ノーマル)</t>
        </is>
      </c>
      <c r="D2" t="inlineStr">
        <is>
          <t>和真</t>
        </is>
      </c>
      <c r="E2" t="inlineStr">
        <is>
          <t>未記録</t>
        </is>
      </c>
      <c r="F2" t="inlineStr">
        <is>
          <t>未記録</t>
        </is>
      </c>
      <c r="G2" t="inlineStr">
        <is>
          <t>現金</t>
        </is>
      </c>
      <c r="H2" t="inlineStr">
        <is>
          <t>未記録</t>
        </is>
      </c>
      <c r="I2" t="inlineStr">
        <is>
          <t>38%</t>
        </is>
      </c>
      <c r="J2" t="inlineStr">
        <is>
          <t>TRUE</t>
        </is>
      </c>
      <c r="K2" t="inlineStr">
        <is>
          <t>交通費</t>
        </is>
      </c>
      <c r="L2" t="inlineStr">
        <is>
          <t>未着手</t>
        </is>
      </c>
      <c r="M2" t="inlineStr">
        <is>
          <t>高</t>
        </is>
      </c>
      <c r="N2" t="inlineStr">
        <is>
          <t>リスト化</t>
        </is>
      </c>
      <c r="O2" t="inlineStr">
        <is>
          <t>歩合(売価%)</t>
        </is>
      </c>
      <c r="P2" t="inlineStr">
        <is>
          <t>良</t>
        </is>
      </c>
      <c r="Q2" t="inlineStr">
        <is>
          <t>未対応</t>
        </is>
      </c>
      <c r="R2" t="inlineStr">
        <is>
          <t>未案内</t>
        </is>
      </c>
      <c r="S2" t="inlineStr">
        <is>
          <t>SMS</t>
        </is>
      </c>
      <c r="T2" t="inlineStr">
        <is>
          <t>自社</t>
        </is>
      </c>
      <c r="U2" t="inlineStr">
        <is>
          <t>自社</t>
        </is>
      </c>
      <c r="V2" t="inlineStr">
        <is>
          <t>現場</t>
        </is>
      </c>
      <c r="W2" t="inlineStr">
        <is>
          <t>段0（テスト）</t>
        </is>
      </c>
      <c r="X2" t="inlineStr">
        <is>
          <t>次の段へ上がる</t>
        </is>
      </c>
      <c r="Y2" t="inlineStr">
        <is>
          <t>HP</t>
        </is>
      </c>
      <c r="AA2" s="2" t="inlineStr">
        <is>
          <t xml:space="preserve">　選択肢を足すときは、列のいちばん下に追記してから、使う側のタブの入力規則の範囲を伸ばしてください】</t>
        </is>
      </c>
    </row>
    <row r="3">
      <c r="A3" t="inlineStr">
        <is>
          <t>本舗</t>
        </is>
      </c>
      <c r="B3" t="inlineStr">
        <is>
          <t>早期予約</t>
        </is>
      </c>
      <c r="C3" t="inlineStr">
        <is>
          <t>エアコン(ロボ)</t>
        </is>
      </c>
      <c r="D3" t="inlineStr">
        <is>
          <t>新人</t>
        </is>
      </c>
      <c r="E3" t="inlineStr">
        <is>
          <t>提案済み</t>
        </is>
      </c>
      <c r="F3" t="inlineStr">
        <is>
          <t>実施</t>
        </is>
      </c>
      <c r="G3" t="inlineStr">
        <is>
          <t>(OH)クレカ</t>
        </is>
      </c>
      <c r="H3" t="inlineStr">
        <is>
          <t>打診済み</t>
        </is>
      </c>
      <c r="I3" t="inlineStr">
        <is>
          <t>10%</t>
        </is>
      </c>
      <c r="J3" t="inlineStr">
        <is>
          <t>FALSE</t>
        </is>
      </c>
      <c r="K3" t="inlineStr">
        <is>
          <t>保険料</t>
        </is>
      </c>
      <c r="L3" t="inlineStr">
        <is>
          <t>進行中</t>
        </is>
      </c>
      <c r="M3" t="inlineStr">
        <is>
          <t>中</t>
        </is>
      </c>
      <c r="N3" t="inlineStr">
        <is>
          <t>接触済み</t>
        </is>
      </c>
      <c r="O3" t="inlineStr">
        <is>
          <t>固定単価(メニュー別)</t>
        </is>
      </c>
      <c r="P3" t="inlineStr">
        <is>
          <t>可</t>
        </is>
      </c>
      <c r="Q3" t="inlineStr">
        <is>
          <t>連絡済み</t>
        </is>
      </c>
      <c r="R3" t="inlineStr">
        <is>
          <t>送信済</t>
        </is>
      </c>
      <c r="S3" t="inlineStr">
        <is>
          <t>公式LINE</t>
        </is>
      </c>
      <c r="T3" t="inlineStr">
        <is>
          <t>本舗</t>
        </is>
      </c>
      <c r="U3" t="inlineStr">
        <is>
          <t>本舗</t>
        </is>
      </c>
      <c r="V3" t="inlineStr">
        <is>
          <t>移動</t>
        </is>
      </c>
      <c r="W3" t="inlineStr">
        <is>
          <t>段1</t>
        </is>
      </c>
      <c r="X3" t="inlineStr">
        <is>
          <t>据え置き</t>
        </is>
      </c>
      <c r="Y3" t="inlineStr">
        <is>
          <t>LP</t>
        </is>
      </c>
    </row>
    <row r="4">
      <c r="B4" t="inlineStr">
        <is>
          <t>楽ラクーン</t>
        </is>
      </c>
      <c r="C4" t="inlineStr">
        <is>
          <t>浴室</t>
        </is>
      </c>
      <c r="D4" t="inlineStr">
        <is>
          <t>協力業者A</t>
        </is>
      </c>
      <c r="E4" t="inlineStr">
        <is>
          <t>成約</t>
        </is>
      </c>
      <c r="F4" t="inlineStr">
        <is>
          <t>不通</t>
        </is>
      </c>
      <c r="G4" t="inlineStr">
        <is>
          <t>(OH)QR決済</t>
        </is>
      </c>
      <c r="H4" t="inlineStr">
        <is>
          <t>成約</t>
        </is>
      </c>
      <c r="I4" t="inlineStr">
        <is>
          <t>個別ロイ</t>
        </is>
      </c>
      <c r="K4" t="inlineStr">
        <is>
          <t>通信費</t>
        </is>
      </c>
      <c r="L4" t="inlineStr">
        <is>
          <t>完了</t>
        </is>
      </c>
      <c r="M4" t="inlineStr">
        <is>
          <t>低</t>
        </is>
      </c>
      <c r="N4" t="inlineStr">
        <is>
          <t>商談中</t>
        </is>
      </c>
      <c r="O4" t="inlineStr">
        <is>
          <t>日当</t>
        </is>
      </c>
      <c r="P4" t="inlineStr">
        <is>
          <t>要改善</t>
        </is>
      </c>
      <c r="Q4" t="inlineStr">
        <is>
          <t>日程確定</t>
        </is>
      </c>
      <c r="R4" t="inlineStr">
        <is>
          <t>反応あり</t>
        </is>
      </c>
      <c r="S4" t="inlineStr">
        <is>
          <t>電話</t>
        </is>
      </c>
      <c r="U4" t="inlineStr">
        <is>
          <t>連絡不可</t>
        </is>
      </c>
      <c r="V4" t="inlineStr">
        <is>
          <t>事務</t>
        </is>
      </c>
      <c r="W4" t="inlineStr">
        <is>
          <t>段2（繁忙期）</t>
        </is>
      </c>
      <c r="X4" t="inlineStr">
        <is>
          <t>段を下げる</t>
        </is>
      </c>
      <c r="Y4" t="inlineStr">
        <is>
          <t>SNS</t>
        </is>
      </c>
    </row>
    <row r="5">
      <c r="B5" t="inlineStr">
        <is>
          <t>業務提携</t>
        </is>
      </c>
      <c r="C5" t="inlineStr">
        <is>
          <t>換気扇</t>
        </is>
      </c>
      <c r="D5" t="inlineStr">
        <is>
          <t>協力業者B</t>
        </is>
      </c>
      <c r="E5" t="inlineStr">
        <is>
          <t>見送り</t>
        </is>
      </c>
      <c r="F5" t="inlineStr">
        <is>
          <t>対象外</t>
        </is>
      </c>
      <c r="G5" t="inlineStr">
        <is>
          <t>(本舗)クレカ</t>
        </is>
      </c>
      <c r="H5" t="inlineStr">
        <is>
          <t>見送り</t>
        </is>
      </c>
      <c r="I5" t="inlineStr">
        <is>
          <t>ロイ相殺</t>
        </is>
      </c>
      <c r="K5" t="inlineStr">
        <is>
          <t>広告費</t>
        </is>
      </c>
      <c r="L5" t="inlineStr">
        <is>
          <t>対象外</t>
        </is>
      </c>
      <c r="N5" t="inlineStr">
        <is>
          <t>条件提示</t>
        </is>
      </c>
      <c r="O5" t="inlineStr">
        <is>
          <t>未契約</t>
        </is>
      </c>
      <c r="Q5" t="inlineStr">
        <is>
          <t>受注</t>
        </is>
      </c>
      <c r="R5" t="inlineStr">
        <is>
          <t>受注</t>
        </is>
      </c>
      <c r="S5" t="inlineStr">
        <is>
          <t>DM</t>
        </is>
      </c>
      <c r="V5" t="inlineStr">
        <is>
          <t>研修</t>
        </is>
      </c>
      <c r="W5" t="inlineStr">
        <is>
          <t>段3（年末）</t>
        </is>
      </c>
      <c r="X5" t="inlineStr">
        <is>
          <t>止める</t>
        </is>
      </c>
      <c r="Y5" t="inlineStr">
        <is>
          <t>GBP(地図検索)</t>
        </is>
      </c>
    </row>
    <row r="6">
      <c r="B6" t="inlineStr">
        <is>
          <t>スケジュールマッチング</t>
        </is>
      </c>
      <c r="C6" t="inlineStr">
        <is>
          <t>天カセ</t>
        </is>
      </c>
      <c r="D6" t="inlineStr">
        <is>
          <t>協力業者C</t>
        </is>
      </c>
      <c r="G6" t="inlineStr">
        <is>
          <t>(本舗)QR決済</t>
        </is>
      </c>
      <c r="K6" t="inlineStr">
        <is>
          <t>耐久品</t>
        </is>
      </c>
      <c r="N6" t="inlineStr">
        <is>
          <t>成約</t>
        </is>
      </c>
      <c r="Q6" t="inlineStr">
        <is>
          <t>不成立</t>
        </is>
      </c>
      <c r="R6" t="inlineStr">
        <is>
          <t>対象外</t>
        </is>
      </c>
      <c r="S6" t="inlineStr">
        <is>
          <t>メール</t>
        </is>
      </c>
      <c r="V6" t="inlineStr">
        <is>
          <t>休み</t>
        </is>
      </c>
      <c r="W6" t="inlineStr">
        <is>
          <t>出さない</t>
        </is>
      </c>
      <c r="X6" t="inlineStr">
        <is>
          <t>未判定</t>
        </is>
      </c>
      <c r="Y6" t="inlineStr">
        <is>
          <t>公式LINE</t>
        </is>
      </c>
    </row>
    <row r="7">
      <c r="B7" t="inlineStr">
        <is>
          <t>おそうじ定期便</t>
        </is>
      </c>
      <c r="C7" t="inlineStr">
        <is>
          <t>おそうじ定期便</t>
        </is>
      </c>
      <c r="D7" t="inlineStr">
        <is>
          <t>その他</t>
        </is>
      </c>
      <c r="G7" t="inlineStr">
        <is>
          <t>請求書(翌月)</t>
        </is>
      </c>
      <c r="K7" t="inlineStr">
        <is>
          <t>備品</t>
        </is>
      </c>
      <c r="N7" t="inlineStr">
        <is>
          <t>見送り</t>
        </is>
      </c>
      <c r="Y7" t="inlineStr">
        <is>
          <t>アフィリエイト</t>
        </is>
      </c>
    </row>
    <row r="8">
      <c r="B8" t="inlineStr">
        <is>
          <t>紹介</t>
        </is>
      </c>
      <c r="C8" t="inlineStr">
        <is>
          <t>空室</t>
        </is>
      </c>
      <c r="G8" t="inlineStr">
        <is>
          <t>請求書(2か月後)</t>
        </is>
      </c>
      <c r="K8" t="inlineStr">
        <is>
          <t>個別ロイ</t>
        </is>
      </c>
      <c r="Y8" t="inlineStr">
        <is>
          <t>LINE/SMS再販</t>
        </is>
      </c>
    </row>
    <row r="9">
      <c r="B9" t="inlineStr">
        <is>
          <t>営業</t>
        </is>
      </c>
      <c r="C9" t="inlineStr">
        <is>
          <t>まるごと(備考に内容)</t>
        </is>
      </c>
      <c r="K9" t="inlineStr">
        <is>
          <t>現場人件費(原価)</t>
        </is>
      </c>
      <c r="Y9" t="inlineStr">
        <is>
          <t>SMS</t>
        </is>
      </c>
    </row>
    <row r="10">
      <c r="B10" t="inlineStr">
        <is>
          <t>チラシ(OH)</t>
        </is>
      </c>
      <c r="C10" t="inlineStr">
        <is>
          <t>洗濯機(ノーマル)</t>
        </is>
      </c>
      <c r="K10" t="inlineStr">
        <is>
          <t>固定給(販管費)</t>
        </is>
      </c>
      <c r="Y10" t="inlineStr">
        <is>
          <t>広告</t>
        </is>
      </c>
    </row>
    <row r="11">
      <c r="B11" t="inlineStr">
        <is>
          <t>HP</t>
        </is>
      </c>
      <c r="C11" t="inlineStr">
        <is>
          <t>洗濯機(ドラム)</t>
        </is>
      </c>
      <c r="K11" t="inlineStr">
        <is>
          <t>外注費</t>
        </is>
      </c>
    </row>
    <row r="12">
      <c r="B12" t="inlineStr">
        <is>
          <t>入札案件</t>
        </is>
      </c>
      <c r="C12" t="inlineStr">
        <is>
          <t>定期清掃</t>
        </is>
      </c>
      <c r="K12" t="inlineStr">
        <is>
          <t>その他(備考へ)</t>
        </is>
      </c>
    </row>
    <row r="13">
      <c r="B13" t="inlineStr">
        <is>
          <t>チラシ(本舗)</t>
        </is>
      </c>
      <c r="C13" t="inlineStr">
        <is>
          <t>業務用エアコン1方向</t>
        </is>
      </c>
    </row>
    <row r="14">
      <c r="B14" t="inlineStr">
        <is>
          <t>SMS</t>
        </is>
      </c>
      <c r="C14" t="inlineStr">
        <is>
          <t>追焚配管</t>
        </is>
      </c>
    </row>
    <row r="15">
      <c r="B15" t="inlineStr">
        <is>
          <t>LP</t>
        </is>
      </c>
      <c r="C15" t="inlineStr">
        <is>
          <t>排水溝高圧洗浄</t>
        </is>
      </c>
    </row>
    <row r="16">
      <c r="B16" t="inlineStr">
        <is>
          <t>SNS</t>
        </is>
      </c>
      <c r="C16" t="inlineStr">
        <is>
          <t>トイレ</t>
        </is>
      </c>
    </row>
    <row r="17">
      <c r="B17" t="inlineStr">
        <is>
          <t>GBP(地図検索)</t>
        </is>
      </c>
    </row>
    <row r="18">
      <c r="B18" t="inlineStr">
        <is>
          <t>公式LINE</t>
        </is>
      </c>
    </row>
    <row r="19">
      <c r="B19" t="inlineStr">
        <is>
          <t>アフィリエイト</t>
        </is>
      </c>
    </row>
    <row r="20">
      <c r="B20" t="inlineStr">
        <is>
          <t>LINE/SMS再販</t>
        </is>
      </c>
    </row>
    <row r="21">
      <c r="B21" t="inlineStr">
        <is>
          <t>ギフト</t>
        </is>
      </c>
    </row>
    <row r="22">
      <c r="B22" t="inlineStr">
        <is>
          <t>広告</t>
        </is>
      </c>
    </row>
    <row r="23">
      <c r="B23" t="inlineStr">
        <is>
          <t>その他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2026-09-28T10:21:59Z</dcterms:created>
  <dcterms:modified xsi:type="dcterms:W3CDTF">2026-09-28T10:22:00Z</dcterms:modified>
</cp:coreProperties>
</file>